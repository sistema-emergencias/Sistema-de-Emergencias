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Equipo\Documents\AÑO 2026\OFICINA 2026\10- ESTADISTICAS\REPORTES COMANDANCIA\"/>
    </mc:Choice>
  </mc:AlternateContent>
  <xr:revisionPtr revIDLastSave="0" documentId="13_ncr:1_{A9BD8D52-C928-40D6-9BE0-47BD77699072}" xr6:coauthVersionLast="47" xr6:coauthVersionMax="47" xr10:uidLastSave="{00000000-0000-0000-0000-000000000000}"/>
  <bookViews>
    <workbookView xWindow="-109" yWindow="-109" windowWidth="19780" windowHeight="11860" xr2:uid="{00000000-000D-0000-FFFF-FFFF00000000}"/>
  </bookViews>
  <sheets>
    <sheet name="CONSOLIDADO" sheetId="3" r:id="rId1"/>
    <sheet name="DATOS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59" i="4" l="1"/>
  <c r="C359" i="4"/>
  <c r="C4" i="4"/>
  <c r="B5" i="3" l="1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4" i="3"/>
  <c r="B27" i="3" l="1"/>
  <c r="C5" i="3" s="1"/>
  <c r="C4" i="3" l="1"/>
  <c r="C20" i="3"/>
  <c r="C12" i="3"/>
  <c r="C23" i="3"/>
  <c r="C7" i="3"/>
  <c r="C24" i="3"/>
  <c r="C16" i="3"/>
  <c r="C8" i="3"/>
  <c r="C27" i="3"/>
  <c r="C19" i="3"/>
  <c r="C15" i="3"/>
  <c r="C11" i="3"/>
  <c r="C26" i="3"/>
  <c r="C22" i="3"/>
  <c r="C18" i="3"/>
  <c r="C14" i="3"/>
  <c r="C10" i="3"/>
  <c r="C6" i="3"/>
  <c r="C25" i="3"/>
  <c r="C21" i="3"/>
  <c r="C17" i="3"/>
  <c r="C13" i="3"/>
  <c r="C9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EQUIPO</author>
  </authors>
  <commentList>
    <comment ref="C2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EQUIPO:</t>
        </r>
        <r>
          <rPr>
            <sz val="9"/>
            <color indexed="81"/>
            <rFont val="Tahoma"/>
            <family val="2"/>
          </rPr>
          <t xml:space="preserve">
Seleccione el tipo de incidente del cual desea observar las estadisticas.</t>
        </r>
      </text>
    </comment>
  </commentList>
</comments>
</file>

<file path=xl/sharedStrings.xml><?xml version="1.0" encoding="utf-8"?>
<sst xmlns="http://schemas.openxmlformats.org/spreadsheetml/2006/main" count="2531" uniqueCount="780">
  <si>
    <t>CAÍDA / CORTES DE ARBOL</t>
  </si>
  <si>
    <t>CONTROL DE ABEJAS</t>
  </si>
  <si>
    <t>CONTROL DE AVISPAS</t>
  </si>
  <si>
    <t>CAÍDA DE CUERDAS</t>
  </si>
  <si>
    <t>CORTO CIRCUITO</t>
  </si>
  <si>
    <t>COLAPSO DE ESTRUCTURAS</t>
  </si>
  <si>
    <t>EXTRICACIÓN VEHICULAR</t>
  </si>
  <si>
    <t>FUGA DE GAS NATURAL</t>
  </si>
  <si>
    <t>FUGA DE GAS GLP</t>
  </si>
  <si>
    <t>INCENDIO FORESTAL</t>
  </si>
  <si>
    <t>INCENDIO ESTRUCTURAL</t>
  </si>
  <si>
    <t>INCENDIO VEHICULAR</t>
  </si>
  <si>
    <t>INUNDACIÓN</t>
  </si>
  <si>
    <t>LABORES DE PREVENCION O ACOMPAÑAMIENTO EN GESTION DEL RIESGO</t>
  </si>
  <si>
    <t>MATERIALES PELIGROSOS / DERRAMES</t>
  </si>
  <si>
    <t>PRIMEROS AUXILIOS</t>
  </si>
  <si>
    <t>RESCATE DE PERSONA / PARAPENTE</t>
  </si>
  <si>
    <t>RESCATE DE ANIMAL</t>
  </si>
  <si>
    <t>VISITAS DE SEGURIDAD</t>
  </si>
  <si>
    <t>CANTIDAD</t>
  </si>
  <si>
    <t>TOTAL</t>
  </si>
  <si>
    <t>EMERGENCIAS</t>
  </si>
  <si>
    <t>% INCIDENCIA</t>
  </si>
  <si>
    <t>CAPACITACIONES</t>
  </si>
  <si>
    <t>REUNIÓN EN LA ALCALDÍA</t>
  </si>
  <si>
    <t>REUNIONES DE SERVICIO SOCIAL</t>
  </si>
  <si>
    <t>SUMINISTROS DE AGUA</t>
  </si>
  <si>
    <t>CUERPO DE BOMBEROS VOLUNTARIOS, LA UNIÓN, VALLE DEL CAUCA
REPORTE DE EMERGENCIAS</t>
  </si>
  <si>
    <t xml:space="preserve">TIPO DE INCIDENTE </t>
  </si>
  <si>
    <t xml:space="preserve">INCIDENTES Y ACTIVIDADES </t>
  </si>
  <si>
    <t>CANTIDAD DE</t>
  </si>
  <si>
    <t>DÍA DEL EVENTO</t>
  </si>
  <si>
    <t>DURACIÓN DEL EVENTO</t>
  </si>
  <si>
    <t>DIRECCIÓN O LUGAR DE REFERENCIA</t>
  </si>
  <si>
    <t>BARRIO CORREGIMIENTO O VEREDA</t>
  </si>
  <si>
    <t>DESCRIPCIÓN DEL EVENTO</t>
  </si>
  <si>
    <t>AREA AFECTADA (SOLO SI APLICA)</t>
  </si>
  <si>
    <t>N° DE UNIDADES QUE ASISTIERON</t>
  </si>
  <si>
    <t xml:space="preserve">VEHÍCULO </t>
  </si>
  <si>
    <t>COORDENADAS</t>
  </si>
  <si>
    <t>OTROS</t>
  </si>
  <si>
    <t>INCENDIOS</t>
  </si>
  <si>
    <t>TOTAL 
EMERGENCIAS Y ACTIVIDADES</t>
  </si>
  <si>
    <t>BUSCAR</t>
  </si>
  <si>
    <t>2 HORAS</t>
  </si>
  <si>
    <t>1 HORA</t>
  </si>
  <si>
    <t>*</t>
  </si>
  <si>
    <t>RESCATES</t>
  </si>
  <si>
    <t>L-1</t>
  </si>
  <si>
    <t>B-3</t>
  </si>
  <si>
    <t>MATERIALES PELIGROSOS</t>
  </si>
  <si>
    <t>N/A</t>
  </si>
  <si>
    <t>B-2</t>
  </si>
  <si>
    <t>CENTRO</t>
  </si>
  <si>
    <t>.</t>
  </si>
  <si>
    <t>L-2</t>
  </si>
  <si>
    <t>B-4</t>
  </si>
  <si>
    <t>CORCEGA</t>
  </si>
  <si>
    <t>LUCERO ALTO</t>
  </si>
  <si>
    <t>3 HORAS</t>
  </si>
  <si>
    <t>LAS PALMAS</t>
  </si>
  <si>
    <t>30 MINUTOS</t>
  </si>
  <si>
    <t>PASO ANCHO</t>
  </si>
  <si>
    <t>50 MINUTOS</t>
  </si>
  <si>
    <t>45 MINUTOS</t>
  </si>
  <si>
    <t>4 HORAS</t>
  </si>
  <si>
    <t>BELEN</t>
  </si>
  <si>
    <t>35 MINUTOS</t>
  </si>
  <si>
    <t>LA CRUZ</t>
  </si>
  <si>
    <t>AGOSTO</t>
  </si>
  <si>
    <t>1 HORA Y 40 MINUTOS</t>
  </si>
  <si>
    <t>EN LA ENTRADA A CORSEGA</t>
  </si>
  <si>
    <t>41 MINUTOS</t>
  </si>
  <si>
    <t>VÍA LA UNIÓN - LA VICTORIA CERCA A ASORUT</t>
  </si>
  <si>
    <t>AGENTES DE TRANSITO REPORTAR EL INCENDIO DE UN VEHÍCULO TIPO MOTOCICLETA, SALEN 3 UNIDADES PARA HACER LIQUIDACI{ON DEL FUEGO E INFRIAMENTO DEL PERÍMETRO AFECTADO.</t>
  </si>
  <si>
    <t>LAS BRISAS</t>
  </si>
  <si>
    <t>QUEMAS DE UNAS TABLAS DE MADERA POR UN DESCONOCIDO</t>
  </si>
  <si>
    <t>10 MTS</t>
  </si>
  <si>
    <t>CLL 13 CON CR 14</t>
  </si>
  <si>
    <t>INFORMAN DE UNA EXPLOSION EN LA CAJA DE CABLEADO ELECTRICO</t>
  </si>
  <si>
    <t>SAN LUIS</t>
  </si>
  <si>
    <t>INFORMAN DE UN ATAQUE DE ABEJAS CON UNA PERSONA LESIONADA</t>
  </si>
  <si>
    <t>45 MNTOS</t>
  </si>
  <si>
    <t>TRANSV 13 VIA A LAS CINTAS</t>
  </si>
  <si>
    <t>CABLE ELECTRICO QUE CAE, PRODUCIENDO CHISPAS E INICIANDO UN INCENDIO EN PASTIZAL</t>
  </si>
  <si>
    <t>50 M/2 APROXI</t>
  </si>
  <si>
    <t>2.30 HORAS</t>
  </si>
  <si>
    <t>LINDEROS FINCA GALLINERO</t>
  </si>
  <si>
    <t>LA ISLA</t>
  </si>
  <si>
    <t>INCENDIO DE COVERTURA VEGETAL PASTO Y MALEZA, QUEMA SALTEADA POR SECTORES</t>
  </si>
  <si>
    <t>4 HECTAREAS APROX</t>
  </si>
  <si>
    <t>B-4, OTROS</t>
  </si>
  <si>
    <t>30.32 N 4;76 W</t>
  </si>
  <si>
    <t>VEREDA LA ISLA</t>
  </si>
  <si>
    <t>INFORMAN DE UNA QUEMA EN ZONA VEJETAL</t>
  </si>
  <si>
    <t>.100MTR 2</t>
  </si>
  <si>
    <t>B-2, L-1</t>
  </si>
  <si>
    <t>COCEGA</t>
  </si>
  <si>
    <t>INFORMAN DE UN CORTI CIRCUITO EN LA CAJA DE CABLES ELECTRICOS QUE ESTAN CERCA DE ARBOLES Y PUEDE INICIAR CON UN INCENDIO</t>
  </si>
  <si>
    <t>B-4, L-1</t>
  </si>
  <si>
    <t>CR 15 CON CL 19 ESQUINA</t>
  </si>
  <si>
    <t>INFORMAN DE UN FUERTE OLOR A GAS</t>
  </si>
  <si>
    <t>CR 16 19 91</t>
  </si>
  <si>
    <t>SAN PEDRO</t>
  </si>
  <si>
    <t>INFORMAN DE UNA EDIFICACION QUE EMITE RUIDOS Y ESTA CON GRAN RIESGO DE COLAPSO</t>
  </si>
  <si>
    <t>RESCATES, BUSQUEDA Y RESCATE, OTROS</t>
  </si>
  <si>
    <t>12 HORAS</t>
  </si>
  <si>
    <t>ZONA URBANA DE LA UNION VALLE</t>
  </si>
  <si>
    <t>VERIFICACION DE DAÑOS Y/O BUSQUEDA Y RESCATE DE PERSONAS POR TERREMOTO</t>
  </si>
  <si>
    <t>B-2, B-3, B-4, L-1, L-2, L-3, OTROS</t>
  </si>
  <si>
    <t>CR 16 19 100</t>
  </si>
  <si>
    <t>EVALUACION DE AFECTACION A LA ESTRUCTURA</t>
  </si>
  <si>
    <t>CRA 19 C #19-04</t>
  </si>
  <si>
    <t>LA HABANA - URBANIZACION CAMINOS</t>
  </si>
  <si>
    <t>ANDRES FELIPE DIEZ, C.C: 1112630292, CEL: 3125190481. VIVIENDA DE DOS PISOS CON DAÑOS ESTRUCTURALES</t>
  </si>
  <si>
    <t>CRA 19 D # 19-63</t>
  </si>
  <si>
    <t>URBANIZACION CAMINOS</t>
  </si>
  <si>
    <t>GILDARDO RENGIFO, C.C: 18513953, CEL: 3217018236. VIVIENDA CON COLAPSO DE TECHO</t>
  </si>
  <si>
    <t>CRA 19 D #19-09</t>
  </si>
  <si>
    <t>RUBIELA PEREZ, C.C: 29613954, CEL: 3128240451-3185385634. SEPARACION DE LA CUBIERTA DEL TECHO</t>
  </si>
  <si>
    <t>CRA 19 D #19-15</t>
  </si>
  <si>
    <t>EDILMA FLORES, C.C: 38892573, CEL: 3148960797. AFECTACION EN LA CUBIERTA DEL TECHO Y PAREDES AGRIETADAS</t>
  </si>
  <si>
    <t>CRA 19 C # 19-10</t>
  </si>
  <si>
    <t>DANIELA CORREA, C.C: 11126311863, CEL: 3178583900. VIVIENDA CON PAREDES AGRIETADAS</t>
  </si>
  <si>
    <t>CRA 15 # 22-02</t>
  </si>
  <si>
    <t>CRISTINA VELEZ, C.C 66750742, CEL: 3102160599. CAIDA TOTAL DE EDIFICACION</t>
  </si>
  <si>
    <t>CRA 20 # 19-04</t>
  </si>
  <si>
    <t>MARCO AURELIO RAMIREZ, C.C 15599667, CEL: 3177575131. DILATACION DE PAREDES Y TECHO</t>
  </si>
  <si>
    <t>CRA 20 # 19-22</t>
  </si>
  <si>
    <t>LUIS GONZAGA LOPEZ, C.C: 1112619461, CEL: 3151924116. DILATACION DE PAREDES Y VIGAS DEL SEGUNDO PISO AGRIETADAS</t>
  </si>
  <si>
    <t>CRA 20 #19-64</t>
  </si>
  <si>
    <t>LEIDY CARDONA GAÑAN, C.C: 1000364885, CEL: 3173213134. CAIDA CONSIDERABLE DE TEJA DE BARRO EN TECHO</t>
  </si>
  <si>
    <t>CRA 20 # 18-241</t>
  </si>
  <si>
    <t>ALEIDA RIVERA GUERRERO, C.C 41895449, CEL: 3217769241. DAÑO EN TECHO Y PAREDES AGRIETADAS</t>
  </si>
  <si>
    <t>CRA 16 #19-20</t>
  </si>
  <si>
    <t>CRISTIAN CAMILO GALVIS, C.C 1112629109, CEL: 3215905304. COLAPSO DE TECHO Y PAREDES</t>
  </si>
  <si>
    <t>CRA 16 # 19-44</t>
  </si>
  <si>
    <t>VIRGELINA RUBIO, C.C 66751468, CEL: 3163240509. DAÑOS ESTRUCTURALES</t>
  </si>
  <si>
    <t>CRA 16#19-66</t>
  </si>
  <si>
    <t>JAIRO GALEANO, C.C: 94450938, CEL: 3104732455. UNAS PAREDES AGRIETADAS Y OTRAS COLAPSADAS</t>
  </si>
  <si>
    <t>CRA 16 #19-66</t>
  </si>
  <si>
    <t>LEONIDAS CABALLERO, C.C: 6356187, CEL: 3172559929. DAÑOS ESTRUCTULARES</t>
  </si>
  <si>
    <t>CRA 16#19-82</t>
  </si>
  <si>
    <t>LUZ ENAY TORO VALENCIA, C.C:66752243, CEL: 3103867057. DAÑO EN TECHO, PAREDES Y COLUMNAS AGRIETADAS</t>
  </si>
  <si>
    <t>CRA 16 # 19-100</t>
  </si>
  <si>
    <t>SAN PADRO</t>
  </si>
  <si>
    <t>EDIFICIO DE TRES PISOS CON FALLAS ESTRUCTURALES, INHABITABLE</t>
  </si>
  <si>
    <t>CRA 16 # 19-85</t>
  </si>
  <si>
    <t>ADRIANA ZAPATA, C.C. 66753630, CEL: 3187321088. DAÑOS ESTRUCTURALES</t>
  </si>
  <si>
    <t>CRA 16 #19-78</t>
  </si>
  <si>
    <t>JHON MAURICIO CORREA GALLEGO, C.C 1088237049, CEL: 3184729039. CASA DE DOS PISOS CON PAREDES AGRIETADAS, TECHO CON DAÑOS Y PISO AGRIETADO</t>
  </si>
  <si>
    <t>SARA MILLÁN – Cel. 3023993444 – Daño estructural.</t>
  </si>
  <si>
    <t>CLL 17 # 18-02</t>
  </si>
  <si>
    <t>—</t>
  </si>
  <si>
    <t>Infraestructura debilitada.</t>
  </si>
  <si>
    <t>CLL 17 # 15-38</t>
  </si>
  <si>
    <t>Techo y paredes.</t>
  </si>
  <si>
    <t>CLL 16 # 17-71</t>
  </si>
  <si>
    <t>Colapso de techo.</t>
  </si>
  <si>
    <t>CLL 18 # 18-35</t>
  </si>
  <si>
    <t>CLAUDIA MILENA LÓPEZ – Cel. 3243869979 – Infraestructura debilitada.</t>
  </si>
  <si>
    <t>CLL 18 # 19-02</t>
  </si>
  <si>
    <t>CLL 18 # 18-09</t>
  </si>
  <si>
    <t>Techo afectado.</t>
  </si>
  <si>
    <t>CLL 18 # 19-14</t>
  </si>
  <si>
    <t>YOHANA HURTADO VÁZQUEZ – Cel. 3202610582 – Techo afectado y paredes. Materiales: 2 vehículos.</t>
  </si>
  <si>
    <t>CLL 18 # 19-28</t>
  </si>
  <si>
    <t>Afectación estructural en segundo piso.</t>
  </si>
  <si>
    <t>CLL 14 # 17-44</t>
  </si>
  <si>
    <t>Caída de techo.</t>
  </si>
  <si>
    <t>CLL 14 # 16-54</t>
  </si>
  <si>
    <t>CLL 14 # 16-18</t>
  </si>
  <si>
    <t>Infraestructura colapsada.</t>
  </si>
  <si>
    <t>CLL 14 # 16-25</t>
  </si>
  <si>
    <t>CLL 14 # 16-44</t>
  </si>
  <si>
    <t>Afectación de techo y paredes.</t>
  </si>
  <si>
    <t>CLL 14 # 16-34</t>
  </si>
  <si>
    <t>Colisión del techo.</t>
  </si>
  <si>
    <t>CLL 14 # 16-15</t>
  </si>
  <si>
    <t>CLL 15 # 17-45</t>
  </si>
  <si>
    <t>CLL 14 # 18-35</t>
  </si>
  <si>
    <t>YENNER ORTIZ – Infraestructura debilitada.</t>
  </si>
  <si>
    <t>CLL 14 # 17-69</t>
  </si>
  <si>
    <t>Techo colapsado.</t>
  </si>
  <si>
    <t>CLL 14 # 17-31</t>
  </si>
  <si>
    <t>Colapso del techo.</t>
  </si>
  <si>
    <t>CLL 14 CON CRA 17</t>
  </si>
  <si>
    <t>PANADERÍA JJ / ANÍBAL GÓMEZ – Infraestructura debilitada.</t>
  </si>
  <si>
    <t>CLL 14 # 16-39</t>
  </si>
  <si>
    <t>CENTRO MISIONERO BETHESDA – Colapsó el techo en la parte trasera.</t>
  </si>
  <si>
    <t>CLL 14 # 16-14</t>
  </si>
  <si>
    <t>ALBA INÉS GORDILLO RAMÍREZ – Colapso de techo parcial.</t>
  </si>
  <si>
    <t>CLL 14 # 15-46</t>
  </si>
  <si>
    <t>WILLIAM OCAMPO – Colapso de techo y daños en pared segundo piso.</t>
  </si>
  <si>
    <t>CLL 14 CRA 15 ESQUINA</t>
  </si>
  <si>
    <t>EDIFICIO PANADERÍA MARINILLOS / JUAN DIEGO SIERRA – Cel. 3113082812 – Infraestructura debilitada.</t>
  </si>
  <si>
    <t>CRA 14 # 14 - 23</t>
  </si>
  <si>
    <t>DROGAS SÚPER ÉXITO EL PARQUE – Lado de la panadería – Colapso del techo.</t>
  </si>
  <si>
    <t>CRA 15 CON CLL 14</t>
  </si>
  <si>
    <t>CASA CONSISTORIAL – Colapso del techo.</t>
  </si>
  <si>
    <t>CLL 15 CON CRA 15</t>
  </si>
  <si>
    <t>MARÍA MULATA – Colapsó el techo.</t>
  </si>
  <si>
    <t>CLL 15 # 15 - 4</t>
  </si>
  <si>
    <t>HOTEL PRIMAVERAL – Estructura debilitada.</t>
  </si>
  <si>
    <t>CLL 14 # 17-28</t>
  </si>
  <si>
    <t>VALENTINA ANGULO DÍAZ – Colapso de techo y paredes.</t>
  </si>
  <si>
    <t>CLL 15 # 15-72</t>
  </si>
  <si>
    <t>DANIEL MONTEMIRANDA – Infraestructura debilitada.</t>
  </si>
  <si>
    <t>CLL 15 # 17-30</t>
  </si>
  <si>
    <t>CLL 15 # 17-37</t>
  </si>
  <si>
    <t>JESSICA OCHOA – Infraestructura colapsada.</t>
  </si>
  <si>
    <t>CLL 15 # 17-43</t>
  </si>
  <si>
    <t>RUBIELA POTES GARCÍA – Infraestructura debilitada.</t>
  </si>
  <si>
    <t>CLL 15 # 17 - 55</t>
  </si>
  <si>
    <t>FLORISTERÍA LA ROSA – Infraestructura debilitada segundo y tercer piso.</t>
  </si>
  <si>
    <t>CLL 12 # 20-77</t>
  </si>
  <si>
    <t>TRINIDAD GARCÍA – Colapso de infraestructura.</t>
  </si>
  <si>
    <t>CLL 14 # 06-01</t>
  </si>
  <si>
    <t>SALÓN SOCIAL CUERPO DE BOMBEROS – Techo dilatado.</t>
  </si>
  <si>
    <t>CLL 8 # 9-24</t>
  </si>
  <si>
    <t>Estructura agrietada con dilatación.</t>
  </si>
  <si>
    <t>CRA 11 # 9-75</t>
  </si>
  <si>
    <t>Estructura colapsada.</t>
  </si>
  <si>
    <t>CLL 12 # 20-141</t>
  </si>
  <si>
    <t>SANTIAGO HERNÁNDEZ – Cel. 3108231533 / 3233923524 – Estructura debilitada de dos pisos, sin escaleras.</t>
  </si>
  <si>
    <t>CRA 14 CON CLL 17 ESQUINA</t>
  </si>
  <si>
    <t>Edificio de 3 pisos a punto de colapso.</t>
  </si>
  <si>
    <t>FINCA LA MARIA</t>
  </si>
  <si>
    <t>CÓRCEGA</t>
  </si>
  <si>
    <t>GILDARDO / FINCA LA MARÍA – Cel. 3112547635 – Infraestructura debilitada.</t>
  </si>
  <si>
    <t>MISCELÁNEA POPULAR</t>
  </si>
  <si>
    <t>MISCELÁNEA POPULAR / ANA MILENA SEGURA GARCÍA – Techo colapsado.</t>
  </si>
  <si>
    <t>IGLESIA SAN LUIS</t>
  </si>
  <si>
    <t>NORALBA RODRÍGUEZ / IGLESIA DE SAN LUIS – Colapsada.</t>
  </si>
  <si>
    <t>CLL 4 # 2-43</t>
  </si>
  <si>
    <t>SANDRA DELGADO – Colapso del techo y paredes agrietadas.</t>
  </si>
  <si>
    <t>CRA 3 # 3-78</t>
  </si>
  <si>
    <t>DIEGO MARÍA DELGADO MILLÁN – Cel. 3104551202 – Afectación de techo.</t>
  </si>
  <si>
    <t>CLL 12 # 8-61</t>
  </si>
  <si>
    <t>ERMILA DEL PILAR LÓPEZ RIVERA – Techo colapsado.</t>
  </si>
  <si>
    <t>CLL 12 # 8-50</t>
  </si>
  <si>
    <t>CLL 11 # 11-55</t>
  </si>
  <si>
    <t>MARÍA NELLY CASTRO – Techo afectado.</t>
  </si>
  <si>
    <t>CRA 12 # 10-31</t>
  </si>
  <si>
    <t>GLORIA AMPARO RÍOS – Cel. 3204408889 – Colapso total de techo.</t>
  </si>
  <si>
    <t>CRA 12 # 10-18</t>
  </si>
  <si>
    <t>BELÉN</t>
  </si>
  <si>
    <t>CRA 12 # 10-25</t>
  </si>
  <si>
    <t>YON JAIRO NÚÑEZ – Cel. 3146451420 – Techo colapsado.</t>
  </si>
  <si>
    <t>ENTRADA A LO INTERNO, 12-29</t>
  </si>
  <si>
    <t>ARISTIL GALLEGO MARÍN – Cel. 3166770982 – Techo colapsado e infraestructura debilitada.</t>
  </si>
  <si>
    <t>CRA 12 # 10-09</t>
  </si>
  <si>
    <t>TERESA ESCOBAR – Cel. 3184742012 – Colapso parcial de techo.</t>
  </si>
  <si>
    <t>CRA 12 # 10-4</t>
  </si>
  <si>
    <t>MIRIAN OCAMPO – Cel. 3004128636 – Techo afectado y paredes.</t>
  </si>
  <si>
    <t>CLL 11 # 14-12</t>
  </si>
  <si>
    <t>Colapso de paredes.</t>
  </si>
  <si>
    <t>CRA 14 # 11-29</t>
  </si>
  <si>
    <t>CLL 12 # 13-77</t>
  </si>
  <si>
    <t>CRA 14 CON CLL 12</t>
  </si>
  <si>
    <t>CLL 13 CON CRA 13-18</t>
  </si>
  <si>
    <t>MARTA VICTORIA / MUNDO MUJER – Cel. 3178537767 – Colapso de edificio.</t>
  </si>
  <si>
    <t>CLL 11 # 13-79</t>
  </si>
  <si>
    <t>CLL 11 # 14-16</t>
  </si>
  <si>
    <t>CRA 16 # 10-01</t>
  </si>
  <si>
    <t>ELSY HAWER – Cel. 3128461292 – Colapso de vivienda.</t>
  </si>
  <si>
    <t>CLL 12 # 22-4</t>
  </si>
  <si>
    <t>JAIME ADRIÁN RENJIFO HINCAPIÉ – Cel. 3103529668 – Infraestructura debilitada y afectación al techo.</t>
  </si>
  <si>
    <t>CRA 17 # 13-51</t>
  </si>
  <si>
    <t>MARÍA DORIS ÁLVAREZ – Cel. 3137216214 – Infraestructura debilitada y riesgo.</t>
  </si>
  <si>
    <t>CLL 12 CON 15</t>
  </si>
  <si>
    <t>ALMACÉN DE QUÍMICOS – Entre las casas 15-03 y 15-37 – Colapso de plancha.</t>
  </si>
  <si>
    <t>CLL 12 # 13-15</t>
  </si>
  <si>
    <t>WILLIAM ALBERTO MARÍN POSSO – Cel. 3176680027 – Colapso de techo.</t>
  </si>
  <si>
    <t>CRA 13 # 11-75</t>
  </si>
  <si>
    <t>ALBA ROSA GARCÍA GÓMEZ – Cel. 3117156602 – Colapso de techo.</t>
  </si>
  <si>
    <t>CRA 13 CON CLL 12 ESQUINA</t>
  </si>
  <si>
    <t>CARLOS DURANGO – Cel. 3218582358 – Colapso de techo.</t>
  </si>
  <si>
    <t>CLL 13 # 17-05</t>
  </si>
  <si>
    <t>CLL 12 # 25-23</t>
  </si>
  <si>
    <t>Infraestructura de 5 pisos debilitada.</t>
  </si>
  <si>
    <t>CLL 12 # 25-483</t>
  </si>
  <si>
    <t>DUCARDO VALENCIA – Cel. 3223719456 – Infraestructura debilitada, posible colapso.</t>
  </si>
  <si>
    <t>CLL 12 # 21-26</t>
  </si>
  <si>
    <t>DAVID PEREA – Cel. 3233284422 – Colapso de techo.</t>
  </si>
  <si>
    <t>CLL 12 # 20-202 APTO 1</t>
  </si>
  <si>
    <t>HEIDY HINCAPIÉ HENAO – Cel. 3128719472 – Colapso de techo, segundo piso.</t>
  </si>
  <si>
    <t>FAREN TATIANA HINCAPIÉ – Cel. 3154517082 – Colapso de techo.</t>
  </si>
  <si>
    <t>CRA 12 # 11-58</t>
  </si>
  <si>
    <t>AMPARO OSPINA OCAMPO – Cel. 32006897815 – Infraestructura debilitada.</t>
  </si>
  <si>
    <t>CRA 12 # 12-27</t>
  </si>
  <si>
    <t>CARLOS ALBERTO TAMAYO – Cel. 3155508915 – Colapso de techo con caída de material/escombros.</t>
  </si>
  <si>
    <t>CRA 12 # 12-35</t>
  </si>
  <si>
    <t>ROSA DORIS OSORIO – Cel. 3148195689 – Colapso de techo.</t>
  </si>
  <si>
    <t>CRA 14 # 13-08</t>
  </si>
  <si>
    <t>Colapso estructural parcial.</t>
  </si>
  <si>
    <t>CRA 15 # 12-34</t>
  </si>
  <si>
    <t>Colapso de fachada y posible colapso de techo.</t>
  </si>
  <si>
    <t>CRA 13 # 12-71 ESQUINA</t>
  </si>
  <si>
    <t>Colapso de techo e infraestructura debilitada.</t>
  </si>
  <si>
    <t>CRA 12 # 13-31</t>
  </si>
  <si>
    <t>HUMBERTO MILLÁN AGUIRRE – Cel. 3122091575 – Colapso de techo.</t>
  </si>
  <si>
    <t>CRA 10 # 10-70</t>
  </si>
  <si>
    <t>EMILIO MARLES – Cel. 3044944561 – Infraestructura debilitada.</t>
  </si>
  <si>
    <t>CRA 10 CASA 4</t>
  </si>
  <si>
    <t>FABIAN RAMÍREZ – Cel. 3215144857 – Techo colapsado.</t>
  </si>
  <si>
    <t>LUCERO BAJO</t>
  </si>
  <si>
    <t>JOSÉ IVÁN MARULANDA PULGARÍN – Techo e infraestructura.</t>
  </si>
  <si>
    <t>CLAUDIA MARCELA MEDINA CORTÉS – Techo e infraestructura.</t>
  </si>
  <si>
    <t>CRA 15 # 8A-62</t>
  </si>
  <si>
    <t>LA CIUDADELA</t>
  </si>
  <si>
    <t>MARÍA LUCÍA CHICA – Techo colapsado.</t>
  </si>
  <si>
    <t>CRA 3 # 10-44</t>
  </si>
  <si>
    <t>JOSÉ MARÍN – Colapso de paredes.</t>
  </si>
  <si>
    <t>CLL # 14-25</t>
  </si>
  <si>
    <t>LUIS CARLOS RENGIFO – Colapso de paredes.</t>
  </si>
  <si>
    <t>GUÁCIMO</t>
  </si>
  <si>
    <t>KAROL VELÁSQUEZ – Cel. 3044031981 – Colapso de paredes.</t>
  </si>
  <si>
    <t>CRA 10 # M24 CASA 5</t>
  </si>
  <si>
    <t>EMILIO MARTÍNEZ – Cel. 3044944561 – Colapso de paredes.</t>
  </si>
  <si>
    <t>YEISON FABIÁN RAMÍREZ – Cel. 3215144857 – Colapso de techo.</t>
  </si>
  <si>
    <t>MARTÍN ALBEIRO CARVAJAL – Cel. 3127344567 – Colapso de techo.</t>
  </si>
  <si>
    <t>JULIANA ANDREA LÓPEZ – Cel. 3173158095 – Colapso de paredes.</t>
  </si>
  <si>
    <t>CRA 16 # 19-72</t>
  </si>
  <si>
    <t>JOSE ALCIDES TORO GOMEZ, C.C 6356394, CEL: 3128348871. EDIFICIO DE TRES PISOS CON PAREDES Y COLUMNAS AGRIETADAS, TECHO CON DAÑOS</t>
  </si>
  <si>
    <t>CRA 16 # 19-62</t>
  </si>
  <si>
    <t>JONATHAN GARCIA, C.C: 1115416986, CEL: 3146358950. COLAPSO DE TECHO TRASERO Y CIELO RASO</t>
  </si>
  <si>
    <t>CLL 23#7-67</t>
  </si>
  <si>
    <t>BARRIO SAN PEDRO</t>
  </si>
  <si>
    <t>LUIS ALBERTO GARCIA, C.C: 3652307, CEL: 3116221469. CASA CON PAREDES AGRIETADAS Y COLAPSO DE TECHO</t>
  </si>
  <si>
    <t>CLL 23 # 7-73</t>
  </si>
  <si>
    <t>SAN PABLO</t>
  </si>
  <si>
    <t>FERNANDO MARTINEZ, C.C: 635764, CEL: 3127788286. CUBIERTA COLAPSADA</t>
  </si>
  <si>
    <t>CLL 23 #8-90</t>
  </si>
  <si>
    <t>DOLORES LOPEZ, C.C: 29154646, CEL: 3103290870. DILATACION DE CUBIERTA</t>
  </si>
  <si>
    <t>SANDRA MILENA ZAPATA, CEL: 3181135474. PAREDES COLAPSADAS</t>
  </si>
  <si>
    <t>TRANSVERSAL 15#23-05</t>
  </si>
  <si>
    <t>ELBA NELLY BORJA, C.C. 29613740, CEL: 3225087360. TECHO CON CAIDA DE TEJAS Y PAREDES AGRIETADAS</t>
  </si>
  <si>
    <t>TRANSVERSAL 15 #22-98</t>
  </si>
  <si>
    <t>MIRIA RAMIREZ POSSO, C.C: 29613170. TECHO CORRIDO Y PAREDES EN BAREQUE AGRIETADAS</t>
  </si>
  <si>
    <t>CRA 13 #23-76</t>
  </si>
  <si>
    <t>REINELBA POSSO AGUIRRE, C.C: 29612021, CEL: 3125289614. CASA EN BAREQUE CON GRAVES DAÑOS EN EL TECHO Y GRIETAS EN LAS PAREDES.</t>
  </si>
  <si>
    <t>20 MINUTOS</t>
  </si>
  <si>
    <t>CRA 13 # 23-29</t>
  </si>
  <si>
    <t>DAÑO EN LA CUBIERTA DEL TECHO Y CAIDA DE TEJA, CON COLAPSO DE PARED DE BAÑO.</t>
  </si>
  <si>
    <t>CRA 13 #25-09</t>
  </si>
  <si>
    <t>LEONEL POSSO, C.C: 6355029. COLAPSO DE TECHO Y CAIDA DE TEJAS.</t>
  </si>
  <si>
    <t>CLL 24 #13-04</t>
  </si>
  <si>
    <t>MARLEN CONSTANZA BORJA RANJEL, C.C. 66751589, CEL: 3506603976. DAÑO ESTRUCTURAL DE SEGUNDO PISO Y CAIDA DE TEJAS.</t>
  </si>
  <si>
    <t>CLL 22#16-69</t>
  </si>
  <si>
    <t>JAIME HERNANDO AGUIRRE, C.C: 6356944, CEL: 3152695297. DAÑO DE TECHO Y GRIETAS EN LAS PAREDES.</t>
  </si>
  <si>
    <t>CLL 21# 20-24</t>
  </si>
  <si>
    <t>ALBA LUCIA TORO, C.C: 66708360, CEL:3103706801. COLAPSO TOTAL DE TECHO.</t>
  </si>
  <si>
    <t>CLL 21# 19-80</t>
  </si>
  <si>
    <t>RAMIRO EDILSON TORRES, C.C: 94273858, CEL: 3175066255. CASA DE BAREQUE CON GRIETAS EN PAREDES Y TECHO DIVIDIDO.</t>
  </si>
  <si>
    <t>CLL 21#19-65</t>
  </si>
  <si>
    <t>NELSON JAVIER BARON, C.C: 93402451, CEL: 3160416202. TECHO HUNDIDO Y PISO CON UNA GRIETA GRANDE.</t>
  </si>
  <si>
    <t>CLL 21 #20-27</t>
  </si>
  <si>
    <t>JOSE NOLBERTO VINASCO, C.C: 66752439, CEL: 3235052671. INCLINACION DE CULATAS Y HUNDIMIENTO DE TECHO.</t>
  </si>
  <si>
    <t>CLL 21#20-49</t>
  </si>
  <si>
    <t>ISABEL VELEZ CANO, C.C: 66750268, CEL: 3114390509. DAÑO EN TODO EL TECHO.</t>
  </si>
  <si>
    <t>IGLESIA CRISTIANA CENTRO MISIONERO BETHESDA.</t>
  </si>
  <si>
    <t>TECHO COLAPSADO.</t>
  </si>
  <si>
    <t>CLL 24#15-42</t>
  </si>
  <si>
    <t>EPIFANIO MURIEL, CEL: 3116169881. DAÑO ESTRUCTURAL</t>
  </si>
  <si>
    <t>1 hora</t>
  </si>
  <si>
    <t>zona rosa---- la campesina</t>
  </si>
  <si>
    <t>suministro de agua en sector de zona rosa y la campesima baja</t>
  </si>
  <si>
    <t>CLL 21# 20-54</t>
  </si>
  <si>
    <t>JOSE ALDEMAR POSSO, C.C: 2582426, CEL: 3105067474. TECHO CON CAIDA DE TEJA Y GRIETAS EN LAS PAREDES.</t>
  </si>
  <si>
    <t>30 minutos</t>
  </si>
  <si>
    <t>CALLE 14 #18-35 / CALLE 14 #17-69</t>
  </si>
  <si>
    <t>YENNER ORTIZ (INQUILINO). PAREDES AGRIETADAS Y TECHO COLAPSADO.</t>
  </si>
  <si>
    <t>CLL 24 # 16-48</t>
  </si>
  <si>
    <t>ALBA INES GORDILLO RAMIREZ, COLAPSO DE TECHO</t>
  </si>
  <si>
    <t>CALLE 14 #17-31</t>
  </si>
  <si>
    <t>CESAR RIVERA (INQUILINO). TECHO DE LA COCINA COLAPSADO.</t>
  </si>
  <si>
    <t>CALLE 14 #16-39 (PANADERIA JJ)</t>
  </si>
  <si>
    <t>ANIBAL GOMEZ. COLAPSO DEL TECHO Y ESTRUCTURA AFECTADA.</t>
  </si>
  <si>
    <t>CRA 13 CALLE 13 ESQUINA</t>
  </si>
  <si>
    <t>INCENDIO EN CABLE DE LLA ENERGIA, EL CUAL SE REVIENTA DEBIDO A FUERTE SISMO EN HORAS DE LA MAÑANA</t>
  </si>
  <si>
    <t>100 MTS</t>
  </si>
  <si>
    <t>B-2, L-2</t>
  </si>
  <si>
    <t>CALLE 12 CRA 14</t>
  </si>
  <si>
    <t>FUGA DE GAS NATURAL EN UNA VIVIENDA DEL SECTOR,EN LA PARTE DEL MEDIDOR, RESULTANDO UNA PERSONA AFECTADA POR EL OLOR, LA CUAL FUE TRANSLADADA AL HOSPITAL LOCAL</t>
  </si>
  <si>
    <t>20 MT</t>
  </si>
  <si>
    <t>CLL 24#16-45</t>
  </si>
  <si>
    <t>LUZ ALBA ARCOS VILLEGAS, C.C: 31096724, CEL: 3113359748-3203345235. DAÑOS EN LA CUBIERTA DEL TECHO</t>
  </si>
  <si>
    <t>15 MINUTOS</t>
  </si>
  <si>
    <t>CLL 24#16-68</t>
  </si>
  <si>
    <t>OLIVO VINASCO, C.C: 31398474, CEL: 3177009304. DAÑOS ESTRUCTURALES</t>
  </si>
  <si>
    <t>CRA 17#24-39</t>
  </si>
  <si>
    <t>LA MILAGROSA</t>
  </si>
  <si>
    <t>ELVIA DE JESUS RUIZ URIBE, C.C: 24544322, CEL: 3226248470. COLAPSO DE PARED Y TECHO DE ZINC</t>
  </si>
  <si>
    <t>CRA 17#24-27</t>
  </si>
  <si>
    <t>EVELIA ALZATE, C.C: 29611623, CEL: 312653781. COLAPSO DE TECHO</t>
  </si>
  <si>
    <t>10 MINUTOS</t>
  </si>
  <si>
    <t>CRA 17#24-51</t>
  </si>
  <si>
    <t>HOOVER ERNEY FLOREZ VELEZ, C.C: 6359158, CEL:3172170567. COLAPSO DE TECHO</t>
  </si>
  <si>
    <t>CRA 17# 24-51</t>
  </si>
  <si>
    <t>ABEL BERMUDEZ, C.C: 2382561, CEL: 3104194072. COLAPSO DE TECHO Y PARED EN LADRILLO</t>
  </si>
  <si>
    <t>ANA ADIELA HURTADO, C.C: 29613256, CEL: 3137808732. PARED POR COLAPSAR</t>
  </si>
  <si>
    <t>CLL 26#11-298</t>
  </si>
  <si>
    <t>SAN MIGUEL</t>
  </si>
  <si>
    <t>CARMEN ROSA ECGEVRRY SUAZA, C.C: 29613638, CEL: 3113037675. CASA EN BAREQUE TOTALMENTE COLAPSADA</t>
  </si>
  <si>
    <t>CLL26#11-3-92</t>
  </si>
  <si>
    <t>CARLOS ALBERTO ECHEVERRY, C.C: 94276150, CEL: 3127431433. COLAPSO DE TECHO Y PARED EN LADRILLO</t>
  </si>
  <si>
    <t>CELMIRA ECHEVERRY SUAZA, CEL: 3225980286. CASA EN BAREQUE CON GRIETAS EN PAREDES Y COLAPSO DE TECHO</t>
  </si>
  <si>
    <t>CLL26#10A-91</t>
  </si>
  <si>
    <t>ELIZABETH SANTO SERNA, C.C: 25085963, CEL: 3124055956. COLAPSO TOTAL DE CASA EN LADRILLO</t>
  </si>
  <si>
    <t>MANZANA C CASA 13</t>
  </si>
  <si>
    <t>URBANIZACION LOS VIÑEDOS</t>
  </si>
  <si>
    <t>DIANA ALEJANDRA DUQUE RESTREPO, C.C: 1112623130, CEL: 3226043689. VIGAS DE SEGUNDO PISO CON GRIETAS</t>
  </si>
  <si>
    <t>MANZANA D CASA 3</t>
  </si>
  <si>
    <t>URBANIZACION LOS ALFREDOS GRAJALES</t>
  </si>
  <si>
    <t>FRANCISCO QUICENO, C.C: 1112629438, CEL: 3186599478. CASA DE TRES PISOS CON DAÑOS ESTRUCTURALES</t>
  </si>
  <si>
    <t>30 min</t>
  </si>
  <si>
    <t>calle 15#18-25</t>
  </si>
  <si>
    <t>COLAPSO PARCIAL / JENNY PATRICIA GARCIA / 304 6797331</t>
  </si>
  <si>
    <t>NO</t>
  </si>
  <si>
    <t>MANZANA C CASA 28</t>
  </si>
  <si>
    <t>LA PRIMAVERA</t>
  </si>
  <si>
    <t>FABIAN POSSO, ESTRUCTURA DEBILITADA</t>
  </si>
  <si>
    <t>30 MIN</t>
  </si>
  <si>
    <t>CALLE 17#18a -27</t>
  </si>
  <si>
    <t>CRUZ</t>
  </si>
  <si>
    <t>AGRIETAMIENTO DE PAREDES/ ALEXANDER GARCIA/ 3104068551</t>
  </si>
  <si>
    <t>EL LUCERO</t>
  </si>
  <si>
    <t>VIVIANA ZULUAGA, ESTRUCTURA COLAPSADA</t>
  </si>
  <si>
    <t>AGRIETAMIENTO DE PAREDES / GEORGELIS DURAN /3207026142</t>
  </si>
  <si>
    <t>ESCUELA ERMILA ZALASAR</t>
  </si>
  <si>
    <t>CARMEN YAMILET RAMIREZ, ESTRUCTURA COLAPSADA</t>
  </si>
  <si>
    <t>CLL 4#10-79</t>
  </si>
  <si>
    <t>DANIEL HUMBERTO, POSSO, TECHO COLAPSADO</t>
  </si>
  <si>
    <t>EIDER ALONSO MILLAN, CEL: 3106010702. DAÑO ESTRUCTURAL</t>
  </si>
  <si>
    <t>CALLE 17 # 15 -24</t>
  </si>
  <si>
    <t>CAIDA DE TECHO COMPLETO/ LUZ AYDE MILLAN / 3162950123</t>
  </si>
  <si>
    <t>CRA 8 a # 13 a -14</t>
  </si>
  <si>
    <t>CONSUELO NAVARRETE, CEL: 3011563617. TECHO COLAPSADO</t>
  </si>
  <si>
    <t>CARRERA 16 CALLE 18 PANADERIA EXQUISITA</t>
  </si>
  <si>
    <t>EL POPULAR</t>
  </si>
  <si>
    <t>INFRAESTRUCTURA DEBILITADA</t>
  </si>
  <si>
    <t>CRA 13 a #18 b 21</t>
  </si>
  <si>
    <t>PERSONA LESIONADA: EIMI YAJAIRA VELASQUEZ, CEL: 3102573253. ESTRUCTURA DEBILITADA.</t>
  </si>
  <si>
    <t>CRA 19#9-89</t>
  </si>
  <si>
    <t>JOSE ELIEL GALLEGO, ESTRUCTURA COLAPSADA, 42 APARTAMENTOS.</t>
  </si>
  <si>
    <t>CALLE 13 #11-40</t>
  </si>
  <si>
    <t>EL CARMEN</t>
  </si>
  <si>
    <t>COLAPSO DE TECHO Y PAREDES/ INES MONAR/ 3157235862</t>
  </si>
  <si>
    <t>PAOLA ANDREA MARTINEZ, CEL: 3168793824.</t>
  </si>
  <si>
    <t>CALLE 18 #11-52</t>
  </si>
  <si>
    <t>AGRIETAMIENTO DE PAREDES/ YOLIMA GIRALDO/3136363406</t>
  </si>
  <si>
    <t>CRA 11# 8 a 34</t>
  </si>
  <si>
    <t>JAVIER ZULETA, CEL: 3106438617. TECHO DILATADO</t>
  </si>
  <si>
    <t>CRA 11# 9-59</t>
  </si>
  <si>
    <t>ALBA CIELO RUIZ, CEL: 3217598224. MURO COLAPSADO</t>
  </si>
  <si>
    <t>CALLE 18 #18-88</t>
  </si>
  <si>
    <t>COLAPSO DE TECHOS/AURA LINA CASTAÑO/3103934027</t>
  </si>
  <si>
    <t>CALLE 18#18-94</t>
  </si>
  <si>
    <t>AGRIETAMIENTO DE PAREDES/DORA VALENCIA/3146723808</t>
  </si>
  <si>
    <t>30MIN</t>
  </si>
  <si>
    <t>CARRERA 19#11-58</t>
  </si>
  <si>
    <t>COLAPSO DE TECHO Y PAREDES/ HECTOR TORO/ 3136827101</t>
  </si>
  <si>
    <t>MANZANA C CASA 29</t>
  </si>
  <si>
    <t>JOSE LEONARDO HENAO, CEL: 3136514959. ESTRUCTURA DEBILITADA</t>
  </si>
  <si>
    <t>2O MINUTOS</t>
  </si>
  <si>
    <t>CARRERA 19 #18-10</t>
  </si>
  <si>
    <t>ANGELICA MONTOYA - TEL: 3127408450 - PAREDES AGRIETADAS</t>
  </si>
  <si>
    <t>MANZANA A CASA 12</t>
  </si>
  <si>
    <t>ARMANDO MAECHA, CEL: 3008651629. ESTRUCTURA DEBILITADA</t>
  </si>
  <si>
    <t>25 MINUTOS</t>
  </si>
  <si>
    <t>CRA 11# 8 a -109</t>
  </si>
  <si>
    <t>LUZ ENIT GALLON, ESTRUCTURA DEBILITADA</t>
  </si>
  <si>
    <t>MANZANA E CASA 10</t>
  </si>
  <si>
    <t>EL PRADO</t>
  </si>
  <si>
    <t>ANA DORIS RAMIREZ, ESTRUCTURA DEBILITADA</t>
  </si>
  <si>
    <t>CARRERA 19 #18-54</t>
  </si>
  <si>
    <t>RUBI RAMIREZ - TEL: 3136827101 - AFECTACIONES EN LAS PAREDES</t>
  </si>
  <si>
    <t>CLL 11# 14-18</t>
  </si>
  <si>
    <t>ADRIANA HERRERA, TECHO COLAPSADO</t>
  </si>
  <si>
    <t>CARERRA 13 #19 - 03</t>
  </si>
  <si>
    <t>MARTHA REBELLON - TEL: 3225638621 - COLAPSO DE TECHO Y PAREDES</t>
  </si>
  <si>
    <t>CRA 14 CON 12</t>
  </si>
  <si>
    <t>ESTRUCTURA DILATADA</t>
  </si>
  <si>
    <t>CALLE 18 #19 - 24</t>
  </si>
  <si>
    <t>JOSE MARTIN GUZMAN - TEL: 3188054624 - AGRIETAMIENTO EN PAREDES Y DAÑOS EN EL TECHO</t>
  </si>
  <si>
    <t>CALLE 18 # 19 - 24</t>
  </si>
  <si>
    <t>AGRIETAMIENTO EN PAREDES</t>
  </si>
  <si>
    <t>AMPARO ORPINA OCAMPO, CEL: 3206897815. EDIFICIO DE 8 APARTAMENTOS COLAPSADO</t>
  </si>
  <si>
    <t>CARRERA 12 B #8 - 27</t>
  </si>
  <si>
    <t>BEATRIZ CONDE - TEL: 3213668442 - TECHO COLAPSADO</t>
  </si>
  <si>
    <t>CRA 12 #11-44</t>
  </si>
  <si>
    <t>MARCO FIDEL GARCIA, CEL:3105792563, ESTRUCTURA COLAPSADA</t>
  </si>
  <si>
    <t>CRA 18 # 12-27</t>
  </si>
  <si>
    <t>LEIDY MILENA CARDENAS, CEL: 3235523202. ESTRUCTURA DEBILITADA</t>
  </si>
  <si>
    <t>CARRERA 20 #18 - 56</t>
  </si>
  <si>
    <t>HORACION BLANDON - TEL: 3177207363 - COLAPSO PARCIAL</t>
  </si>
  <si>
    <t>CALLE 26 B #8 - 04</t>
  </si>
  <si>
    <t>LEONIDAS VALENCIA - TEL: 3167472447 - AGRIETAMIENTO Y COLAPSO DE PAREDES</t>
  </si>
  <si>
    <t>CRA 11 # 9-53</t>
  </si>
  <si>
    <t>ADRIANA IMPATA, CEL: 3175534268. DAÑO ESTRUCTURAL</t>
  </si>
  <si>
    <t>MARIA BERENICE ZULUAGA, DAÑO ESTRUCTURAL</t>
  </si>
  <si>
    <t>CALLE 14 #16 - 14</t>
  </si>
  <si>
    <t>ALBA INES GORDILLO RAMIREZ - COLAPSO DEL TECHO EN LA PARTE TRASERA</t>
  </si>
  <si>
    <t>MARIA OLIVA BALLESTERO</t>
  </si>
  <si>
    <t>CALLE 14 #15 - 58</t>
  </si>
  <si>
    <t>WILIAM OCAMPO - COLAPSO DEL TECHO FRENTE A LA CALLE</t>
  </si>
  <si>
    <t>CALLE 14 # 15 - 46</t>
  </si>
  <si>
    <t>OFELIA AGUDELO - COLAPSO DEL TECHO DEL SEGUNDO PISO Y PARED</t>
  </si>
  <si>
    <t>PANADERIA MARINILLOS</t>
  </si>
  <si>
    <t>RIESGO ESTRUCTURAL - COLAPSO DE TECHO DE LA VIVIENDA</t>
  </si>
  <si>
    <t>CASA CONSISTORIAL</t>
  </si>
  <si>
    <t>TECHO COLAPSADO, COLAPSO EN ESTRUCTURA Y CABLES CAIDOS</t>
  </si>
  <si>
    <t>MARIA MULATA</t>
  </si>
  <si>
    <t>TECHO COLAPSADO</t>
  </si>
  <si>
    <t>HOTEL PRIMAVERA</t>
  </si>
  <si>
    <t>DAÑO ESTRUCTURAL</t>
  </si>
  <si>
    <t>MICELANEA POPULAR</t>
  </si>
  <si>
    <t>AURA MILENA SEGURA GARCIA, TECHO COLAPSADO</t>
  </si>
  <si>
    <t>EDIFICIO MARINILLOS</t>
  </si>
  <si>
    <t>JUAN DIEGO SERNA - TEL: 3113082812 - DAÑOS ESTRUCTURALES</t>
  </si>
  <si>
    <t>NORALBA RODRIGUEZ, COLAPSADO</t>
  </si>
  <si>
    <t>CLL 4#2-43</t>
  </si>
  <si>
    <t>SANDRA DELGADO, COLAPSO DE TECHO Y PAREDES AGRIETADAS</t>
  </si>
  <si>
    <t>CALLE 15 # 15 - 72</t>
  </si>
  <si>
    <t>DANIEL MONTEMIRANDA - AFECTACIONES ESTRUCTURALES</t>
  </si>
  <si>
    <t>CRA 3#3-78</t>
  </si>
  <si>
    <t>DIEGO MARIA DELGADO MILLAN, CEL: 3104551202. TECHO AFECTADO</t>
  </si>
  <si>
    <t>ASADERO LAS BRASAS</t>
  </si>
  <si>
    <t>CALLE 15 #17 - 28</t>
  </si>
  <si>
    <t>VALENTINA AGUDELO DIAZ - COLAPSO EN PARED Y TECHO</t>
  </si>
  <si>
    <t>CLL 14#17-44</t>
  </si>
  <si>
    <t>CAIDA DE TECHO</t>
  </si>
  <si>
    <t>CALLE 15 # 17 - 30</t>
  </si>
  <si>
    <t>VIVIENDA ESTRUCTURALMENTE AFECTADA</t>
  </si>
  <si>
    <t>CLL14#16-58</t>
  </si>
  <si>
    <t>ESTRUCTURA DEBILITADA</t>
  </si>
  <si>
    <t>CALLE 15 # 17 - 37</t>
  </si>
  <si>
    <t>JESSICA OCHOA - PARED INTERIOR COLAPSADA</t>
  </si>
  <si>
    <t>CLL 14# 16-18</t>
  </si>
  <si>
    <t>ESTRUCTURA COLAPSADA</t>
  </si>
  <si>
    <t>CALLE 15 #17 - 43</t>
  </si>
  <si>
    <t>RUBIELA POTES GARCIA - PARED AFECTADA</t>
  </si>
  <si>
    <t>FLORISTERIA LA ROSA MAYOLI</t>
  </si>
  <si>
    <t>AFECTACIONES ESTRUCTURALES DE PAREDES EN EL SEGUNDO Y TERCER PISO</t>
  </si>
  <si>
    <t>CLL 14 #16-44</t>
  </si>
  <si>
    <t>AFECTACIONES EN TECHO Y PAREDES</t>
  </si>
  <si>
    <t>CALLE 12 #20 - 77</t>
  </si>
  <si>
    <t>TRINIDAD GARCIA - COLAPSO DE TECHO Y PAREDES</t>
  </si>
  <si>
    <t>CLL 14#16-34</t>
  </si>
  <si>
    <t>COLICION DE TECHO</t>
  </si>
  <si>
    <t>CLL 15 #17-45</t>
  </si>
  <si>
    <t>CLL 14#18-35</t>
  </si>
  <si>
    <t>YENNER ORTIZ, ESTRUCTURA DEBILITADA</t>
  </si>
  <si>
    <t>RTECHO COLAPSADO</t>
  </si>
  <si>
    <t>CLL 14# 17-31</t>
  </si>
  <si>
    <t>COLAPSO DE TECHO</t>
  </si>
  <si>
    <t>PANADERIA JJ</t>
  </si>
  <si>
    <t>ANIBAL GOMEZ, ESTRUCTURA DEBILITADA</t>
  </si>
  <si>
    <t>CLL 14#16-39</t>
  </si>
  <si>
    <t>COLAPSO DE TECHO DE LA PARTE TRASERA, CENTRO MISIONERO BTHESDA</t>
  </si>
  <si>
    <t>CLL 14#16-14</t>
  </si>
  <si>
    <t>ALBA INES GORDILLO RAMIREZ, COLAPSO DE TECHO Y DAÑOS EN PARED</t>
  </si>
  <si>
    <t>WUILIAN OCAMPO, COLAPSO DE TECHO Y DAÑOS EN PARED</t>
  </si>
  <si>
    <t>CLL 14#15-46</t>
  </si>
  <si>
    <t>OFELIA AGUDELO, COLAPSO DE TECHO</t>
  </si>
  <si>
    <t>PANADERIA LOS MARINILLOS</t>
  </si>
  <si>
    <t>JUAN DIEGO SERNA, CEL: 3113082812. EDIFICIO CON ALTO RIESO DE DERRUMBE</t>
  </si>
  <si>
    <t>AL LADO DE PANADERIA LOS MARINILLOS</t>
  </si>
  <si>
    <t>#14-47</t>
  </si>
  <si>
    <t>COLAPSO DE ESTRUCTURA</t>
  </si>
  <si>
    <t>18 MINUTOS</t>
  </si>
  <si>
    <t>40 MINUTOS</t>
  </si>
  <si>
    <t>FINCA DEL TENIENTE RIVERA</t>
  </si>
  <si>
    <t>CAIDA DE PAREDES</t>
  </si>
  <si>
    <t>CALLE 23</t>
  </si>
  <si>
    <t>DARIO PANIAGUA - ABERTURA DE LA CUBIERTA DEL TECHO</t>
  </si>
  <si>
    <t>CRA 14 CON CLL 17</t>
  </si>
  <si>
    <t>EDIFICIO DE TRES PISOS CON POSIBLE COLAPSO
EN LA ESQUINA, UNA CASA CON COLAPSO ESTRUCTURAL
COLAPSO EN EL TALLER LONDOÑO
COLAPSO DE TECHO EN GUADUA Y ZINC</t>
  </si>
  <si>
    <t>ALBERTO CERRAJERO</t>
  </si>
  <si>
    <t>CORSEGA</t>
  </si>
  <si>
    <t>GILDARDO, CEL: 3112547635. CASA DEBILITADA SE DEJARON RECOMENDACIONES</t>
  </si>
  <si>
    <t>LA CASTELLANA</t>
  </si>
  <si>
    <t>ATAQUE DE ABEJAS CON PERSONAS PICADAS, CEL:3182011918</t>
  </si>
  <si>
    <t>ESQUINA DEL CONDOMINIO CARCAVELOS</t>
  </si>
  <si>
    <t>COLAPSO DE MEDIA ESTRUCTURA EN UNA VIVIENDA ANTIGUA</t>
  </si>
  <si>
    <t>FINCA LA MORITA</t>
  </si>
  <si>
    <t>MARIA EUGENIA CASTAÑO, CEL: 3170993271</t>
  </si>
  <si>
    <t>EN LA ESQUINA AL FRENTE DEL D1</t>
  </si>
  <si>
    <t>EIDA ROSA POSSO</t>
  </si>
  <si>
    <t>CLL 8 A B #9-24</t>
  </si>
  <si>
    <t>ESTRUCTURA DE TRES PISOS CON DAÑO ESTRUCTURAL</t>
  </si>
  <si>
    <t>CARRERA 14 CON CALLE 22</t>
  </si>
  <si>
    <t>UNA ESTRUCTURA COLAPSADA</t>
  </si>
  <si>
    <t>CLL 9</t>
  </si>
  <si>
    <t>BODEGA CON DAÑO ESTRUCTURAL</t>
  </si>
  <si>
    <t>CARRERA 19 CON CALLE 16</t>
  </si>
  <si>
    <t>CLL 12 #20-141</t>
  </si>
  <si>
    <t>SANTIAGO HERNANDEZ, CEL: 3233923524-3108231533. SEGUNDO PISO ESTA SIN ESCALERAS, ESTA LADEADA, ESTRUCTURA DEBILITADA</t>
  </si>
  <si>
    <t>CRA 15 #22-02</t>
  </si>
  <si>
    <t>ESQUINA DE PANADERIA</t>
  </si>
  <si>
    <t>TRES PERSONAS ATRAPADAS</t>
  </si>
  <si>
    <t>CRA 12#10-71</t>
  </si>
  <si>
    <t>YENNI GOMEZ, CEL: 3002006404. TECHO CON POSIBLE DERRUMBE</t>
  </si>
  <si>
    <t>CARRERA 19 #19 - 21B</t>
  </si>
  <si>
    <t>LA HABANA</t>
  </si>
  <si>
    <t>BLANCA IRENE TABAREZ - INFRAESTRUCTURA DEBILITADA</t>
  </si>
  <si>
    <t>CLL 18 #19-06</t>
  </si>
  <si>
    <t>EL JARDIN</t>
  </si>
  <si>
    <t>ANTALIK MORA CARDONA, CEL: 3128404707. EDIFICIO COLAPSADO</t>
  </si>
  <si>
    <t>CARRERA 19B #19 - 22</t>
  </si>
  <si>
    <t>YUBEN GARCIA - INFRAESTRUCTURA COLAPSADA</t>
  </si>
  <si>
    <t>CLL 21 #19-81</t>
  </si>
  <si>
    <t>RAMIRO EDILSON TORRES, CEL: 31750666255. COLAPSO DE ESTRUCTURA</t>
  </si>
  <si>
    <t>CALLE 23 #20 - 56 (POR EL PUENTE LOS CIRUELOS)</t>
  </si>
  <si>
    <t>MARIA DEL CARMEN ARIAS - INFRAESTRUCTURA DEBILITADA A PUNTO DE COLAPSAR</t>
  </si>
  <si>
    <t>CALLE 22 #20 - 96</t>
  </si>
  <si>
    <t>ANGELA MUÑOZ ARIAS - TEL: 3214292569 - INFRAESTRUCTURA COLAPSADA</t>
  </si>
  <si>
    <t>YULI MARCELA MOSCOSO - TEL: 3182872903 - ESTRUCTURA COLAPSADA</t>
  </si>
  <si>
    <t>FUGA DE GAS</t>
  </si>
  <si>
    <t>CALLE 19 # 17-44</t>
  </si>
  <si>
    <t>CAIDA DE TEJADO</t>
  </si>
  <si>
    <t>25 MIN</t>
  </si>
  <si>
    <t>FACHADA DEL PRIMER PISO</t>
  </si>
  <si>
    <t>16 MIN</t>
  </si>
  <si>
    <t>CALLE 14# 16-58</t>
  </si>
  <si>
    <t>DESTRUCCION DE FACHADA</t>
  </si>
  <si>
    <t>CALLE 22 #19 - 62</t>
  </si>
  <si>
    <t>CRISTIAN ALEXANDER CORREA - TEL: 3113242254 - INFRAESTRUCTURA COLAPSADA Y AFECTACIONES EN EL TECHO DE LA VIVIENDA</t>
  </si>
  <si>
    <t>19 MIN</t>
  </si>
  <si>
    <t>CALLE 14 # 16-54</t>
  </si>
  <si>
    <t>POSIBLE CAIDA DE MURO Y FACHADA</t>
  </si>
  <si>
    <t>CALLE 14 # 16-18</t>
  </si>
  <si>
    <t>COLICCION DE TECHO DE UN TERCER PISO</t>
  </si>
  <si>
    <t>CR18# 12-27</t>
  </si>
  <si>
    <t>LEIDY MILENA CARDENAS, CEL: 3232523202. ESTRUCTURA DEBILITADA</t>
  </si>
  <si>
    <t>CALLE 22 #20 - 29</t>
  </si>
  <si>
    <t>ALEXANDRA AGUIRRE - TEL: 3113488779 - AFECTACIONES EN EL TECHO</t>
  </si>
  <si>
    <t>27 MIN</t>
  </si>
  <si>
    <t>CALLE 14 # 16-25</t>
  </si>
  <si>
    <t>COLIPCION DE LA VIVIENDA EN EL TERCER PISO, COLISION DE PARED Y CAIDA DE CUCHILLAS DEL TERCER PISO</t>
  </si>
  <si>
    <t>CLL 11#11-43</t>
  </si>
  <si>
    <t>BARRIO BELEN</t>
  </si>
  <si>
    <t>39 MIN</t>
  </si>
  <si>
    <t>CALLE 14 # 16-44</t>
  </si>
  <si>
    <t>DESTRUCCION DE FACHADA Y COLICCION DE TECHO</t>
  </si>
  <si>
    <t>CLL 16#13-30</t>
  </si>
  <si>
    <t>CALLE 23A #13 - 29</t>
  </si>
  <si>
    <t>CAROL URIBE - TEL: 3127293391 - INFRAESTRUCTURA DEBILITADA</t>
  </si>
  <si>
    <t>CALLE 14 #16-34</t>
  </si>
  <si>
    <t>COLICION DE TECHO- JONDER BETANCOURT- 1006239196</t>
  </si>
  <si>
    <t>CLL 23 #17-15</t>
  </si>
  <si>
    <t>AFECTACIONES EN VIVIENDA</t>
  </si>
  <si>
    <t>17 MIN</t>
  </si>
  <si>
    <t>CALLE 14# 16-15 BARRIO LA CRUZ</t>
  </si>
  <si>
    <t>COLISION DE TECHO</t>
  </si>
  <si>
    <t>CALLE 22 #19 - 48</t>
  </si>
  <si>
    <t>LUCERO OSPINA GALLEGO - TEL: 3145070668 - INFRAESTRUCTURA DEBILITADA</t>
  </si>
  <si>
    <t>28 MIN</t>
  </si>
  <si>
    <t>CALLE 15# 17-48</t>
  </si>
  <si>
    <t>COLICSION TOTAL DEL TECHOO DE LA VIVIENDA</t>
  </si>
  <si>
    <t>CARRERA 20 #21 - 53</t>
  </si>
  <si>
    <t>GLORIA AMPARO VARELA - TEL: 3172250328 - ESTRUCTURA COLAPSADA</t>
  </si>
  <si>
    <t>CALLE 18# 19-06</t>
  </si>
  <si>
    <t>EDIFICIO COLAPSO- CASA DE 3 PUSOS ESQUINERA- ANTALIK MORA CARDONA- 3128404707</t>
  </si>
  <si>
    <t>CALLE 22 #18 - 32</t>
  </si>
  <si>
    <t>SAN PEDRO (FRENTE AL GIMNASIO ROLDAN)</t>
  </si>
  <si>
    <t>INFRAESTRUCTURA COLAPSADA</t>
  </si>
  <si>
    <t>CALLE 21 #19 - 81</t>
  </si>
  <si>
    <t>RAMIRO EDILSON TORRES - TEL: 3175066255 - INFRAESTRUCTURA COLAPSADA</t>
  </si>
  <si>
    <t>BARRIO EL PARAISO</t>
  </si>
  <si>
    <t>ACOMPAÑAMIENTO EN LA ENTREGA DE MERCADOS A PERSONAS AFECTADAS POR EL TERREMOTO</t>
  </si>
  <si>
    <t>VEREDAD EL BANCO</t>
  </si>
  <si>
    <t>SUMINISTRO DE AGUA A LA COMUNIDAD DE LA VEREDA EL BANCO (PRIMER VIAJE)</t>
  </si>
  <si>
    <t>BARRIO LA CIUDADELA</t>
  </si>
  <si>
    <t>SUMINISTRO DE AGUA A LA COMUNIDAD DEL BARRIO LA CIUDADELA</t>
  </si>
  <si>
    <t>T-1</t>
  </si>
  <si>
    <t>SUMINISTRO DE AGUA A LA COMUNIDAD DE LA VEREDA LA ISLA</t>
  </si>
  <si>
    <t>1 HORA Y 30 MINUTOS</t>
  </si>
  <si>
    <t>CALLE 13 FRENTE EL AGRICULTOR</t>
  </si>
  <si>
    <t>LAVADO DE CALLE FRENTE AL AGRICULTOR</t>
  </si>
  <si>
    <t>1 HORAS</t>
  </si>
  <si>
    <t>BARRIO LA PRIMAVERA</t>
  </si>
  <si>
    <t>SUMINISTRO DE AGUA A LA COMUNIDAD EL BARRIO LA PRIMAVERA</t>
  </si>
  <si>
    <t>LA CAMPESINA</t>
  </si>
  <si>
    <t>SUMINISTRO DE AGUA A LA COMUNIDAD DE LA CAMPESINA (PRIMER VIAJE)</t>
  </si>
  <si>
    <t>SUMINISTRO DE AGUA A LA COMUNIDAD DE LA CAMAPESINA (SEGUNDO VIAJE)</t>
  </si>
  <si>
    <t>SUMINISTRO DE AGUA A LA COMUNIDAD DE LA CAMPESINA (TERCER VIAJE)</t>
  </si>
  <si>
    <t>VEREDA EL BANCO</t>
  </si>
  <si>
    <t>SUMINISTRO DE AGUA A LA COMUNIDA DE LA VEREDA EL BANCO (SEGUNDO VIAJE)</t>
  </si>
  <si>
    <t>BARRIO LAS BRISAS</t>
  </si>
  <si>
    <t>SUMINISTRO DE AGUA A LA CAMUNIDAD DEL BARRIO LAS BRISAS</t>
  </si>
  <si>
    <t>VEREDA EL LUCERO</t>
  </si>
  <si>
    <t>SUMINISTRO DE AGUA A LA COMUNIDAD DE LA VEREDA EL LUCERO</t>
  </si>
  <si>
    <t>CARRERA 14 CON CALLE 12</t>
  </si>
  <si>
    <t>FUGA DE GAS NATURAL CON PERSONA DESMAYADA</t>
  </si>
  <si>
    <t>SUMINISTRO DE AGUA A LA COMUNIDAD DE LA CAMPESINA</t>
  </si>
  <si>
    <t>INFORMAN QUE DENTRO DE LA VIVIENDA AHI UN ENJAMBRE DE ABEJAS Y YA LOS PICARON</t>
  </si>
  <si>
    <t>CR 17 CON CLL 16 - CR 17 13 29</t>
  </si>
  <si>
    <t>INFORMAN DE CABLES CAIDOS DURANTE EL TERREMOTO Y NO ESTAN SEÑALIZADOS</t>
  </si>
  <si>
    <t>L-3</t>
  </si>
  <si>
    <t>ALCALDÍA MUNICIPAL</t>
  </si>
  <si>
    <t>ANÁLISIS Y CLASIFICACIÓN DE LOS RIESGOS IDENTIFICADOS CON ESPECIALISTAS DE LA ALCALDÍA</t>
  </si>
  <si>
    <t>ESTACIÓN DE POLICÍA</t>
  </si>
  <si>
    <t>ALCALDÍA MUNICIPAL SEDE SAN PEDRO</t>
  </si>
  <si>
    <t>REGISTRADURÍA - EDIFICIO PASAJE BELÉN</t>
  </si>
  <si>
    <t>JUZGADO PROMISCUO MUNICIPAL Y FISCALÍA</t>
  </si>
  <si>
    <t>COLISEO CUBIERTO FÁTIMA</t>
  </si>
  <si>
    <t>IGLESIA SAN JOSÉ</t>
  </si>
  <si>
    <t>IGLESIA SAN PEDRO APÓSTOL</t>
  </si>
  <si>
    <t>IGLESIA PERPETUO SOCORRO</t>
  </si>
  <si>
    <t>CEMENTERIO SAN MIGUEL ARCÁNGEL</t>
  </si>
  <si>
    <t>CENTRO DEL ADULTO MAYOR SANTA TERESITA</t>
  </si>
  <si>
    <t>SECRETARÍA DE AGRICULTURA</t>
  </si>
  <si>
    <t>GALERÍA MUNICIPAL</t>
  </si>
  <si>
    <t>HOGAR INFANTIL EL JARDÍN</t>
  </si>
  <si>
    <t>ESCUELITA SAN JOSÉ</t>
  </si>
  <si>
    <t>COLEGIO SAN JOSÉ</t>
  </si>
  <si>
    <t>TANQUE DE RESERVA VEREDA LA ISLA</t>
  </si>
  <si>
    <t>COLEGIO ITDG</t>
  </si>
  <si>
    <t>PARQUE NACIONAL DE LA UVA</t>
  </si>
  <si>
    <t>MUSEO NACIONAL DE LA UVA</t>
  </si>
  <si>
    <t>CUERPO DE BOMBEROS VOLUNTARIOS</t>
  </si>
  <si>
    <t>3 HORAS Y 30 MINUTOS</t>
  </si>
  <si>
    <t xml:space="preserve">SUMINISTRO DE AGUA A LA COMUNIDAD DE LA VEREDA EL BANCO
</t>
  </si>
  <si>
    <t>MARTINDOZA</t>
  </si>
  <si>
    <t>INFORMAN DE UNA QUEMA QUE SE GENERA EN LA VIA</t>
  </si>
  <si>
    <t>CRR 11 VIA AL LUCERO</t>
  </si>
  <si>
    <t>INFORMAN DE UNA PERSONA QUE ESTA EN EL TECHO REALIZANDO TRABAJOS Y NO SE PUEDE MOVER</t>
  </si>
  <si>
    <t>B-3, B-4</t>
  </si>
  <si>
    <t>2 HORAS 41 MINUTOS</t>
  </si>
  <si>
    <t>CASCO URBANO</t>
  </si>
  <si>
    <t>ACOMPAÑAMIENTO PARA ENTREGA DE DONACIONES</t>
  </si>
  <si>
    <t>1 HORA 27 MINUTOS</t>
  </si>
  <si>
    <t>CLL 17, CRA 15</t>
  </si>
  <si>
    <t>CORTO EN CABLE PRIMARIO CON AFECTACIÓN EN VELA</t>
  </si>
  <si>
    <t>3 Y 50 MINUTOS</t>
  </si>
  <si>
    <t>COLISEO ARGELINO GARZON</t>
  </si>
  <si>
    <t>BARRIO LAS LAJAS</t>
  </si>
  <si>
    <t>AYUDA EN LOGISTICA PARA EL APOYO HUMANITARIO QUE LLEGÓ DE ESTADOS UNIDOS PARA LAS PERSONAS AFECTADAS EN EL TERREMOTO</t>
  </si>
  <si>
    <t>L-1, L-2</t>
  </si>
  <si>
    <t>MANZADA D CASA 18</t>
  </si>
  <si>
    <t>EL AMPARO</t>
  </si>
  <si>
    <t>INFORMAN DE UNA IGUANA HERIDO QUE ESTA EN UN ARBOL</t>
  </si>
  <si>
    <t>QUEBRADAGRANDE</t>
  </si>
  <si>
    <t>40 MNTOS</t>
  </si>
  <si>
    <t>CRA 13 #10 44</t>
  </si>
  <si>
    <t>QUEMA DE DESECHOS DE UNA VIVIENDA QUE ESTAN DEMOLIENDO, LA CUAL ESTABA AFECTANDO LA CASA CONTINUA Y A LA COMUNIDAD DEVIDO AL FUERTE HUMO</t>
  </si>
  <si>
    <t>50 M/2</t>
  </si>
  <si>
    <t>B-4, L-3</t>
  </si>
  <si>
    <t>39 MNTOS</t>
  </si>
  <si>
    <t>REINICIAN QUEMA DE DESECHOS DE CONSTRUCION.MADERAS Y OTROS</t>
  </si>
  <si>
    <t>2 horas</t>
  </si>
  <si>
    <t>Vía Panorama cerca al corregimiento pedregal</t>
  </si>
  <si>
    <t>Pedregal</t>
  </si>
  <si>
    <t>15:54 La bombera Rivera reporta un árbol caido sobre la carretera obstruyendo paso vehicular.
15:55 se hace enlace con Gestión de riesgo y policía de carreteras.
16:20 Sale L2 con 2 unidades, Cbo. Villa y Bra. Alejandra para hacer verificación de riesgos en el lugar y realizar operaciones de despeje de vía.
16:37 L2 reporta llegada al sitio y acompañamioento de policía de carreteras.
16:47 L2 reporta el retiro del lugar dejando el área a cargo de policía de carreteras. Se dirigen a la estación para recoger al sbt. Rivera y herramientas necesarias.
17:06 Ingresa L2 a la institución, dando información sobre un árbol de tamaño mediano que se encuentra obtaculizando la mitad de la vía.
17:11 Sale L2 con 3 unidades, Sbt. Rivera, Cbo. Villa, y Bra. Alejandra.
17:22 L2 reporta llegada al sitio
17:23 Se inician labores de corte y despeje del área.
17:39 L2 reporta fin de las operaciones. Se inicia recogida de material.
17:41 L2 reporta que se retiran del sitio y se dirigen a la institución.
17:52 L2 ingresa a la estación con 3 unidades, reportando las novedades antes mencionadas.</t>
  </si>
  <si>
    <t>CALLE 9A # 13 - 37</t>
  </si>
  <si>
    <t>ANALISIS DE RIESGO</t>
  </si>
  <si>
    <t>CALLE 12A # 23A - 28 PISO 2</t>
  </si>
  <si>
    <t>CARRERA 14 # 13 - 44</t>
  </si>
  <si>
    <t>CARRERA 14 # 16 - 52</t>
  </si>
  <si>
    <t>TV 15 # 22 - 72</t>
  </si>
  <si>
    <t>CARRERA 24 # 12 - 121</t>
  </si>
  <si>
    <t>CRA 15 CALLE 15 PARQUE PPAL</t>
  </si>
  <si>
    <t>ACOMPAÑAMIENTO PARA DEMOLER UNA PARED DE LA CASA CONSISTORIAL</t>
  </si>
  <si>
    <t>100M/2</t>
  </si>
  <si>
    <t>CR 20 CON CLL 11</t>
  </si>
  <si>
    <t>INFORMAN DE UNA QUEMA EN GUADUAL</t>
  </si>
  <si>
    <t>100 MTR2</t>
  </si>
  <si>
    <t>04°31'50.42" N 76°06'29.65" W</t>
  </si>
  <si>
    <t>26 MNTOS</t>
  </si>
  <si>
    <t>CALLE 15 #13 24</t>
  </si>
  <si>
    <t>BELEN ZONA CENTRO</t>
  </si>
  <si>
    <t>RECUPERACION DE UNA SERPIENTE QUE SE ENCONTRABA DENTRO DE UNA VIVIENDA*</t>
  </si>
  <si>
    <t>ESCUELA EL LUCERO</t>
  </si>
  <si>
    <t>VIA LAUNION EL PORTACHUELO KL4.5</t>
  </si>
  <si>
    <t>EL PORTACHUELO</t>
  </si>
  <si>
    <t>QUEMA DE PASTOS SECOS A ORILLAS DE LA CARRETERA, EL CUAL APENAS SE ESTABA INICIANDO</t>
  </si>
  <si>
    <t>5 M/2</t>
  </si>
  <si>
    <t>DURANTE EL MES DE AGOSTO 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</si>
</sst>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10"/>
      <color theme="1"/>
      <name val="Arial"/>
      <family val="2"/>
    </font>
    <font>
      <sz val="10"/>
      <color rgb="FF434343"/>
      <name val="Roboto"/>
    </font>
    <font>
      <sz val="10"/>
      <color rgb="FF00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rgb="FF434343"/>
      <name val="Roboto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8">
    <xf numFmtId="0" fontId="0" fillId="0" borderId="0" xfId="0"/>
    <xf numFmtId="0" fontId="0" fillId="0" borderId="1" xfId="0" applyBorder="1"/>
    <xf numFmtId="0" fontId="0" fillId="0" borderId="0" xfId="0" applyAlignment="1">
      <alignment horizontal="center" vertical="center"/>
    </xf>
    <xf numFmtId="0" fontId="0" fillId="0" borderId="3" xfId="0" applyBorder="1"/>
    <xf numFmtId="9" fontId="0" fillId="0" borderId="2" xfId="1" applyNumberFormat="1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/>
    </xf>
    <xf numFmtId="0" fontId="0" fillId="0" borderId="10" xfId="0" applyBorder="1"/>
    <xf numFmtId="0" fontId="3" fillId="2" borderId="5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9" fontId="0" fillId="0" borderId="4" xfId="1" applyNumberFormat="1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9" fontId="0" fillId="0" borderId="11" xfId="1" applyNumberFormat="1" applyFont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/>
    </xf>
    <xf numFmtId="9" fontId="1" fillId="2" borderId="6" xfId="1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4" fillId="2" borderId="22" xfId="0" applyFont="1" applyFill="1" applyBorder="1" applyAlignment="1">
      <alignment horizontal="center" vertical="center" wrapText="1"/>
    </xf>
    <xf numFmtId="0" fontId="4" fillId="2" borderId="23" xfId="0" applyFont="1" applyFill="1" applyBorder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0" fontId="5" fillId="2" borderId="23" xfId="0" applyFont="1" applyFill="1" applyBorder="1" applyAlignment="1">
      <alignment horizontal="center" vertical="center" wrapText="1"/>
    </xf>
    <xf numFmtId="0" fontId="5" fillId="2" borderId="24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vertical="center" wrapText="1"/>
    </xf>
    <xf numFmtId="0" fontId="7" fillId="5" borderId="7" xfId="0" applyFont="1" applyFill="1" applyBorder="1" applyAlignment="1">
      <alignment vertical="center" wrapText="1"/>
    </xf>
    <xf numFmtId="0" fontId="8" fillId="4" borderId="7" xfId="0" applyFont="1" applyFill="1" applyBorder="1" applyAlignment="1">
      <alignment vertical="center" wrapText="1"/>
    </xf>
    <xf numFmtId="14" fontId="7" fillId="4" borderId="7" xfId="0" applyNumberFormat="1" applyFont="1" applyFill="1" applyBorder="1" applyAlignment="1">
      <alignment vertical="center" wrapText="1"/>
    </xf>
    <xf numFmtId="14" fontId="7" fillId="5" borderId="7" xfId="0" applyNumberFormat="1" applyFont="1" applyFill="1" applyBorder="1" applyAlignment="1">
      <alignment vertical="center" wrapText="1"/>
    </xf>
    <xf numFmtId="0" fontId="8" fillId="5" borderId="7" xfId="0" applyFont="1" applyFill="1" applyBorder="1" applyAlignment="1">
      <alignment vertical="center" wrapText="1"/>
    </xf>
    <xf numFmtId="0" fontId="1" fillId="2" borderId="14" xfId="0" applyFont="1" applyFill="1" applyBorder="1" applyAlignment="1">
      <alignment horizontal="center" wrapText="1"/>
    </xf>
    <xf numFmtId="0" fontId="1" fillId="2" borderId="15" xfId="0" applyFont="1" applyFill="1" applyBorder="1" applyAlignment="1">
      <alignment horizontal="center" wrapText="1"/>
    </xf>
    <xf numFmtId="0" fontId="1" fillId="2" borderId="16" xfId="0" applyFont="1" applyFill="1" applyBorder="1" applyAlignment="1">
      <alignment horizontal="center" wrapText="1"/>
    </xf>
    <xf numFmtId="17" fontId="1" fillId="2" borderId="17" xfId="0" applyNumberFormat="1" applyFont="1" applyFill="1" applyBorder="1" applyAlignment="1">
      <alignment horizontal="center" vertical="top" wrapText="1"/>
    </xf>
    <xf numFmtId="0" fontId="1" fillId="2" borderId="12" xfId="0" applyFont="1" applyFill="1" applyBorder="1" applyAlignment="1">
      <alignment horizontal="center" vertical="top" wrapText="1"/>
    </xf>
    <xf numFmtId="0" fontId="1" fillId="2" borderId="18" xfId="0" applyFont="1" applyFill="1" applyBorder="1" applyAlignment="1">
      <alignment horizontal="center" vertical="top" wrapText="1"/>
    </xf>
    <xf numFmtId="0" fontId="0" fillId="0" borderId="25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4" fillId="2" borderId="20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14" fontId="4" fillId="2" borderId="20" xfId="0" applyNumberFormat="1" applyFont="1" applyFill="1" applyBorder="1" applyAlignment="1">
      <alignment horizontal="center" vertical="center"/>
    </xf>
    <xf numFmtId="14" fontId="4" fillId="2" borderId="7" xfId="0" applyNumberFormat="1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vertical="center" wrapText="1"/>
    </xf>
    <xf numFmtId="0" fontId="7" fillId="3" borderId="7" xfId="0" applyFont="1" applyFill="1" applyBorder="1" applyAlignment="1">
      <alignment vertical="center" wrapText="1"/>
    </xf>
    <xf numFmtId="0" fontId="0" fillId="3" borderId="7" xfId="0" applyFill="1" applyBorder="1" applyAlignment="1">
      <alignment horizontal="center" vertical="center" wrapText="1"/>
    </xf>
    <xf numFmtId="14" fontId="7" fillId="3" borderId="7" xfId="0" applyNumberFormat="1" applyFont="1" applyFill="1" applyBorder="1" applyAlignment="1">
      <alignment vertical="center" wrapText="1"/>
    </xf>
    <xf numFmtId="0" fontId="8" fillId="3" borderId="7" xfId="0" applyFont="1" applyFill="1" applyBorder="1" applyAlignment="1">
      <alignment vertical="center" wrapText="1"/>
    </xf>
    <xf numFmtId="0" fontId="7" fillId="0" borderId="7" xfId="0" applyFont="1" applyBorder="1" applyAlignment="1">
      <alignment vertical="center" wrapText="1"/>
    </xf>
    <xf numFmtId="14" fontId="7" fillId="0" borderId="7" xfId="0" applyNumberFormat="1" applyFont="1" applyBorder="1" applyAlignment="1">
      <alignment vertical="center" wrapText="1"/>
    </xf>
  </cellXfs>
  <cellStyles count="2">
    <cellStyle name="Normal" xfId="0" builtinId="0"/>
    <cellStyle name="Porcentaje" xfId="1" builtinId="5"/>
  </cellStyles>
  <dxfs count="6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CONSOLIDADO!$A$4</c:f>
              <c:strCache>
                <c:ptCount val="1"/>
                <c:pt idx="0">
                  <c:v>CAÍDA / CORTES DE ARBOL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CONSOLIDADO!$C$3</c:f>
              <c:strCache>
                <c:ptCount val="1"/>
                <c:pt idx="0">
                  <c:v>% INCIDENCIA</c:v>
                </c:pt>
              </c:strCache>
            </c:strRef>
          </c:cat>
          <c:val>
            <c:numRef>
              <c:f>CONSOLIDADO!$C$4</c:f>
              <c:numCache>
                <c:formatCode>0%</c:formatCode>
                <c:ptCount val="1"/>
                <c:pt idx="0">
                  <c:v>2.8169014084507044E-3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D4-4E22-8927-70751665B9C9}"/>
            </c:ext>
          </c:extLst>
        </c:ser>
        <c:ser>
          <c:idx val="1"/>
          <c:order val="1"/>
          <c:tx>
            <c:strRef>
              <c:f>CONSOLIDADO!$A$5</c:f>
              <c:strCache>
                <c:ptCount val="1"/>
                <c:pt idx="0">
                  <c:v>CONTROL DE ABEJAS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CONSOLIDADO!$C$3</c:f>
              <c:strCache>
                <c:ptCount val="1"/>
                <c:pt idx="0">
                  <c:v>% INCIDENCIA</c:v>
                </c:pt>
              </c:strCache>
            </c:strRef>
          </c:cat>
          <c:val>
            <c:numRef>
              <c:f>CONSOLIDADO!$C$5</c:f>
              <c:numCache>
                <c:formatCode>0%</c:formatCode>
                <c:ptCount val="1"/>
                <c:pt idx="0">
                  <c:v>5.6338028169014088E-3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2AD4-4E22-8927-70751665B9C9}"/>
            </c:ext>
          </c:extLst>
        </c:ser>
        <c:ser>
          <c:idx val="2"/>
          <c:order val="2"/>
          <c:tx>
            <c:strRef>
              <c:f>CONSOLIDADO!$A$6</c:f>
              <c:strCache>
                <c:ptCount val="1"/>
                <c:pt idx="0">
                  <c:v>CONTROL DE AVISPAS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CONSOLIDADO!$C$3</c:f>
              <c:strCache>
                <c:ptCount val="1"/>
                <c:pt idx="0">
                  <c:v>% INCIDENCIA</c:v>
                </c:pt>
              </c:strCache>
            </c:strRef>
          </c:cat>
          <c:val>
            <c:numRef>
              <c:f>CONSOLIDADO!$C$6</c:f>
              <c:numCache>
                <c:formatCode>0%</c:formatCode>
                <c:ptCount val="1"/>
                <c:pt idx="0">
                  <c:v>2.8169014084507044E-3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2AD4-4E22-8927-70751665B9C9}"/>
            </c:ext>
          </c:extLst>
        </c:ser>
        <c:ser>
          <c:idx val="3"/>
          <c:order val="3"/>
          <c:tx>
            <c:strRef>
              <c:f>CONSOLIDADO!$A$7</c:f>
              <c:strCache>
                <c:ptCount val="1"/>
                <c:pt idx="0">
                  <c:v>CAÍDA DE CUERDAS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CONSOLIDADO!$C$3</c:f>
              <c:strCache>
                <c:ptCount val="1"/>
                <c:pt idx="0">
                  <c:v>% INCIDENCIA</c:v>
                </c:pt>
              </c:strCache>
            </c:strRef>
          </c:cat>
          <c:val>
            <c:numRef>
              <c:f>CONSOLIDADO!$C$7</c:f>
              <c:numCache>
                <c:formatCode>0%</c:formatCode>
                <c:ptCount val="1"/>
                <c:pt idx="0">
                  <c:v>8.4507042253521118E-3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2AD4-4E22-8927-70751665B9C9}"/>
            </c:ext>
          </c:extLst>
        </c:ser>
        <c:ser>
          <c:idx val="4"/>
          <c:order val="4"/>
          <c:tx>
            <c:strRef>
              <c:f>CONSOLIDADO!$A$8</c:f>
              <c:strCache>
                <c:ptCount val="1"/>
                <c:pt idx="0">
                  <c:v>CORTO CIRCUITO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CONSOLIDADO!$C$3</c:f>
              <c:strCache>
                <c:ptCount val="1"/>
                <c:pt idx="0">
                  <c:v>% INCIDENCIA</c:v>
                </c:pt>
              </c:strCache>
            </c:strRef>
          </c:cat>
          <c:val>
            <c:numRef>
              <c:f>CONSOLIDADO!$C$8</c:f>
              <c:numCache>
                <c:formatCode>0%</c:formatCode>
                <c:ptCount val="1"/>
                <c:pt idx="0">
                  <c:v>8.4507042253521118E-3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2AD4-4E22-8927-70751665B9C9}"/>
            </c:ext>
          </c:extLst>
        </c:ser>
        <c:ser>
          <c:idx val="5"/>
          <c:order val="5"/>
          <c:tx>
            <c:strRef>
              <c:f>CONSOLIDADO!$A$9</c:f>
              <c:strCache>
                <c:ptCount val="1"/>
                <c:pt idx="0">
                  <c:v>COLAPSO DE ESTRUCTURAS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CONSOLIDADO!$C$3</c:f>
              <c:strCache>
                <c:ptCount val="1"/>
                <c:pt idx="0">
                  <c:v>% INCIDENCIA</c:v>
                </c:pt>
              </c:strCache>
            </c:strRef>
          </c:cat>
          <c:val>
            <c:numRef>
              <c:f>CONSOLIDADO!$C$9</c:f>
              <c:numCache>
                <c:formatCode>0%</c:formatCode>
                <c:ptCount val="1"/>
                <c:pt idx="0">
                  <c:v>5.6338028169014088E-3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2AD4-4E22-8927-70751665B9C9}"/>
            </c:ext>
          </c:extLst>
        </c:ser>
        <c:ser>
          <c:idx val="6"/>
          <c:order val="6"/>
          <c:tx>
            <c:strRef>
              <c:f>CONSOLIDADO!$A$10</c:f>
              <c:strCache>
                <c:ptCount val="1"/>
                <c:pt idx="0">
                  <c:v>CAPACITACIONES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CONSOLIDADO!$C$3</c:f>
              <c:strCache>
                <c:ptCount val="1"/>
                <c:pt idx="0">
                  <c:v>% INCIDENCIA</c:v>
                </c:pt>
              </c:strCache>
            </c:strRef>
          </c:cat>
          <c:val>
            <c:numRef>
              <c:f>CONSOLIDADO!$C$10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2AD4-4E22-8927-70751665B9C9}"/>
            </c:ext>
          </c:extLst>
        </c:ser>
        <c:ser>
          <c:idx val="7"/>
          <c:order val="7"/>
          <c:tx>
            <c:strRef>
              <c:f>CONSOLIDADO!$A$11</c:f>
              <c:strCache>
                <c:ptCount val="1"/>
                <c:pt idx="0">
                  <c:v>EXTRICACIÓN VEHICULAR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CONSOLIDADO!$C$3</c:f>
              <c:strCache>
                <c:ptCount val="1"/>
                <c:pt idx="0">
                  <c:v>% INCIDENCIA</c:v>
                </c:pt>
              </c:strCache>
            </c:strRef>
          </c:cat>
          <c:val>
            <c:numRef>
              <c:f>CONSOLIDADO!$C$11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2AD4-4E22-8927-70751665B9C9}"/>
            </c:ext>
          </c:extLst>
        </c:ser>
        <c:ser>
          <c:idx val="8"/>
          <c:order val="8"/>
          <c:tx>
            <c:strRef>
              <c:f>CONSOLIDADO!$A$12</c:f>
              <c:strCache>
                <c:ptCount val="1"/>
                <c:pt idx="0">
                  <c:v>FUGA DE GAS NATURAL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CONSOLIDADO!$C$3</c:f>
              <c:strCache>
                <c:ptCount val="1"/>
                <c:pt idx="0">
                  <c:v>% INCIDENCIA</c:v>
                </c:pt>
              </c:strCache>
            </c:strRef>
          </c:cat>
          <c:val>
            <c:numRef>
              <c:f>CONSOLIDADO!$C$12</c:f>
              <c:numCache>
                <c:formatCode>0%</c:formatCode>
                <c:ptCount val="1"/>
                <c:pt idx="0">
                  <c:v>1.1267605633802818E-2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2AD4-4E22-8927-70751665B9C9}"/>
            </c:ext>
          </c:extLst>
        </c:ser>
        <c:ser>
          <c:idx val="9"/>
          <c:order val="9"/>
          <c:tx>
            <c:strRef>
              <c:f>CONSOLIDADO!$A$13</c:f>
              <c:strCache>
                <c:ptCount val="1"/>
                <c:pt idx="0">
                  <c:v>FUGA DE GAS GLP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CONSOLIDADO!$C$3</c:f>
              <c:strCache>
                <c:ptCount val="1"/>
                <c:pt idx="0">
                  <c:v>% INCIDENCIA</c:v>
                </c:pt>
              </c:strCache>
            </c:strRef>
          </c:cat>
          <c:val>
            <c:numRef>
              <c:f>CONSOLIDADO!$C$13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2AD4-4E22-8927-70751665B9C9}"/>
            </c:ext>
          </c:extLst>
        </c:ser>
        <c:ser>
          <c:idx val="10"/>
          <c:order val="10"/>
          <c:tx>
            <c:strRef>
              <c:f>CONSOLIDADO!$A$14</c:f>
              <c:strCache>
                <c:ptCount val="1"/>
                <c:pt idx="0">
                  <c:v>INCENDIO FORESTAL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CONSOLIDADO!$C$3</c:f>
              <c:strCache>
                <c:ptCount val="1"/>
                <c:pt idx="0">
                  <c:v>% INCIDENCIA</c:v>
                </c:pt>
              </c:strCache>
            </c:strRef>
          </c:cat>
          <c:val>
            <c:numRef>
              <c:f>CONSOLIDADO!$C$14</c:f>
              <c:numCache>
                <c:formatCode>0%</c:formatCode>
                <c:ptCount val="1"/>
                <c:pt idx="0">
                  <c:v>1.9718309859154931E-2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2AD4-4E22-8927-70751665B9C9}"/>
            </c:ext>
          </c:extLst>
        </c:ser>
        <c:ser>
          <c:idx val="11"/>
          <c:order val="11"/>
          <c:tx>
            <c:strRef>
              <c:f>CONSOLIDADO!$A$15</c:f>
              <c:strCache>
                <c:ptCount val="1"/>
                <c:pt idx="0">
                  <c:v>INCENDIO ESTRUCTURAL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CONSOLIDADO!$C$3</c:f>
              <c:strCache>
                <c:ptCount val="1"/>
                <c:pt idx="0">
                  <c:v>% INCIDENCIA</c:v>
                </c:pt>
              </c:strCache>
            </c:strRef>
          </c:cat>
          <c:val>
            <c:numRef>
              <c:f>CONSOLIDADO!$C$15</c:f>
              <c:numCache>
                <c:formatCode>0%</c:formatCode>
                <c:ptCount val="1"/>
                <c:pt idx="0">
                  <c:v>2.8169014084507044E-3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2AD4-4E22-8927-70751665B9C9}"/>
            </c:ext>
          </c:extLst>
        </c:ser>
        <c:ser>
          <c:idx val="12"/>
          <c:order val="12"/>
          <c:tx>
            <c:strRef>
              <c:f>CONSOLIDADO!$A$16</c:f>
              <c:strCache>
                <c:ptCount val="1"/>
                <c:pt idx="0">
                  <c:v>INCENDIO VEHICULAR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CONSOLIDADO!$C$3</c:f>
              <c:strCache>
                <c:ptCount val="1"/>
                <c:pt idx="0">
                  <c:v>% INCIDENCIA</c:v>
                </c:pt>
              </c:strCache>
            </c:strRef>
          </c:cat>
          <c:val>
            <c:numRef>
              <c:f>CONSOLIDADO!$C$16</c:f>
              <c:numCache>
                <c:formatCode>0%</c:formatCode>
                <c:ptCount val="1"/>
                <c:pt idx="0">
                  <c:v>2.8169014084507044E-3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2AD4-4E22-8927-70751665B9C9}"/>
            </c:ext>
          </c:extLst>
        </c:ser>
        <c:ser>
          <c:idx val="13"/>
          <c:order val="13"/>
          <c:tx>
            <c:strRef>
              <c:f>CONSOLIDADO!$A$17</c:f>
              <c:strCache>
                <c:ptCount val="1"/>
                <c:pt idx="0">
                  <c:v>INUNDACIÓN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CONSOLIDADO!$C$3</c:f>
              <c:strCache>
                <c:ptCount val="1"/>
                <c:pt idx="0">
                  <c:v>% INCIDENCIA</c:v>
                </c:pt>
              </c:strCache>
            </c:strRef>
          </c:cat>
          <c:val>
            <c:numRef>
              <c:f>CONSOLIDADO!$C$17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2AD4-4E22-8927-70751665B9C9}"/>
            </c:ext>
          </c:extLst>
        </c:ser>
        <c:ser>
          <c:idx val="14"/>
          <c:order val="14"/>
          <c:tx>
            <c:strRef>
              <c:f>CONSOLIDADO!$A$18</c:f>
              <c:strCache>
                <c:ptCount val="1"/>
                <c:pt idx="0">
                  <c:v>LABORES DE PREVENCION O ACOMPAÑAMIENTO EN GESTION DEL RIESGO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CONSOLIDADO!$C$3</c:f>
              <c:strCache>
                <c:ptCount val="1"/>
                <c:pt idx="0">
                  <c:v>% INCIDENCIA</c:v>
                </c:pt>
              </c:strCache>
            </c:strRef>
          </c:cat>
          <c:val>
            <c:numRef>
              <c:f>CONSOLIDADO!$C$18</c:f>
              <c:numCache>
                <c:formatCode>0%</c:formatCode>
                <c:ptCount val="1"/>
                <c:pt idx="0">
                  <c:v>0.87887323943661977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2AD4-4E22-8927-70751665B9C9}"/>
            </c:ext>
          </c:extLst>
        </c:ser>
        <c:ser>
          <c:idx val="15"/>
          <c:order val="15"/>
          <c:tx>
            <c:strRef>
              <c:f>CONSOLIDADO!$A$19</c:f>
              <c:strCache>
                <c:ptCount val="1"/>
                <c:pt idx="0">
                  <c:v>MATERIALES PELIGROSOS / DERRAMES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CONSOLIDADO!$C$3</c:f>
              <c:strCache>
                <c:ptCount val="1"/>
                <c:pt idx="0">
                  <c:v>% INCIDENCIA</c:v>
                </c:pt>
              </c:strCache>
            </c:strRef>
          </c:cat>
          <c:val>
            <c:numRef>
              <c:f>CONSOLIDADO!$C$19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2AD4-4E22-8927-70751665B9C9}"/>
            </c:ext>
          </c:extLst>
        </c:ser>
        <c:ser>
          <c:idx val="16"/>
          <c:order val="16"/>
          <c:tx>
            <c:strRef>
              <c:f>CONSOLIDADO!$A$20</c:f>
              <c:strCache>
                <c:ptCount val="1"/>
                <c:pt idx="0">
                  <c:v>PRIMEROS AUXILIOS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CONSOLIDADO!$C$3</c:f>
              <c:strCache>
                <c:ptCount val="1"/>
                <c:pt idx="0">
                  <c:v>% INCIDENCIA</c:v>
                </c:pt>
              </c:strCache>
            </c:strRef>
          </c:cat>
          <c:val>
            <c:numRef>
              <c:f>CONSOLIDADO!$C$20</c:f>
              <c:numCache>
                <c:formatCode>0%</c:formatCode>
                <c:ptCount val="1"/>
                <c:pt idx="0">
                  <c:v>2.8169014084507044E-3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2AD4-4E22-8927-70751665B9C9}"/>
            </c:ext>
          </c:extLst>
        </c:ser>
        <c:ser>
          <c:idx val="17"/>
          <c:order val="17"/>
          <c:tx>
            <c:strRef>
              <c:f>CONSOLIDADO!$A$21</c:f>
              <c:strCache>
                <c:ptCount val="1"/>
                <c:pt idx="0">
                  <c:v>RESCATE DE PERSONA / PARAPENTE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CONSOLIDADO!$C$3</c:f>
              <c:strCache>
                <c:ptCount val="1"/>
                <c:pt idx="0">
                  <c:v>% INCIDENCIA</c:v>
                </c:pt>
              </c:strCache>
            </c:strRef>
          </c:cat>
          <c:val>
            <c:numRef>
              <c:f>CONSOLIDADO!$C$21</c:f>
              <c:numCache>
                <c:formatCode>0%</c:formatCode>
                <c:ptCount val="1"/>
                <c:pt idx="0">
                  <c:v>2.8169014084507044E-3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2AD4-4E22-8927-70751665B9C9}"/>
            </c:ext>
          </c:extLst>
        </c:ser>
        <c:ser>
          <c:idx val="18"/>
          <c:order val="18"/>
          <c:tx>
            <c:strRef>
              <c:f>CONSOLIDADO!$A$22</c:f>
              <c:strCache>
                <c:ptCount val="1"/>
                <c:pt idx="0">
                  <c:v>RESCATE DE ANIMAL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CONSOLIDADO!$C$3</c:f>
              <c:strCache>
                <c:ptCount val="1"/>
                <c:pt idx="0">
                  <c:v>% INCIDENCIA</c:v>
                </c:pt>
              </c:strCache>
            </c:strRef>
          </c:cat>
          <c:val>
            <c:numRef>
              <c:f>CONSOLIDADO!$C$22</c:f>
              <c:numCache>
                <c:formatCode>0%</c:formatCode>
                <c:ptCount val="1"/>
                <c:pt idx="0">
                  <c:v>5.6338028169014088E-3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2AD4-4E22-8927-70751665B9C9}"/>
            </c:ext>
          </c:extLst>
        </c:ser>
        <c:ser>
          <c:idx val="19"/>
          <c:order val="19"/>
          <c:tx>
            <c:strRef>
              <c:f>CONSOLIDADO!$A$23</c:f>
              <c:strCache>
                <c:ptCount val="1"/>
                <c:pt idx="0">
                  <c:v>REUNIÓN EN LA ALCALDÍA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CONSOLIDADO!$C$3</c:f>
              <c:strCache>
                <c:ptCount val="1"/>
                <c:pt idx="0">
                  <c:v>% INCIDENCIA</c:v>
                </c:pt>
              </c:strCache>
            </c:strRef>
          </c:cat>
          <c:val>
            <c:numRef>
              <c:f>CONSOLIDADO!$C$23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2AD4-4E22-8927-70751665B9C9}"/>
            </c:ext>
          </c:extLst>
        </c:ser>
        <c:ser>
          <c:idx val="20"/>
          <c:order val="20"/>
          <c:tx>
            <c:strRef>
              <c:f>CONSOLIDADO!$A$24</c:f>
              <c:strCache>
                <c:ptCount val="1"/>
                <c:pt idx="0">
                  <c:v>REUNIONES DE SERVICIO SOCIAL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CONSOLIDADO!$C$3</c:f>
              <c:strCache>
                <c:ptCount val="1"/>
                <c:pt idx="0">
                  <c:v>% INCIDENCIA</c:v>
                </c:pt>
              </c:strCache>
            </c:strRef>
          </c:cat>
          <c:val>
            <c:numRef>
              <c:f>CONSOLIDADO!$C$24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2AD4-4E22-8927-70751665B9C9}"/>
            </c:ext>
          </c:extLst>
        </c:ser>
        <c:ser>
          <c:idx val="21"/>
          <c:order val="21"/>
          <c:tx>
            <c:strRef>
              <c:f>CONSOLIDADO!$A$25</c:f>
              <c:strCache>
                <c:ptCount val="1"/>
                <c:pt idx="0">
                  <c:v>SUMINISTROS DE AGUA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CONSOLIDADO!$C$3</c:f>
              <c:strCache>
                <c:ptCount val="1"/>
                <c:pt idx="0">
                  <c:v>% INCIDENCIA</c:v>
                </c:pt>
              </c:strCache>
            </c:strRef>
          </c:cat>
          <c:val>
            <c:numRef>
              <c:f>CONSOLIDADO!$C$25</c:f>
              <c:numCache>
                <c:formatCode>0%</c:formatCode>
                <c:ptCount val="1"/>
                <c:pt idx="0">
                  <c:v>3.9436619718309862E-2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2AD4-4E22-8927-70751665B9C9}"/>
            </c:ext>
          </c:extLst>
        </c:ser>
        <c:ser>
          <c:idx val="22"/>
          <c:order val="22"/>
          <c:tx>
            <c:strRef>
              <c:f>CONSOLIDADO!$A$26</c:f>
              <c:strCache>
                <c:ptCount val="1"/>
                <c:pt idx="0">
                  <c:v>VISITAS DE SEGURIDAD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CONSOLIDADO!$C$3</c:f>
              <c:strCache>
                <c:ptCount val="1"/>
                <c:pt idx="0">
                  <c:v>% INCIDENCIA</c:v>
                </c:pt>
              </c:strCache>
            </c:strRef>
          </c:cat>
          <c:val>
            <c:numRef>
              <c:f>CONSOLIDADO!$C$26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2AD4-4E22-8927-70751665B9C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37998351"/>
        <c:axId val="137325967"/>
      </c:barChart>
      <c:catAx>
        <c:axId val="137998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7325967"/>
        <c:crosses val="autoZero"/>
        <c:auto val="1"/>
        <c:lblAlgn val="ctr"/>
        <c:lblOffset val="100"/>
        <c:noMultiLvlLbl val="0"/>
      </c:catAx>
      <c:valAx>
        <c:axId val="137325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799835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0</xdr:row>
      <xdr:rowOff>70721</xdr:rowOff>
    </xdr:from>
    <xdr:to>
      <xdr:col>0</xdr:col>
      <xdr:colOff>884391</xdr:colOff>
      <xdr:row>1</xdr:row>
      <xdr:rowOff>121936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55E2BEC-387C-490D-8FD4-193A4BB69F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70721"/>
          <a:ext cx="579591" cy="508415"/>
        </a:xfrm>
        <a:prstGeom prst="rect">
          <a:avLst/>
        </a:prstGeom>
        <a:effectLst>
          <a:glow rad="63500">
            <a:schemeClr val="accent2">
              <a:satMod val="175000"/>
              <a:alpha val="40000"/>
            </a:schemeClr>
          </a:glow>
        </a:effectLst>
      </xdr:spPr>
    </xdr:pic>
    <xdr:clientData/>
  </xdr:twoCellAnchor>
  <xdr:twoCellAnchor editAs="oneCell">
    <xdr:from>
      <xdr:col>2</xdr:col>
      <xdr:colOff>178977</xdr:colOff>
      <xdr:row>0</xdr:row>
      <xdr:rowOff>76200</xdr:rowOff>
    </xdr:from>
    <xdr:to>
      <xdr:col>2</xdr:col>
      <xdr:colOff>639093</xdr:colOff>
      <xdr:row>1</xdr:row>
      <xdr:rowOff>135966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14C3EE5-6F12-4DF0-B9FA-7F6E67A70A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690777" y="76200"/>
          <a:ext cx="460116" cy="516966"/>
        </a:xfrm>
        <a:prstGeom prst="rect">
          <a:avLst/>
        </a:prstGeom>
        <a:effectLst>
          <a:glow rad="63500">
            <a:schemeClr val="accent1">
              <a:satMod val="175000"/>
              <a:alpha val="40000"/>
            </a:schemeClr>
          </a:glow>
        </a:effectLst>
      </xdr:spPr>
    </xdr:pic>
    <xdr:clientData/>
  </xdr:twoCellAnchor>
  <xdr:twoCellAnchor>
    <xdr:from>
      <xdr:col>3</xdr:col>
      <xdr:colOff>126997</xdr:colOff>
      <xdr:row>0</xdr:row>
      <xdr:rowOff>0</xdr:rowOff>
    </xdr:from>
    <xdr:to>
      <xdr:col>16</xdr:col>
      <xdr:colOff>194733</xdr:colOff>
      <xdr:row>43</xdr:row>
      <xdr:rowOff>110066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91483757-9346-4BDC-92FF-588D76A5A6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tabSelected="1" topLeftCell="A4" workbookViewId="0">
      <selection sqref="A1:C27"/>
    </sheetView>
  </sheetViews>
  <sheetFormatPr baseColWidth="10" defaultColWidth="8.875" defaultRowHeight="14.3" x14ac:dyDescent="0.25"/>
  <cols>
    <col min="1" max="1" width="63.25" bestFit="1" customWidth="1"/>
    <col min="2" max="2" width="13.5" style="2" customWidth="1"/>
    <col min="3" max="3" width="12.125" bestFit="1" customWidth="1"/>
  </cols>
  <sheetData>
    <row r="1" spans="1:3" ht="36" customHeight="1" x14ac:dyDescent="0.25">
      <c r="A1" s="32" t="s">
        <v>27</v>
      </c>
      <c r="B1" s="33"/>
      <c r="C1" s="34"/>
    </row>
    <row r="2" spans="1:3" ht="19.399999999999999" customHeight="1" x14ac:dyDescent="0.25">
      <c r="A2" s="35" t="s">
        <v>779</v>
      </c>
      <c r="B2" s="36"/>
      <c r="C2" s="37"/>
    </row>
    <row r="3" spans="1:3" ht="14.95" thickBot="1" x14ac:dyDescent="0.3">
      <c r="A3" s="5" t="s">
        <v>21</v>
      </c>
      <c r="B3" s="12" t="s">
        <v>19</v>
      </c>
      <c r="C3" s="13" t="s">
        <v>22</v>
      </c>
    </row>
    <row r="4" spans="1:3" ht="14.95" thickTop="1" x14ac:dyDescent="0.25">
      <c r="A4" s="6" t="s">
        <v>0</v>
      </c>
      <c r="B4" s="10">
        <f>COUNTIF(DATOS!$B:$B,CONSOLIDADO!$A$4:$A$26)</f>
        <v>1</v>
      </c>
      <c r="C4" s="11">
        <f>B4/$B$27</f>
        <v>2.8169014084507044E-3</v>
      </c>
    </row>
    <row r="5" spans="1:3" x14ac:dyDescent="0.25">
      <c r="A5" s="1" t="s">
        <v>1</v>
      </c>
      <c r="B5" s="10">
        <f>COUNTIF(DATOS!$B:$B,CONSOLIDADO!$A$4:$A$26)</f>
        <v>2</v>
      </c>
      <c r="C5" s="4">
        <f t="shared" ref="C5:C27" si="0">B5/$B$27</f>
        <v>5.6338028169014088E-3</v>
      </c>
    </row>
    <row r="6" spans="1:3" x14ac:dyDescent="0.25">
      <c r="A6" s="1" t="s">
        <v>2</v>
      </c>
      <c r="B6" s="10">
        <f>COUNTIF(DATOS!$B:$B,CONSOLIDADO!$A$4:$A$26)</f>
        <v>1</v>
      </c>
      <c r="C6" s="4">
        <f t="shared" si="0"/>
        <v>2.8169014084507044E-3</v>
      </c>
    </row>
    <row r="7" spans="1:3" x14ac:dyDescent="0.25">
      <c r="A7" s="1" t="s">
        <v>3</v>
      </c>
      <c r="B7" s="10">
        <f>COUNTIF(DATOS!$B:$B,CONSOLIDADO!$A$4:$A$26)</f>
        <v>3</v>
      </c>
      <c r="C7" s="4">
        <f t="shared" si="0"/>
        <v>8.4507042253521118E-3</v>
      </c>
    </row>
    <row r="8" spans="1:3" x14ac:dyDescent="0.25">
      <c r="A8" s="1" t="s">
        <v>4</v>
      </c>
      <c r="B8" s="10">
        <f>COUNTIF(DATOS!$B:$B,CONSOLIDADO!$A$4:$A$26)</f>
        <v>3</v>
      </c>
      <c r="C8" s="4">
        <f t="shared" si="0"/>
        <v>8.4507042253521118E-3</v>
      </c>
    </row>
    <row r="9" spans="1:3" x14ac:dyDescent="0.25">
      <c r="A9" s="1" t="s">
        <v>5</v>
      </c>
      <c r="B9" s="10">
        <f>COUNTIF(DATOS!$B:$B,CONSOLIDADO!$A$4:$A$26)</f>
        <v>2</v>
      </c>
      <c r="C9" s="4">
        <f t="shared" si="0"/>
        <v>5.6338028169014088E-3</v>
      </c>
    </row>
    <row r="10" spans="1:3" x14ac:dyDescent="0.25">
      <c r="A10" s="1" t="s">
        <v>23</v>
      </c>
      <c r="B10" s="10">
        <f>COUNTIF(DATOS!$B:$B,CONSOLIDADO!$A$4:$A$26)</f>
        <v>0</v>
      </c>
      <c r="C10" s="4">
        <f t="shared" si="0"/>
        <v>0</v>
      </c>
    </row>
    <row r="11" spans="1:3" x14ac:dyDescent="0.25">
      <c r="A11" s="1" t="s">
        <v>6</v>
      </c>
      <c r="B11" s="10">
        <f>COUNTIF(DATOS!$B:$B,CONSOLIDADO!$A$4:$A$26)</f>
        <v>0</v>
      </c>
      <c r="C11" s="4">
        <f t="shared" si="0"/>
        <v>0</v>
      </c>
    </row>
    <row r="12" spans="1:3" x14ac:dyDescent="0.25">
      <c r="A12" s="1" t="s">
        <v>7</v>
      </c>
      <c r="B12" s="10">
        <f>COUNTIF(DATOS!$B:$B,CONSOLIDADO!$A$4:$A$26)</f>
        <v>4</v>
      </c>
      <c r="C12" s="4">
        <f t="shared" si="0"/>
        <v>1.1267605633802818E-2</v>
      </c>
    </row>
    <row r="13" spans="1:3" x14ac:dyDescent="0.25">
      <c r="A13" s="1" t="s">
        <v>8</v>
      </c>
      <c r="B13" s="10">
        <f>COUNTIF(DATOS!$B:$B,CONSOLIDADO!$A$4:$A$26)</f>
        <v>0</v>
      </c>
      <c r="C13" s="4">
        <f t="shared" si="0"/>
        <v>0</v>
      </c>
    </row>
    <row r="14" spans="1:3" x14ac:dyDescent="0.25">
      <c r="A14" s="1" t="s">
        <v>9</v>
      </c>
      <c r="B14" s="10">
        <f>COUNTIF(DATOS!$B:$B,CONSOLIDADO!$A$4:$A$26)</f>
        <v>7</v>
      </c>
      <c r="C14" s="4">
        <f t="shared" si="0"/>
        <v>1.9718309859154931E-2</v>
      </c>
    </row>
    <row r="15" spans="1:3" x14ac:dyDescent="0.25">
      <c r="A15" s="1" t="s">
        <v>10</v>
      </c>
      <c r="B15" s="10">
        <f>COUNTIF(DATOS!$B:$B,CONSOLIDADO!$A$4:$A$26)</f>
        <v>1</v>
      </c>
      <c r="C15" s="4">
        <f t="shared" si="0"/>
        <v>2.8169014084507044E-3</v>
      </c>
    </row>
    <row r="16" spans="1:3" x14ac:dyDescent="0.25">
      <c r="A16" s="1" t="s">
        <v>11</v>
      </c>
      <c r="B16" s="10">
        <f>COUNTIF(DATOS!$B:$B,CONSOLIDADO!$A$4:$A$26)</f>
        <v>1</v>
      </c>
      <c r="C16" s="4">
        <f t="shared" si="0"/>
        <v>2.8169014084507044E-3</v>
      </c>
    </row>
    <row r="17" spans="1:3" x14ac:dyDescent="0.25">
      <c r="A17" s="1" t="s">
        <v>12</v>
      </c>
      <c r="B17" s="10">
        <f>COUNTIF(DATOS!$B:$B,CONSOLIDADO!$A$4:$A$26)</f>
        <v>0</v>
      </c>
      <c r="C17" s="4">
        <f t="shared" si="0"/>
        <v>0</v>
      </c>
    </row>
    <row r="18" spans="1:3" x14ac:dyDescent="0.25">
      <c r="A18" s="1" t="s">
        <v>13</v>
      </c>
      <c r="B18" s="10">
        <f>COUNTIF(DATOS!$B:$B,CONSOLIDADO!$A$4:$A$26)</f>
        <v>312</v>
      </c>
      <c r="C18" s="4">
        <f t="shared" si="0"/>
        <v>0.87887323943661977</v>
      </c>
    </row>
    <row r="19" spans="1:3" x14ac:dyDescent="0.25">
      <c r="A19" s="1" t="s">
        <v>14</v>
      </c>
      <c r="B19" s="10">
        <f>COUNTIF(DATOS!$B:$B,CONSOLIDADO!$A$4:$A$26)</f>
        <v>0</v>
      </c>
      <c r="C19" s="4">
        <f t="shared" si="0"/>
        <v>0</v>
      </c>
    </row>
    <row r="20" spans="1:3" x14ac:dyDescent="0.25">
      <c r="A20" s="1" t="s">
        <v>15</v>
      </c>
      <c r="B20" s="10">
        <f>COUNTIF(DATOS!$B:$B,CONSOLIDADO!$A$4:$A$26)</f>
        <v>1</v>
      </c>
      <c r="C20" s="4">
        <f t="shared" si="0"/>
        <v>2.8169014084507044E-3</v>
      </c>
    </row>
    <row r="21" spans="1:3" x14ac:dyDescent="0.25">
      <c r="A21" s="1" t="s">
        <v>16</v>
      </c>
      <c r="B21" s="10">
        <f>COUNTIF(DATOS!$B:$B,CONSOLIDADO!$A$4:$A$26)</f>
        <v>1</v>
      </c>
      <c r="C21" s="4">
        <f t="shared" si="0"/>
        <v>2.8169014084507044E-3</v>
      </c>
    </row>
    <row r="22" spans="1:3" x14ac:dyDescent="0.25">
      <c r="A22" s="1" t="s">
        <v>17</v>
      </c>
      <c r="B22" s="10">
        <f>COUNTIF(DATOS!$B:$B,CONSOLIDADO!$A$4:$A$26)</f>
        <v>2</v>
      </c>
      <c r="C22" s="4">
        <f t="shared" si="0"/>
        <v>5.6338028169014088E-3</v>
      </c>
    </row>
    <row r="23" spans="1:3" x14ac:dyDescent="0.25">
      <c r="A23" s="1" t="s">
        <v>24</v>
      </c>
      <c r="B23" s="10">
        <f>COUNTIF(DATOS!$B:$B,CONSOLIDADO!$A$4:$A$26)</f>
        <v>0</v>
      </c>
      <c r="C23" s="4">
        <f t="shared" si="0"/>
        <v>0</v>
      </c>
    </row>
    <row r="24" spans="1:3" x14ac:dyDescent="0.25">
      <c r="A24" s="1" t="s">
        <v>25</v>
      </c>
      <c r="B24" s="10">
        <f>COUNTIF(DATOS!$B:$B,CONSOLIDADO!$A$4:$A$26)</f>
        <v>0</v>
      </c>
      <c r="C24" s="4">
        <f t="shared" si="0"/>
        <v>0</v>
      </c>
    </row>
    <row r="25" spans="1:3" x14ac:dyDescent="0.25">
      <c r="A25" s="1" t="s">
        <v>26</v>
      </c>
      <c r="B25" s="10">
        <f>COUNTIF(DATOS!$B:$B,CONSOLIDADO!$A$4:$A$26)</f>
        <v>14</v>
      </c>
      <c r="C25" s="4">
        <f t="shared" si="0"/>
        <v>3.9436619718309862E-2</v>
      </c>
    </row>
    <row r="26" spans="1:3" ht="14.95" thickBot="1" x14ac:dyDescent="0.3">
      <c r="A26" s="3" t="s">
        <v>18</v>
      </c>
      <c r="B26" s="17">
        <f>COUNTIF(DATOS!$B:$B,CONSOLIDADO!$A$4:$A$26)</f>
        <v>0</v>
      </c>
      <c r="C26" s="9">
        <f t="shared" si="0"/>
        <v>0</v>
      </c>
    </row>
    <row r="27" spans="1:3" ht="17.7" thickTop="1" thickBot="1" x14ac:dyDescent="0.3">
      <c r="A27" s="7" t="s">
        <v>20</v>
      </c>
      <c r="B27" s="8">
        <f>SUM(B3:B26)</f>
        <v>355</v>
      </c>
      <c r="C27" s="14">
        <f t="shared" si="0"/>
        <v>1</v>
      </c>
    </row>
  </sheetData>
  <mergeCells count="2">
    <mergeCell ref="A1:C1"/>
    <mergeCell ref="A2:C2"/>
  </mergeCells>
  <conditionalFormatting sqref="C4:C26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359"/>
  <sheetViews>
    <sheetView workbookViewId="0">
      <pane ySplit="2" topLeftCell="A3" activePane="bottomLeft" state="frozen"/>
      <selection pane="bottomLeft" activeCell="B358" sqref="B4:B358"/>
    </sheetView>
  </sheetViews>
  <sheetFormatPr baseColWidth="10" defaultColWidth="11.5" defaultRowHeight="12.9" x14ac:dyDescent="0.25"/>
  <cols>
    <col min="1" max="1" width="27.875" style="20" bestFit="1" customWidth="1"/>
    <col min="2" max="2" width="66.625" style="20" bestFit="1" customWidth="1"/>
    <col min="3" max="3" width="25.75" style="20" customWidth="1"/>
    <col min="4" max="4" width="14.5" style="20" bestFit="1" customWidth="1"/>
    <col min="5" max="5" width="16.875" style="20" bestFit="1" customWidth="1"/>
    <col min="6" max="6" width="40.625" style="20" bestFit="1" customWidth="1"/>
    <col min="7" max="7" width="24.25" style="20" bestFit="1" customWidth="1"/>
    <col min="8" max="8" width="66.375" style="20" bestFit="1" customWidth="1"/>
    <col min="9" max="9" width="29.125" style="20" bestFit="1" customWidth="1"/>
    <col min="10" max="10" width="18.625" style="20" bestFit="1" customWidth="1"/>
    <col min="11" max="11" width="9.75" style="20" bestFit="1" customWidth="1"/>
    <col min="12" max="12" width="13.75" style="20" bestFit="1" customWidth="1"/>
    <col min="13" max="16" width="11.5" style="20"/>
    <col min="17" max="17" width="7.5" style="20" bestFit="1" customWidth="1"/>
    <col min="18" max="18" width="10.5" style="20" bestFit="1" customWidth="1"/>
    <col min="19" max="19" width="9.625" style="20" bestFit="1" customWidth="1"/>
    <col min="20" max="20" width="10.25" style="20" bestFit="1" customWidth="1"/>
    <col min="21" max="21" width="8.75" style="20" bestFit="1" customWidth="1"/>
    <col min="22" max="22" width="8.5" style="20" bestFit="1" customWidth="1"/>
    <col min="23" max="23" width="11.875" style="20" bestFit="1" customWidth="1"/>
    <col min="24" max="24" width="14.875" style="20" bestFit="1" customWidth="1"/>
    <col min="25" max="25" width="11.375" style="20" customWidth="1"/>
    <col min="26" max="27" width="11.625" style="20" bestFit="1" customWidth="1"/>
    <col min="28" max="28" width="9.5" style="20" bestFit="1" customWidth="1"/>
    <col min="29" max="29" width="12.75" style="20" bestFit="1" customWidth="1"/>
    <col min="30" max="30" width="9.75" style="20" bestFit="1" customWidth="1"/>
    <col min="31" max="31" width="9.5" style="20" bestFit="1" customWidth="1"/>
    <col min="32" max="32" width="16" style="20" bestFit="1" customWidth="1"/>
    <col min="33" max="33" width="12.5" style="20" bestFit="1" customWidth="1"/>
    <col min="34" max="34" width="9.5" style="20" bestFit="1" customWidth="1"/>
    <col min="35" max="36" width="11.375" style="20" bestFit="1" customWidth="1"/>
    <col min="37" max="37" width="13.125" style="20" bestFit="1" customWidth="1"/>
    <col min="38" max="38" width="14.75" style="20" bestFit="1" customWidth="1"/>
    <col min="39" max="39" width="14.5" style="20" bestFit="1" customWidth="1"/>
    <col min="40" max="40" width="10.375" style="20" bestFit="1" customWidth="1"/>
    <col min="41" max="41" width="23" style="20" bestFit="1" customWidth="1"/>
    <col min="42" max="42" width="16.75" style="20" bestFit="1" customWidth="1"/>
    <col min="43" max="43" width="31" style="20" bestFit="1" customWidth="1"/>
    <col min="44" max="44" width="23.125" style="20" bestFit="1" customWidth="1"/>
    <col min="45" max="45" width="16.5" style="20" bestFit="1" customWidth="1"/>
    <col min="46" max="16384" width="11.5" style="20"/>
  </cols>
  <sheetData>
    <row r="1" spans="1:41" s="15" customFormat="1" ht="13.6" x14ac:dyDescent="0.25">
      <c r="A1" s="45" t="s">
        <v>28</v>
      </c>
      <c r="B1" s="47" t="s">
        <v>29</v>
      </c>
      <c r="C1" s="18" t="s">
        <v>30</v>
      </c>
      <c r="D1" s="49" t="s">
        <v>31</v>
      </c>
      <c r="E1" s="47" t="s">
        <v>32</v>
      </c>
      <c r="F1" s="47" t="s">
        <v>33</v>
      </c>
      <c r="G1" s="47" t="s">
        <v>34</v>
      </c>
      <c r="H1" s="41" t="s">
        <v>35</v>
      </c>
      <c r="I1" s="41" t="s">
        <v>36</v>
      </c>
      <c r="J1" s="47" t="s">
        <v>37</v>
      </c>
      <c r="K1" s="41" t="s">
        <v>38</v>
      </c>
      <c r="L1" s="43" t="s">
        <v>39</v>
      </c>
      <c r="Q1" s="15" t="s">
        <v>43</v>
      </c>
      <c r="R1" s="15" t="s">
        <v>0</v>
      </c>
      <c r="S1" s="15" t="s">
        <v>1</v>
      </c>
      <c r="T1" s="15" t="s">
        <v>2</v>
      </c>
      <c r="U1" s="15" t="s">
        <v>3</v>
      </c>
      <c r="V1" s="15" t="s">
        <v>4</v>
      </c>
      <c r="W1" s="15" t="s">
        <v>5</v>
      </c>
      <c r="X1" s="15" t="s">
        <v>23</v>
      </c>
      <c r="Y1" s="15" t="s">
        <v>6</v>
      </c>
      <c r="Z1" s="15" t="s">
        <v>7</v>
      </c>
      <c r="AA1" s="15" t="s">
        <v>8</v>
      </c>
      <c r="AB1" s="15" t="s">
        <v>9</v>
      </c>
      <c r="AC1" s="15" t="s">
        <v>10</v>
      </c>
      <c r="AD1" s="15" t="s">
        <v>11</v>
      </c>
      <c r="AE1" s="15" t="s">
        <v>12</v>
      </c>
      <c r="AF1" s="15" t="s">
        <v>13</v>
      </c>
      <c r="AG1" s="15" t="s">
        <v>14</v>
      </c>
      <c r="AH1" s="15" t="s">
        <v>15</v>
      </c>
      <c r="AI1" s="15" t="s">
        <v>16</v>
      </c>
      <c r="AJ1" s="15" t="s">
        <v>17</v>
      </c>
      <c r="AK1" s="15" t="s">
        <v>24</v>
      </c>
      <c r="AL1" s="15" t="s">
        <v>25</v>
      </c>
      <c r="AM1" s="15" t="s">
        <v>26</v>
      </c>
      <c r="AN1" s="15" t="s">
        <v>18</v>
      </c>
      <c r="AO1" s="16"/>
    </row>
    <row r="2" spans="1:41" ht="13.6" x14ac:dyDescent="0.25">
      <c r="A2" s="46"/>
      <c r="B2" s="48"/>
      <c r="C2" s="19" t="s">
        <v>17</v>
      </c>
      <c r="D2" s="50"/>
      <c r="E2" s="48"/>
      <c r="F2" s="48"/>
      <c r="G2" s="48"/>
      <c r="H2" s="42"/>
      <c r="I2" s="42"/>
      <c r="J2" s="48"/>
      <c r="K2" s="42"/>
      <c r="L2" s="44"/>
    </row>
    <row r="3" spans="1:41" customFormat="1" ht="15.8" customHeight="1" x14ac:dyDescent="0.25">
      <c r="A3" s="51" t="s">
        <v>69</v>
      </c>
      <c r="B3" s="52"/>
      <c r="C3" s="53"/>
      <c r="D3" s="54"/>
      <c r="E3" s="52"/>
      <c r="F3" s="52"/>
      <c r="G3" s="52"/>
      <c r="H3" s="52"/>
      <c r="I3" s="52"/>
      <c r="J3" s="52"/>
      <c r="K3" s="52"/>
      <c r="L3" s="55"/>
    </row>
    <row r="4" spans="1:41" customFormat="1" ht="15.8" customHeight="1" x14ac:dyDescent="0.25">
      <c r="A4" s="26" t="s">
        <v>40</v>
      </c>
      <c r="B4" s="26" t="s">
        <v>15</v>
      </c>
      <c r="C4" s="38">
        <f>COUNTIF(B4:B358,C2)</f>
        <v>2</v>
      </c>
      <c r="D4" s="29">
        <v>46236</v>
      </c>
      <c r="E4" s="26" t="s">
        <v>70</v>
      </c>
      <c r="F4" s="26" t="s">
        <v>71</v>
      </c>
      <c r="G4" s="26" t="s">
        <v>51</v>
      </c>
      <c r="H4" s="26" t="s">
        <v>51</v>
      </c>
      <c r="I4" s="26" t="s">
        <v>51</v>
      </c>
      <c r="J4" s="26">
        <v>3</v>
      </c>
      <c r="K4" s="26" t="s">
        <v>52</v>
      </c>
      <c r="L4" s="26" t="s">
        <v>51</v>
      </c>
    </row>
    <row r="5" spans="1:41" customFormat="1" ht="15.8" customHeight="1" x14ac:dyDescent="0.25">
      <c r="A5" s="27" t="s">
        <v>41</v>
      </c>
      <c r="B5" s="27" t="s">
        <v>11</v>
      </c>
      <c r="C5" s="39"/>
      <c r="D5" s="30">
        <v>46236</v>
      </c>
      <c r="E5" s="27" t="s">
        <v>72</v>
      </c>
      <c r="F5" s="27" t="s">
        <v>73</v>
      </c>
      <c r="G5" s="31"/>
      <c r="H5" s="27" t="s">
        <v>74</v>
      </c>
      <c r="I5" s="27" t="s">
        <v>51</v>
      </c>
      <c r="J5" s="27">
        <v>3</v>
      </c>
      <c r="K5" s="27" t="s">
        <v>56</v>
      </c>
      <c r="L5" s="27" t="s">
        <v>51</v>
      </c>
    </row>
    <row r="6" spans="1:41" customFormat="1" ht="15.8" customHeight="1" x14ac:dyDescent="0.25">
      <c r="A6" s="26" t="s">
        <v>41</v>
      </c>
      <c r="B6" s="26" t="s">
        <v>9</v>
      </c>
      <c r="C6" s="39"/>
      <c r="D6" s="29">
        <v>46236</v>
      </c>
      <c r="E6" s="26" t="s">
        <v>45</v>
      </c>
      <c r="F6" s="26" t="s">
        <v>75</v>
      </c>
      <c r="G6" s="26" t="s">
        <v>75</v>
      </c>
      <c r="H6" s="26" t="s">
        <v>76</v>
      </c>
      <c r="I6" s="26" t="s">
        <v>77</v>
      </c>
      <c r="J6" s="26">
        <v>2</v>
      </c>
      <c r="K6" s="26" t="s">
        <v>52</v>
      </c>
      <c r="L6" s="26" t="s">
        <v>51</v>
      </c>
    </row>
    <row r="7" spans="1:41" customFormat="1" ht="15.8" customHeight="1" x14ac:dyDescent="0.25">
      <c r="A7" s="27" t="s">
        <v>41</v>
      </c>
      <c r="B7" s="27" t="s">
        <v>4</v>
      </c>
      <c r="C7" s="39"/>
      <c r="D7" s="30">
        <v>46240</v>
      </c>
      <c r="E7" s="27" t="s">
        <v>45</v>
      </c>
      <c r="F7" s="27" t="s">
        <v>78</v>
      </c>
      <c r="G7" s="27" t="s">
        <v>53</v>
      </c>
      <c r="H7" s="27" t="s">
        <v>79</v>
      </c>
      <c r="I7" s="27" t="s">
        <v>54</v>
      </c>
      <c r="J7" s="27">
        <v>4</v>
      </c>
      <c r="K7" s="27" t="s">
        <v>52</v>
      </c>
      <c r="L7" s="27" t="s">
        <v>54</v>
      </c>
    </row>
    <row r="8" spans="1:41" customFormat="1" ht="15.8" customHeight="1" x14ac:dyDescent="0.25">
      <c r="A8" s="26" t="s">
        <v>40</v>
      </c>
      <c r="B8" s="26" t="s">
        <v>1</v>
      </c>
      <c r="C8" s="39"/>
      <c r="D8" s="29">
        <v>46240</v>
      </c>
      <c r="E8" s="26" t="s">
        <v>45</v>
      </c>
      <c r="F8" s="26" t="s">
        <v>80</v>
      </c>
      <c r="G8" s="26" t="s">
        <v>80</v>
      </c>
      <c r="H8" s="26" t="s">
        <v>81</v>
      </c>
      <c r="I8" s="26" t="s">
        <v>54</v>
      </c>
      <c r="J8" s="26">
        <v>3</v>
      </c>
      <c r="K8" s="26" t="s">
        <v>49</v>
      </c>
      <c r="L8" s="26" t="s">
        <v>54</v>
      </c>
    </row>
    <row r="9" spans="1:41" customFormat="1" ht="15.8" customHeight="1" x14ac:dyDescent="0.25">
      <c r="A9" s="27" t="s">
        <v>41</v>
      </c>
      <c r="B9" s="27" t="s">
        <v>3</v>
      </c>
      <c r="C9" s="39"/>
      <c r="D9" s="30">
        <v>46240</v>
      </c>
      <c r="E9" s="27" t="s">
        <v>82</v>
      </c>
      <c r="F9" s="27" t="s">
        <v>83</v>
      </c>
      <c r="G9" s="27" t="s">
        <v>60</v>
      </c>
      <c r="H9" s="27" t="s">
        <v>84</v>
      </c>
      <c r="I9" s="27" t="s">
        <v>85</v>
      </c>
      <c r="J9" s="27">
        <v>4</v>
      </c>
      <c r="K9" s="27" t="s">
        <v>52</v>
      </c>
      <c r="L9" s="27" t="s">
        <v>46</v>
      </c>
    </row>
    <row r="10" spans="1:41" customFormat="1" ht="15.8" customHeight="1" x14ac:dyDescent="0.25">
      <c r="A10" s="26" t="s">
        <v>41</v>
      </c>
      <c r="B10" s="26" t="s">
        <v>9</v>
      </c>
      <c r="C10" s="39"/>
      <c r="D10" s="29">
        <v>46242</v>
      </c>
      <c r="E10" s="26" t="s">
        <v>86</v>
      </c>
      <c r="F10" s="26" t="s">
        <v>87</v>
      </c>
      <c r="G10" s="26" t="s">
        <v>88</v>
      </c>
      <c r="H10" s="26" t="s">
        <v>89</v>
      </c>
      <c r="I10" s="26" t="s">
        <v>90</v>
      </c>
      <c r="J10" s="26">
        <v>5</v>
      </c>
      <c r="K10" s="26" t="s">
        <v>91</v>
      </c>
      <c r="L10" s="26" t="s">
        <v>92</v>
      </c>
    </row>
    <row r="11" spans="1:41" customFormat="1" ht="15.8" customHeight="1" x14ac:dyDescent="0.25">
      <c r="A11" s="27" t="s">
        <v>41</v>
      </c>
      <c r="B11" s="27" t="s">
        <v>9</v>
      </c>
      <c r="C11" s="39"/>
      <c r="D11" s="30">
        <v>46244</v>
      </c>
      <c r="E11" s="27" t="s">
        <v>45</v>
      </c>
      <c r="F11" s="27" t="s">
        <v>93</v>
      </c>
      <c r="G11" s="27" t="s">
        <v>88</v>
      </c>
      <c r="H11" s="27" t="s">
        <v>94</v>
      </c>
      <c r="I11" s="27" t="s">
        <v>95</v>
      </c>
      <c r="J11" s="27">
        <v>6</v>
      </c>
      <c r="K11" s="27" t="s">
        <v>96</v>
      </c>
      <c r="L11" s="27" t="s">
        <v>54</v>
      </c>
    </row>
    <row r="12" spans="1:41" customFormat="1" ht="15.8" customHeight="1" x14ac:dyDescent="0.25">
      <c r="A12" s="26" t="s">
        <v>41</v>
      </c>
      <c r="B12" s="26" t="s">
        <v>4</v>
      </c>
      <c r="C12" s="39"/>
      <c r="D12" s="29">
        <v>46244</v>
      </c>
      <c r="E12" s="26" t="s">
        <v>45</v>
      </c>
      <c r="F12" s="26" t="s">
        <v>57</v>
      </c>
      <c r="G12" s="26" t="s">
        <v>97</v>
      </c>
      <c r="H12" s="26" t="s">
        <v>98</v>
      </c>
      <c r="I12" s="26" t="s">
        <v>54</v>
      </c>
      <c r="J12" s="26">
        <v>7</v>
      </c>
      <c r="K12" s="26" t="s">
        <v>99</v>
      </c>
      <c r="L12" s="26" t="s">
        <v>54</v>
      </c>
    </row>
    <row r="13" spans="1:41" customFormat="1" ht="15.8" customHeight="1" x14ac:dyDescent="0.25">
      <c r="A13" s="56" t="s">
        <v>50</v>
      </c>
      <c r="B13" s="56" t="s">
        <v>7</v>
      </c>
      <c r="C13" s="39"/>
      <c r="D13" s="57">
        <v>46244</v>
      </c>
      <c r="E13" s="56" t="s">
        <v>45</v>
      </c>
      <c r="F13" s="56" t="s">
        <v>100</v>
      </c>
      <c r="G13" s="56" t="s">
        <v>68</v>
      </c>
      <c r="H13" s="56" t="s">
        <v>101</v>
      </c>
      <c r="I13" s="56" t="s">
        <v>54</v>
      </c>
      <c r="J13" s="56">
        <v>2</v>
      </c>
      <c r="K13" s="56" t="s">
        <v>56</v>
      </c>
      <c r="L13" s="56" t="s">
        <v>54</v>
      </c>
    </row>
    <row r="14" spans="1:41" customFormat="1" ht="15.8" customHeight="1" x14ac:dyDescent="0.25">
      <c r="A14" s="26" t="s">
        <v>40</v>
      </c>
      <c r="B14" s="26" t="s">
        <v>13</v>
      </c>
      <c r="C14" s="39"/>
      <c r="D14" s="29">
        <v>46244</v>
      </c>
      <c r="E14" s="26" t="s">
        <v>45</v>
      </c>
      <c r="F14" s="26" t="s">
        <v>102</v>
      </c>
      <c r="G14" s="26" t="s">
        <v>103</v>
      </c>
      <c r="H14" s="26" t="s">
        <v>104</v>
      </c>
      <c r="I14" s="26" t="s">
        <v>54</v>
      </c>
      <c r="J14" s="26">
        <v>2</v>
      </c>
      <c r="K14" s="26" t="s">
        <v>55</v>
      </c>
      <c r="L14" s="26" t="s">
        <v>54</v>
      </c>
    </row>
    <row r="15" spans="1:41" customFormat="1" ht="15.8" customHeight="1" x14ac:dyDescent="0.25">
      <c r="A15" s="27" t="s">
        <v>105</v>
      </c>
      <c r="B15" s="27" t="s">
        <v>5</v>
      </c>
      <c r="C15" s="39"/>
      <c r="D15" s="30">
        <v>46244</v>
      </c>
      <c r="E15" s="27" t="s">
        <v>106</v>
      </c>
      <c r="F15" s="27" t="s">
        <v>107</v>
      </c>
      <c r="G15" s="31"/>
      <c r="H15" s="27" t="s">
        <v>108</v>
      </c>
      <c r="I15" s="27" t="s">
        <v>51</v>
      </c>
      <c r="J15" s="27">
        <v>33</v>
      </c>
      <c r="K15" s="27" t="s">
        <v>109</v>
      </c>
      <c r="L15" s="27" t="s">
        <v>51</v>
      </c>
    </row>
    <row r="16" spans="1:41" customFormat="1" ht="15.8" customHeight="1" x14ac:dyDescent="0.25">
      <c r="A16" s="26" t="s">
        <v>40</v>
      </c>
      <c r="B16" s="26" t="s">
        <v>5</v>
      </c>
      <c r="C16" s="39"/>
      <c r="D16" s="29">
        <v>46244</v>
      </c>
      <c r="E16" s="26" t="s">
        <v>45</v>
      </c>
      <c r="F16" s="26" t="s">
        <v>110</v>
      </c>
      <c r="G16" s="26" t="s">
        <v>103</v>
      </c>
      <c r="H16" s="26" t="s">
        <v>111</v>
      </c>
      <c r="I16" s="26" t="s">
        <v>54</v>
      </c>
      <c r="J16" s="26">
        <v>4</v>
      </c>
      <c r="K16" s="26" t="s">
        <v>48</v>
      </c>
      <c r="L16" s="26" t="s">
        <v>54</v>
      </c>
    </row>
    <row r="17" spans="1:12" customFormat="1" ht="15.8" customHeight="1" x14ac:dyDescent="0.25">
      <c r="A17" s="27" t="s">
        <v>40</v>
      </c>
      <c r="B17" s="27" t="s">
        <v>13</v>
      </c>
      <c r="C17" s="39"/>
      <c r="D17" s="30">
        <v>46244</v>
      </c>
      <c r="E17" s="27" t="s">
        <v>61</v>
      </c>
      <c r="F17" s="27" t="s">
        <v>112</v>
      </c>
      <c r="G17" s="27" t="s">
        <v>113</v>
      </c>
      <c r="H17" s="27" t="s">
        <v>114</v>
      </c>
      <c r="I17" s="27" t="s">
        <v>51</v>
      </c>
      <c r="J17" s="27">
        <v>8</v>
      </c>
      <c r="K17" s="27" t="s">
        <v>49</v>
      </c>
      <c r="L17" s="27" t="s">
        <v>51</v>
      </c>
    </row>
    <row r="18" spans="1:12" customFormat="1" ht="15.8" customHeight="1" x14ac:dyDescent="0.25">
      <c r="A18" s="26" t="s">
        <v>40</v>
      </c>
      <c r="B18" s="26" t="s">
        <v>13</v>
      </c>
      <c r="C18" s="39"/>
      <c r="D18" s="29">
        <v>46244</v>
      </c>
      <c r="E18" s="26" t="s">
        <v>61</v>
      </c>
      <c r="F18" s="26" t="s">
        <v>115</v>
      </c>
      <c r="G18" s="26" t="s">
        <v>116</v>
      </c>
      <c r="H18" s="26" t="s">
        <v>117</v>
      </c>
      <c r="I18" s="26" t="s">
        <v>51</v>
      </c>
      <c r="J18" s="26">
        <v>8</v>
      </c>
      <c r="K18" s="26" t="s">
        <v>49</v>
      </c>
      <c r="L18" s="26" t="s">
        <v>51</v>
      </c>
    </row>
    <row r="19" spans="1:12" customFormat="1" ht="15.8" customHeight="1" x14ac:dyDescent="0.25">
      <c r="A19" s="27" t="s">
        <v>40</v>
      </c>
      <c r="B19" s="27" t="s">
        <v>13</v>
      </c>
      <c r="C19" s="39"/>
      <c r="D19" s="30">
        <v>46244</v>
      </c>
      <c r="E19" s="27" t="s">
        <v>61</v>
      </c>
      <c r="F19" s="27" t="s">
        <v>118</v>
      </c>
      <c r="G19" s="27" t="s">
        <v>116</v>
      </c>
      <c r="H19" s="27" t="s">
        <v>119</v>
      </c>
      <c r="I19" s="31"/>
      <c r="J19" s="27">
        <v>8</v>
      </c>
      <c r="K19" s="27" t="s">
        <v>49</v>
      </c>
      <c r="L19" s="31"/>
    </row>
    <row r="20" spans="1:12" customFormat="1" ht="15.8" customHeight="1" x14ac:dyDescent="0.25">
      <c r="A20" s="26" t="s">
        <v>40</v>
      </c>
      <c r="B20" s="26" t="s">
        <v>13</v>
      </c>
      <c r="C20" s="39"/>
      <c r="D20" s="29">
        <v>46244</v>
      </c>
      <c r="E20" s="26" t="s">
        <v>61</v>
      </c>
      <c r="F20" s="26" t="s">
        <v>120</v>
      </c>
      <c r="G20" s="28"/>
      <c r="H20" s="26" t="s">
        <v>121</v>
      </c>
      <c r="I20" s="28"/>
      <c r="J20" s="26">
        <v>8</v>
      </c>
      <c r="K20" s="26" t="s">
        <v>49</v>
      </c>
      <c r="L20" s="28"/>
    </row>
    <row r="21" spans="1:12" customFormat="1" ht="15.8" customHeight="1" x14ac:dyDescent="0.25">
      <c r="A21" s="27" t="s">
        <v>40</v>
      </c>
      <c r="B21" s="27" t="s">
        <v>13</v>
      </c>
      <c r="C21" s="39"/>
      <c r="D21" s="30">
        <v>46244</v>
      </c>
      <c r="E21" s="27" t="s">
        <v>61</v>
      </c>
      <c r="F21" s="27" t="s">
        <v>122</v>
      </c>
      <c r="G21" s="27" t="s">
        <v>116</v>
      </c>
      <c r="H21" s="27" t="s">
        <v>123</v>
      </c>
      <c r="I21" s="31"/>
      <c r="J21" s="27">
        <v>8</v>
      </c>
      <c r="K21" s="27" t="s">
        <v>49</v>
      </c>
      <c r="L21" s="31"/>
    </row>
    <row r="22" spans="1:12" customFormat="1" ht="15.8" customHeight="1" x14ac:dyDescent="0.25">
      <c r="A22" s="26" t="s">
        <v>40</v>
      </c>
      <c r="B22" s="26" t="s">
        <v>13</v>
      </c>
      <c r="C22" s="39"/>
      <c r="D22" s="29">
        <v>46244</v>
      </c>
      <c r="E22" s="26" t="s">
        <v>61</v>
      </c>
      <c r="F22" s="26" t="s">
        <v>124</v>
      </c>
      <c r="G22" s="26" t="s">
        <v>103</v>
      </c>
      <c r="H22" s="26" t="s">
        <v>125</v>
      </c>
      <c r="I22" s="28"/>
      <c r="J22" s="26">
        <v>8</v>
      </c>
      <c r="K22" s="26" t="s">
        <v>49</v>
      </c>
      <c r="L22" s="28"/>
    </row>
    <row r="23" spans="1:12" customFormat="1" ht="15.8" customHeight="1" x14ac:dyDescent="0.25">
      <c r="A23" s="27" t="s">
        <v>40</v>
      </c>
      <c r="B23" s="27" t="s">
        <v>13</v>
      </c>
      <c r="C23" s="39"/>
      <c r="D23" s="30">
        <v>46244</v>
      </c>
      <c r="E23" s="27" t="s">
        <v>61</v>
      </c>
      <c r="F23" s="27" t="s">
        <v>126</v>
      </c>
      <c r="G23" s="27" t="s">
        <v>116</v>
      </c>
      <c r="H23" s="27" t="s">
        <v>127</v>
      </c>
      <c r="I23" s="31"/>
      <c r="J23" s="27">
        <v>8</v>
      </c>
      <c r="K23" s="27" t="s">
        <v>49</v>
      </c>
      <c r="L23" s="31"/>
    </row>
    <row r="24" spans="1:12" customFormat="1" ht="15.8" customHeight="1" x14ac:dyDescent="0.25">
      <c r="A24" s="26" t="s">
        <v>40</v>
      </c>
      <c r="B24" s="26" t="s">
        <v>13</v>
      </c>
      <c r="C24" s="39"/>
      <c r="D24" s="29">
        <v>46244</v>
      </c>
      <c r="E24" s="26" t="s">
        <v>61</v>
      </c>
      <c r="F24" s="26" t="s">
        <v>128</v>
      </c>
      <c r="G24" s="26" t="s">
        <v>116</v>
      </c>
      <c r="H24" s="26" t="s">
        <v>129</v>
      </c>
      <c r="I24" s="28"/>
      <c r="J24" s="26">
        <v>8</v>
      </c>
      <c r="K24" s="26" t="s">
        <v>49</v>
      </c>
      <c r="L24" s="28"/>
    </row>
    <row r="25" spans="1:12" customFormat="1" ht="15.8" customHeight="1" x14ac:dyDescent="0.25">
      <c r="A25" s="27" t="s">
        <v>40</v>
      </c>
      <c r="B25" s="27" t="s">
        <v>13</v>
      </c>
      <c r="C25" s="39"/>
      <c r="D25" s="30">
        <v>46244</v>
      </c>
      <c r="E25" s="27" t="s">
        <v>61</v>
      </c>
      <c r="F25" s="27" t="s">
        <v>130</v>
      </c>
      <c r="G25" s="27" t="s">
        <v>116</v>
      </c>
      <c r="H25" s="27" t="s">
        <v>131</v>
      </c>
      <c r="I25" s="31"/>
      <c r="J25" s="27">
        <v>8</v>
      </c>
      <c r="K25" s="27" t="s">
        <v>49</v>
      </c>
      <c r="L25" s="31"/>
    </row>
    <row r="26" spans="1:12" customFormat="1" ht="15.8" customHeight="1" x14ac:dyDescent="0.25">
      <c r="A26" s="26" t="s">
        <v>40</v>
      </c>
      <c r="B26" s="26" t="s">
        <v>13</v>
      </c>
      <c r="C26" s="39"/>
      <c r="D26" s="29">
        <v>46244</v>
      </c>
      <c r="E26" s="26" t="s">
        <v>61</v>
      </c>
      <c r="F26" s="26" t="s">
        <v>132</v>
      </c>
      <c r="G26" s="26" t="s">
        <v>116</v>
      </c>
      <c r="H26" s="26" t="s">
        <v>133</v>
      </c>
      <c r="I26" s="28"/>
      <c r="J26" s="26">
        <v>8</v>
      </c>
      <c r="K26" s="26" t="s">
        <v>49</v>
      </c>
      <c r="L26" s="28"/>
    </row>
    <row r="27" spans="1:12" customFormat="1" ht="15.8" customHeight="1" x14ac:dyDescent="0.25">
      <c r="A27" s="27" t="s">
        <v>40</v>
      </c>
      <c r="B27" s="27" t="s">
        <v>13</v>
      </c>
      <c r="C27" s="39"/>
      <c r="D27" s="30">
        <v>46244</v>
      </c>
      <c r="E27" s="27" t="s">
        <v>61</v>
      </c>
      <c r="F27" s="27" t="s">
        <v>134</v>
      </c>
      <c r="G27" s="27" t="s">
        <v>103</v>
      </c>
      <c r="H27" s="27" t="s">
        <v>135</v>
      </c>
      <c r="I27" s="31"/>
      <c r="J27" s="27">
        <v>8</v>
      </c>
      <c r="K27" s="27" t="s">
        <v>49</v>
      </c>
      <c r="L27" s="31"/>
    </row>
    <row r="28" spans="1:12" customFormat="1" ht="15.8" customHeight="1" x14ac:dyDescent="0.25">
      <c r="A28" s="26" t="s">
        <v>40</v>
      </c>
      <c r="B28" s="26" t="s">
        <v>13</v>
      </c>
      <c r="C28" s="39"/>
      <c r="D28" s="29">
        <v>46244</v>
      </c>
      <c r="E28" s="26" t="s">
        <v>61</v>
      </c>
      <c r="F28" s="26" t="s">
        <v>136</v>
      </c>
      <c r="G28" s="26" t="s">
        <v>103</v>
      </c>
      <c r="H28" s="26" t="s">
        <v>137</v>
      </c>
      <c r="I28" s="28"/>
      <c r="J28" s="26">
        <v>8</v>
      </c>
      <c r="K28" s="26" t="s">
        <v>49</v>
      </c>
      <c r="L28" s="28"/>
    </row>
    <row r="29" spans="1:12" customFormat="1" ht="15.8" customHeight="1" x14ac:dyDescent="0.25">
      <c r="A29" s="27" t="s">
        <v>40</v>
      </c>
      <c r="B29" s="27" t="s">
        <v>13</v>
      </c>
      <c r="C29" s="39"/>
      <c r="D29" s="30">
        <v>46244</v>
      </c>
      <c r="E29" s="27" t="s">
        <v>61</v>
      </c>
      <c r="F29" s="27" t="s">
        <v>138</v>
      </c>
      <c r="G29" s="27" t="s">
        <v>103</v>
      </c>
      <c r="H29" s="27" t="s">
        <v>139</v>
      </c>
      <c r="I29" s="31"/>
      <c r="J29" s="27">
        <v>8</v>
      </c>
      <c r="K29" s="27" t="s">
        <v>49</v>
      </c>
      <c r="L29" s="31"/>
    </row>
    <row r="30" spans="1:12" customFormat="1" ht="15.8" customHeight="1" x14ac:dyDescent="0.25">
      <c r="A30" s="26" t="s">
        <v>40</v>
      </c>
      <c r="B30" s="26" t="s">
        <v>13</v>
      </c>
      <c r="C30" s="39"/>
      <c r="D30" s="29">
        <v>46244</v>
      </c>
      <c r="E30" s="26" t="s">
        <v>61</v>
      </c>
      <c r="F30" s="26" t="s">
        <v>140</v>
      </c>
      <c r="G30" s="26" t="s">
        <v>103</v>
      </c>
      <c r="H30" s="26" t="s">
        <v>141</v>
      </c>
      <c r="I30" s="28"/>
      <c r="J30" s="26">
        <v>8</v>
      </c>
      <c r="K30" s="26" t="s">
        <v>49</v>
      </c>
      <c r="L30" s="28"/>
    </row>
    <row r="31" spans="1:12" customFormat="1" ht="15.8" customHeight="1" x14ac:dyDescent="0.25">
      <c r="A31" s="27" t="s">
        <v>40</v>
      </c>
      <c r="B31" s="27" t="s">
        <v>13</v>
      </c>
      <c r="C31" s="39"/>
      <c r="D31" s="30">
        <v>46244</v>
      </c>
      <c r="E31" s="27" t="s">
        <v>61</v>
      </c>
      <c r="F31" s="27" t="s">
        <v>142</v>
      </c>
      <c r="G31" s="27" t="s">
        <v>103</v>
      </c>
      <c r="H31" s="27" t="s">
        <v>143</v>
      </c>
      <c r="I31" s="31"/>
      <c r="J31" s="27">
        <v>8</v>
      </c>
      <c r="K31" s="27" t="s">
        <v>49</v>
      </c>
      <c r="L31" s="31"/>
    </row>
    <row r="32" spans="1:12" customFormat="1" ht="15.8" customHeight="1" x14ac:dyDescent="0.25">
      <c r="A32" s="26" t="s">
        <v>40</v>
      </c>
      <c r="B32" s="26" t="s">
        <v>13</v>
      </c>
      <c r="C32" s="39"/>
      <c r="D32" s="29">
        <v>46244</v>
      </c>
      <c r="E32" s="26" t="s">
        <v>61</v>
      </c>
      <c r="F32" s="26" t="s">
        <v>144</v>
      </c>
      <c r="G32" s="26" t="s">
        <v>145</v>
      </c>
      <c r="H32" s="26" t="s">
        <v>146</v>
      </c>
      <c r="I32" s="28"/>
      <c r="J32" s="26">
        <v>8</v>
      </c>
      <c r="K32" s="26" t="s">
        <v>49</v>
      </c>
      <c r="L32" s="28"/>
    </row>
    <row r="33" spans="1:12" customFormat="1" ht="15.8" customHeight="1" x14ac:dyDescent="0.25">
      <c r="A33" s="27" t="s">
        <v>40</v>
      </c>
      <c r="B33" s="27" t="s">
        <v>13</v>
      </c>
      <c r="C33" s="39"/>
      <c r="D33" s="30">
        <v>46244</v>
      </c>
      <c r="E33" s="27" t="s">
        <v>61</v>
      </c>
      <c r="F33" s="27" t="s">
        <v>147</v>
      </c>
      <c r="G33" s="27" t="s">
        <v>103</v>
      </c>
      <c r="H33" s="27" t="s">
        <v>148</v>
      </c>
      <c r="I33" s="31"/>
      <c r="J33" s="27">
        <v>8</v>
      </c>
      <c r="K33" s="27" t="s">
        <v>49</v>
      </c>
      <c r="L33" s="31"/>
    </row>
    <row r="34" spans="1:12" customFormat="1" ht="15.8" customHeight="1" x14ac:dyDescent="0.25">
      <c r="A34" s="26" t="s">
        <v>40</v>
      </c>
      <c r="B34" s="26" t="s">
        <v>13</v>
      </c>
      <c r="C34" s="39"/>
      <c r="D34" s="29">
        <v>46244</v>
      </c>
      <c r="E34" s="26" t="s">
        <v>61</v>
      </c>
      <c r="F34" s="26" t="s">
        <v>149</v>
      </c>
      <c r="G34" s="26" t="s">
        <v>103</v>
      </c>
      <c r="H34" s="26" t="s">
        <v>150</v>
      </c>
      <c r="I34" s="28"/>
      <c r="J34" s="26">
        <v>8</v>
      </c>
      <c r="K34" s="26" t="s">
        <v>49</v>
      </c>
      <c r="L34" s="28"/>
    </row>
    <row r="35" spans="1:12" customFormat="1" ht="15.8" customHeight="1" x14ac:dyDescent="0.25">
      <c r="A35" s="27" t="s">
        <v>40</v>
      </c>
      <c r="B35" s="27" t="s">
        <v>13</v>
      </c>
      <c r="C35" s="39"/>
      <c r="D35" s="30">
        <v>46244</v>
      </c>
      <c r="E35" s="27" t="s">
        <v>45</v>
      </c>
      <c r="F35" s="27" t="s">
        <v>144</v>
      </c>
      <c r="G35" s="27" t="s">
        <v>103</v>
      </c>
      <c r="H35" s="27" t="s">
        <v>151</v>
      </c>
      <c r="I35" s="31"/>
      <c r="J35" s="27">
        <v>4</v>
      </c>
      <c r="K35" s="27" t="s">
        <v>48</v>
      </c>
      <c r="L35" s="31"/>
    </row>
    <row r="36" spans="1:12" customFormat="1" ht="15.8" customHeight="1" x14ac:dyDescent="0.25">
      <c r="A36" s="26" t="s">
        <v>40</v>
      </c>
      <c r="B36" s="26" t="s">
        <v>13</v>
      </c>
      <c r="C36" s="39"/>
      <c r="D36" s="29">
        <v>46244</v>
      </c>
      <c r="E36" s="26" t="s">
        <v>61</v>
      </c>
      <c r="F36" s="26" t="s">
        <v>152</v>
      </c>
      <c r="G36" s="26" t="s">
        <v>153</v>
      </c>
      <c r="H36" s="26" t="s">
        <v>154</v>
      </c>
      <c r="I36" s="28"/>
      <c r="J36" s="26">
        <v>4</v>
      </c>
      <c r="K36" s="26" t="s">
        <v>48</v>
      </c>
      <c r="L36" s="28"/>
    </row>
    <row r="37" spans="1:12" customFormat="1" ht="15.8" customHeight="1" x14ac:dyDescent="0.25">
      <c r="A37" s="27" t="s">
        <v>40</v>
      </c>
      <c r="B37" s="27" t="s">
        <v>13</v>
      </c>
      <c r="C37" s="39"/>
      <c r="D37" s="30">
        <v>46244</v>
      </c>
      <c r="E37" s="27" t="s">
        <v>61</v>
      </c>
      <c r="F37" s="27" t="s">
        <v>155</v>
      </c>
      <c r="G37" s="27" t="s">
        <v>153</v>
      </c>
      <c r="H37" s="27" t="s">
        <v>156</v>
      </c>
      <c r="I37" s="31"/>
      <c r="J37" s="27">
        <v>4</v>
      </c>
      <c r="K37" s="27" t="s">
        <v>48</v>
      </c>
      <c r="L37" s="31"/>
    </row>
    <row r="38" spans="1:12" customFormat="1" ht="15.8" customHeight="1" x14ac:dyDescent="0.25">
      <c r="A38" s="26" t="s">
        <v>40</v>
      </c>
      <c r="B38" s="26" t="s">
        <v>13</v>
      </c>
      <c r="C38" s="39"/>
      <c r="D38" s="29">
        <v>46244</v>
      </c>
      <c r="E38" s="26" t="s">
        <v>61</v>
      </c>
      <c r="F38" s="26" t="s">
        <v>157</v>
      </c>
      <c r="G38" s="26" t="s">
        <v>153</v>
      </c>
      <c r="H38" s="26" t="s">
        <v>158</v>
      </c>
      <c r="I38" s="28"/>
      <c r="J38" s="26">
        <v>4</v>
      </c>
      <c r="K38" s="26" t="s">
        <v>48</v>
      </c>
      <c r="L38" s="28"/>
    </row>
    <row r="39" spans="1:12" customFormat="1" ht="15.8" customHeight="1" x14ac:dyDescent="0.25">
      <c r="A39" s="27" t="s">
        <v>40</v>
      </c>
      <c r="B39" s="27" t="s">
        <v>13</v>
      </c>
      <c r="C39" s="39"/>
      <c r="D39" s="30">
        <v>46244</v>
      </c>
      <c r="E39" s="27" t="s">
        <v>61</v>
      </c>
      <c r="F39" s="27" t="s">
        <v>159</v>
      </c>
      <c r="G39" s="27" t="s">
        <v>153</v>
      </c>
      <c r="H39" s="27" t="s">
        <v>160</v>
      </c>
      <c r="I39" s="31"/>
      <c r="J39" s="27">
        <v>5</v>
      </c>
      <c r="K39" s="27" t="s">
        <v>55</v>
      </c>
      <c r="L39" s="31"/>
    </row>
    <row r="40" spans="1:12" customFormat="1" ht="15.8" customHeight="1" x14ac:dyDescent="0.25">
      <c r="A40" s="26" t="s">
        <v>40</v>
      </c>
      <c r="B40" s="26" t="s">
        <v>13</v>
      </c>
      <c r="C40" s="39"/>
      <c r="D40" s="29">
        <v>46244</v>
      </c>
      <c r="E40" s="26" t="s">
        <v>61</v>
      </c>
      <c r="F40" s="26" t="s">
        <v>161</v>
      </c>
      <c r="G40" s="26" t="s">
        <v>153</v>
      </c>
      <c r="H40" s="26" t="s">
        <v>154</v>
      </c>
      <c r="I40" s="28"/>
      <c r="J40" s="26">
        <v>5</v>
      </c>
      <c r="K40" s="26" t="s">
        <v>55</v>
      </c>
      <c r="L40" s="28"/>
    </row>
    <row r="41" spans="1:12" customFormat="1" ht="15.8" customHeight="1" x14ac:dyDescent="0.25">
      <c r="A41" s="27" t="s">
        <v>40</v>
      </c>
      <c r="B41" s="27" t="s">
        <v>13</v>
      </c>
      <c r="C41" s="39"/>
      <c r="D41" s="30">
        <v>46244</v>
      </c>
      <c r="E41" s="27" t="s">
        <v>61</v>
      </c>
      <c r="F41" s="27" t="s">
        <v>162</v>
      </c>
      <c r="G41" s="27" t="s">
        <v>153</v>
      </c>
      <c r="H41" s="27" t="s">
        <v>163</v>
      </c>
      <c r="I41" s="31"/>
      <c r="J41" s="27">
        <v>5</v>
      </c>
      <c r="K41" s="27" t="s">
        <v>55</v>
      </c>
      <c r="L41" s="31"/>
    </row>
    <row r="42" spans="1:12" customFormat="1" ht="15.8" customHeight="1" x14ac:dyDescent="0.25">
      <c r="A42" s="26" t="s">
        <v>40</v>
      </c>
      <c r="B42" s="26" t="s">
        <v>13</v>
      </c>
      <c r="C42" s="39"/>
      <c r="D42" s="29">
        <v>46244</v>
      </c>
      <c r="E42" s="26" t="s">
        <v>45</v>
      </c>
      <c r="F42" s="26" t="s">
        <v>164</v>
      </c>
      <c r="G42" s="26" t="s">
        <v>153</v>
      </c>
      <c r="H42" s="26" t="s">
        <v>165</v>
      </c>
      <c r="I42" s="28"/>
      <c r="J42" s="26">
        <v>5</v>
      </c>
      <c r="K42" s="26" t="s">
        <v>55</v>
      </c>
      <c r="L42" s="28"/>
    </row>
    <row r="43" spans="1:12" customFormat="1" ht="15.8" customHeight="1" x14ac:dyDescent="0.25">
      <c r="A43" s="27" t="s">
        <v>40</v>
      </c>
      <c r="B43" s="27" t="s">
        <v>13</v>
      </c>
      <c r="C43" s="39"/>
      <c r="D43" s="30">
        <v>46244</v>
      </c>
      <c r="E43" s="27" t="s">
        <v>61</v>
      </c>
      <c r="F43" s="27" t="s">
        <v>166</v>
      </c>
      <c r="G43" s="27" t="s">
        <v>153</v>
      </c>
      <c r="H43" s="27" t="s">
        <v>167</v>
      </c>
      <c r="I43" s="31"/>
      <c r="J43" s="27">
        <v>5</v>
      </c>
      <c r="K43" s="27" t="s">
        <v>55</v>
      </c>
      <c r="L43" s="31"/>
    </row>
    <row r="44" spans="1:12" customFormat="1" ht="15.8" customHeight="1" x14ac:dyDescent="0.25">
      <c r="A44" s="26" t="s">
        <v>40</v>
      </c>
      <c r="B44" s="26" t="s">
        <v>13</v>
      </c>
      <c r="C44" s="39"/>
      <c r="D44" s="29">
        <v>46244</v>
      </c>
      <c r="E44" s="26" t="s">
        <v>61</v>
      </c>
      <c r="F44" s="26" t="s">
        <v>168</v>
      </c>
      <c r="G44" s="26" t="s">
        <v>153</v>
      </c>
      <c r="H44" s="26" t="s">
        <v>169</v>
      </c>
      <c r="I44" s="28"/>
      <c r="J44" s="26">
        <v>8</v>
      </c>
      <c r="K44" s="26" t="s">
        <v>49</v>
      </c>
      <c r="L44" s="28"/>
    </row>
    <row r="45" spans="1:12" customFormat="1" ht="15.8" customHeight="1" x14ac:dyDescent="0.25">
      <c r="A45" s="27" t="s">
        <v>40</v>
      </c>
      <c r="B45" s="27" t="s">
        <v>13</v>
      </c>
      <c r="C45" s="39"/>
      <c r="D45" s="30">
        <v>46244</v>
      </c>
      <c r="E45" s="27" t="s">
        <v>61</v>
      </c>
      <c r="F45" s="27" t="s">
        <v>170</v>
      </c>
      <c r="G45" s="27" t="s">
        <v>153</v>
      </c>
      <c r="H45" s="27" t="s">
        <v>154</v>
      </c>
      <c r="I45" s="31"/>
      <c r="J45" s="27">
        <v>8</v>
      </c>
      <c r="K45" s="27" t="s">
        <v>49</v>
      </c>
      <c r="L45" s="31"/>
    </row>
    <row r="46" spans="1:12" customFormat="1" ht="15.8" customHeight="1" x14ac:dyDescent="0.25">
      <c r="A46" s="26" t="s">
        <v>40</v>
      </c>
      <c r="B46" s="26" t="s">
        <v>13</v>
      </c>
      <c r="C46" s="39"/>
      <c r="D46" s="29">
        <v>46244</v>
      </c>
      <c r="E46" s="26" t="s">
        <v>61</v>
      </c>
      <c r="F46" s="26" t="s">
        <v>171</v>
      </c>
      <c r="G46" s="26" t="s">
        <v>153</v>
      </c>
      <c r="H46" s="26" t="s">
        <v>172</v>
      </c>
      <c r="I46" s="28"/>
      <c r="J46" s="26">
        <v>8</v>
      </c>
      <c r="K46" s="26" t="s">
        <v>49</v>
      </c>
      <c r="L46" s="28"/>
    </row>
    <row r="47" spans="1:12" customFormat="1" ht="15.8" customHeight="1" x14ac:dyDescent="0.25">
      <c r="A47" s="27" t="s">
        <v>40</v>
      </c>
      <c r="B47" s="27" t="s">
        <v>13</v>
      </c>
      <c r="C47" s="39"/>
      <c r="D47" s="30">
        <v>46244</v>
      </c>
      <c r="E47" s="27" t="s">
        <v>61</v>
      </c>
      <c r="F47" s="27" t="s">
        <v>173</v>
      </c>
      <c r="G47" s="27" t="s">
        <v>153</v>
      </c>
      <c r="H47" s="27" t="s">
        <v>172</v>
      </c>
      <c r="I47" s="31"/>
      <c r="J47" s="27">
        <v>8</v>
      </c>
      <c r="K47" s="27" t="s">
        <v>49</v>
      </c>
      <c r="L47" s="31"/>
    </row>
    <row r="48" spans="1:12" customFormat="1" ht="15.8" customHeight="1" x14ac:dyDescent="0.25">
      <c r="A48" s="26" t="s">
        <v>40</v>
      </c>
      <c r="B48" s="26" t="s">
        <v>13</v>
      </c>
      <c r="C48" s="39"/>
      <c r="D48" s="29">
        <v>46244</v>
      </c>
      <c r="E48" s="26" t="s">
        <v>61</v>
      </c>
      <c r="F48" s="26" t="s">
        <v>174</v>
      </c>
      <c r="G48" s="26" t="s">
        <v>153</v>
      </c>
      <c r="H48" s="26" t="s">
        <v>175</v>
      </c>
      <c r="I48" s="28"/>
      <c r="J48" s="26">
        <v>8</v>
      </c>
      <c r="K48" s="26" t="s">
        <v>49</v>
      </c>
      <c r="L48" s="28"/>
    </row>
    <row r="49" spans="1:12" customFormat="1" ht="15.8" customHeight="1" x14ac:dyDescent="0.25">
      <c r="A49" s="27" t="s">
        <v>40</v>
      </c>
      <c r="B49" s="27" t="s">
        <v>13</v>
      </c>
      <c r="C49" s="39"/>
      <c r="D49" s="30">
        <v>46244</v>
      </c>
      <c r="E49" s="27" t="s">
        <v>61</v>
      </c>
      <c r="F49" s="27" t="s">
        <v>176</v>
      </c>
      <c r="G49" s="27" t="s">
        <v>153</v>
      </c>
      <c r="H49" s="27" t="s">
        <v>177</v>
      </c>
      <c r="I49" s="31"/>
      <c r="J49" s="27">
        <v>8</v>
      </c>
      <c r="K49" s="27" t="s">
        <v>49</v>
      </c>
      <c r="L49" s="31"/>
    </row>
    <row r="50" spans="1:12" customFormat="1" ht="15.8" customHeight="1" x14ac:dyDescent="0.25">
      <c r="A50" s="26" t="s">
        <v>40</v>
      </c>
      <c r="B50" s="26" t="s">
        <v>13</v>
      </c>
      <c r="C50" s="39"/>
      <c r="D50" s="29">
        <v>46244</v>
      </c>
      <c r="E50" s="26" t="s">
        <v>61</v>
      </c>
      <c r="F50" s="26" t="s">
        <v>178</v>
      </c>
      <c r="G50" s="26" t="s">
        <v>153</v>
      </c>
      <c r="H50" s="26" t="s">
        <v>177</v>
      </c>
      <c r="I50" s="28"/>
      <c r="J50" s="26">
        <v>8</v>
      </c>
      <c r="K50" s="26" t="s">
        <v>49</v>
      </c>
      <c r="L50" s="28"/>
    </row>
    <row r="51" spans="1:12" customFormat="1" ht="15.8" customHeight="1" x14ac:dyDescent="0.25">
      <c r="A51" s="27" t="s">
        <v>40</v>
      </c>
      <c r="B51" s="27" t="s">
        <v>13</v>
      </c>
      <c r="C51" s="39"/>
      <c r="D51" s="30">
        <v>46244</v>
      </c>
      <c r="E51" s="27" t="s">
        <v>61</v>
      </c>
      <c r="F51" s="27" t="s">
        <v>179</v>
      </c>
      <c r="G51" s="27" t="s">
        <v>153</v>
      </c>
      <c r="H51" s="27" t="s">
        <v>177</v>
      </c>
      <c r="I51" s="31"/>
      <c r="J51" s="27">
        <v>8</v>
      </c>
      <c r="K51" s="27" t="s">
        <v>49</v>
      </c>
      <c r="L51" s="31"/>
    </row>
    <row r="52" spans="1:12" customFormat="1" ht="15.8" customHeight="1" x14ac:dyDescent="0.25">
      <c r="A52" s="26" t="s">
        <v>40</v>
      </c>
      <c r="B52" s="26" t="s">
        <v>13</v>
      </c>
      <c r="C52" s="39"/>
      <c r="D52" s="29">
        <v>46244</v>
      </c>
      <c r="E52" s="26" t="s">
        <v>61</v>
      </c>
      <c r="F52" s="26" t="s">
        <v>180</v>
      </c>
      <c r="G52" s="26" t="s">
        <v>68</v>
      </c>
      <c r="H52" s="26" t="s">
        <v>181</v>
      </c>
      <c r="I52" s="28"/>
      <c r="J52" s="26">
        <v>8</v>
      </c>
      <c r="K52" s="26" t="s">
        <v>49</v>
      </c>
      <c r="L52" s="28"/>
    </row>
    <row r="53" spans="1:12" customFormat="1" ht="15.8" customHeight="1" x14ac:dyDescent="0.25">
      <c r="A53" s="27" t="s">
        <v>40</v>
      </c>
      <c r="B53" s="27" t="s">
        <v>13</v>
      </c>
      <c r="C53" s="39"/>
      <c r="D53" s="30">
        <v>46244</v>
      </c>
      <c r="E53" s="27" t="s">
        <v>61</v>
      </c>
      <c r="F53" s="27" t="s">
        <v>182</v>
      </c>
      <c r="G53" s="27" t="s">
        <v>68</v>
      </c>
      <c r="H53" s="27" t="s">
        <v>183</v>
      </c>
      <c r="I53" s="31"/>
      <c r="J53" s="27">
        <v>8</v>
      </c>
      <c r="K53" s="27" t="s">
        <v>49</v>
      </c>
      <c r="L53" s="31"/>
    </row>
    <row r="54" spans="1:12" customFormat="1" ht="15.8" customHeight="1" x14ac:dyDescent="0.25">
      <c r="A54" s="26" t="s">
        <v>40</v>
      </c>
      <c r="B54" s="26" t="s">
        <v>13</v>
      </c>
      <c r="C54" s="39"/>
      <c r="D54" s="29">
        <v>46244</v>
      </c>
      <c r="E54" s="26" t="s">
        <v>61</v>
      </c>
      <c r="F54" s="26" t="s">
        <v>184</v>
      </c>
      <c r="G54" s="26" t="s">
        <v>68</v>
      </c>
      <c r="H54" s="26" t="s">
        <v>185</v>
      </c>
      <c r="I54" s="28"/>
      <c r="J54" s="26">
        <v>8</v>
      </c>
      <c r="K54" s="26" t="s">
        <v>49</v>
      </c>
      <c r="L54" s="28"/>
    </row>
    <row r="55" spans="1:12" customFormat="1" ht="15.8" customHeight="1" x14ac:dyDescent="0.25">
      <c r="A55" s="27" t="s">
        <v>40</v>
      </c>
      <c r="B55" s="27" t="s">
        <v>13</v>
      </c>
      <c r="C55" s="39"/>
      <c r="D55" s="30">
        <v>46244</v>
      </c>
      <c r="E55" s="27" t="s">
        <v>61</v>
      </c>
      <c r="F55" s="27" t="s">
        <v>186</v>
      </c>
      <c r="G55" s="27" t="s">
        <v>68</v>
      </c>
      <c r="H55" s="27" t="s">
        <v>187</v>
      </c>
      <c r="I55" s="31"/>
      <c r="J55" s="27">
        <v>8</v>
      </c>
      <c r="K55" s="27" t="s">
        <v>49</v>
      </c>
      <c r="L55" s="31"/>
    </row>
    <row r="56" spans="1:12" customFormat="1" ht="15.8" customHeight="1" x14ac:dyDescent="0.25">
      <c r="A56" s="26" t="s">
        <v>40</v>
      </c>
      <c r="B56" s="26" t="s">
        <v>13</v>
      </c>
      <c r="C56" s="39"/>
      <c r="D56" s="29">
        <v>46244</v>
      </c>
      <c r="E56" s="26" t="s">
        <v>61</v>
      </c>
      <c r="F56" s="26" t="s">
        <v>188</v>
      </c>
      <c r="G56" s="26" t="s">
        <v>66</v>
      </c>
      <c r="H56" s="26" t="s">
        <v>189</v>
      </c>
      <c r="I56" s="28"/>
      <c r="J56" s="26">
        <v>8</v>
      </c>
      <c r="K56" s="26" t="s">
        <v>49</v>
      </c>
      <c r="L56" s="28"/>
    </row>
    <row r="57" spans="1:12" customFormat="1" ht="15.8" customHeight="1" x14ac:dyDescent="0.25">
      <c r="A57" s="27" t="s">
        <v>40</v>
      </c>
      <c r="B57" s="27" t="s">
        <v>13</v>
      </c>
      <c r="C57" s="39"/>
      <c r="D57" s="30">
        <v>46244</v>
      </c>
      <c r="E57" s="27" t="s">
        <v>61</v>
      </c>
      <c r="F57" s="27" t="s">
        <v>190</v>
      </c>
      <c r="G57" s="27" t="s">
        <v>66</v>
      </c>
      <c r="H57" s="27" t="s">
        <v>191</v>
      </c>
      <c r="I57" s="31"/>
      <c r="J57" s="27">
        <v>8</v>
      </c>
      <c r="K57" s="27" t="s">
        <v>49</v>
      </c>
      <c r="L57" s="31"/>
    </row>
    <row r="58" spans="1:12" customFormat="1" ht="15.8" customHeight="1" x14ac:dyDescent="0.25">
      <c r="A58" s="26" t="s">
        <v>40</v>
      </c>
      <c r="B58" s="26" t="s">
        <v>13</v>
      </c>
      <c r="C58" s="39"/>
      <c r="D58" s="29">
        <v>46244</v>
      </c>
      <c r="E58" s="26" t="s">
        <v>61</v>
      </c>
      <c r="F58" s="26" t="s">
        <v>192</v>
      </c>
      <c r="G58" s="26" t="s">
        <v>66</v>
      </c>
      <c r="H58" s="26" t="s">
        <v>193</v>
      </c>
      <c r="I58" s="28"/>
      <c r="J58" s="26">
        <v>8</v>
      </c>
      <c r="K58" s="26" t="s">
        <v>49</v>
      </c>
      <c r="L58" s="28"/>
    </row>
    <row r="59" spans="1:12" customFormat="1" ht="15.8" customHeight="1" x14ac:dyDescent="0.25">
      <c r="A59" s="27" t="s">
        <v>40</v>
      </c>
      <c r="B59" s="27" t="s">
        <v>13</v>
      </c>
      <c r="C59" s="39"/>
      <c r="D59" s="30">
        <v>46244</v>
      </c>
      <c r="E59" s="27" t="s">
        <v>61</v>
      </c>
      <c r="F59" s="27" t="s">
        <v>194</v>
      </c>
      <c r="G59" s="27" t="s">
        <v>66</v>
      </c>
      <c r="H59" s="27" t="s">
        <v>195</v>
      </c>
      <c r="I59" s="31"/>
      <c r="J59" s="27">
        <v>5</v>
      </c>
      <c r="K59" s="27" t="s">
        <v>55</v>
      </c>
      <c r="L59" s="31"/>
    </row>
    <row r="60" spans="1:12" customFormat="1" ht="15.8" customHeight="1" x14ac:dyDescent="0.25">
      <c r="A60" s="26" t="s">
        <v>40</v>
      </c>
      <c r="B60" s="26" t="s">
        <v>13</v>
      </c>
      <c r="C60" s="39"/>
      <c r="D60" s="29">
        <v>46244</v>
      </c>
      <c r="E60" s="26" t="s">
        <v>61</v>
      </c>
      <c r="F60" s="26" t="s">
        <v>196</v>
      </c>
      <c r="G60" s="26" t="s">
        <v>66</v>
      </c>
      <c r="H60" s="26" t="s">
        <v>197</v>
      </c>
      <c r="I60" s="28"/>
      <c r="J60" s="26">
        <v>5</v>
      </c>
      <c r="K60" s="26" t="s">
        <v>55</v>
      </c>
      <c r="L60" s="28"/>
    </row>
    <row r="61" spans="1:12" customFormat="1" ht="15.8" customHeight="1" x14ac:dyDescent="0.25">
      <c r="A61" s="27" t="s">
        <v>40</v>
      </c>
      <c r="B61" s="27" t="s">
        <v>13</v>
      </c>
      <c r="C61" s="39"/>
      <c r="D61" s="30">
        <v>46244</v>
      </c>
      <c r="E61" s="27" t="s">
        <v>61</v>
      </c>
      <c r="F61" s="27" t="s">
        <v>198</v>
      </c>
      <c r="G61" s="27" t="s">
        <v>66</v>
      </c>
      <c r="H61" s="27" t="s">
        <v>199</v>
      </c>
      <c r="I61" s="31"/>
      <c r="J61" s="27">
        <v>5</v>
      </c>
      <c r="K61" s="27" t="s">
        <v>55</v>
      </c>
      <c r="L61" s="31"/>
    </row>
    <row r="62" spans="1:12" customFormat="1" ht="15.8" customHeight="1" x14ac:dyDescent="0.25">
      <c r="A62" s="26" t="s">
        <v>40</v>
      </c>
      <c r="B62" s="26" t="s">
        <v>13</v>
      </c>
      <c r="C62" s="39"/>
      <c r="D62" s="29">
        <v>46244</v>
      </c>
      <c r="E62" s="26" t="s">
        <v>61</v>
      </c>
      <c r="F62" s="26" t="s">
        <v>200</v>
      </c>
      <c r="G62" s="26" t="s">
        <v>66</v>
      </c>
      <c r="H62" s="26" t="s">
        <v>201</v>
      </c>
      <c r="I62" s="28"/>
      <c r="J62" s="26">
        <v>5</v>
      </c>
      <c r="K62" s="26" t="s">
        <v>55</v>
      </c>
      <c r="L62" s="28"/>
    </row>
    <row r="63" spans="1:12" customFormat="1" ht="15.8" customHeight="1" x14ac:dyDescent="0.25">
      <c r="A63" s="27" t="s">
        <v>40</v>
      </c>
      <c r="B63" s="27" t="s">
        <v>13</v>
      </c>
      <c r="C63" s="39"/>
      <c r="D63" s="30">
        <v>46244</v>
      </c>
      <c r="E63" s="27" t="s">
        <v>61</v>
      </c>
      <c r="F63" s="27" t="s">
        <v>202</v>
      </c>
      <c r="G63" s="27" t="s">
        <v>66</v>
      </c>
      <c r="H63" s="27" t="s">
        <v>203</v>
      </c>
      <c r="I63" s="31"/>
      <c r="J63" s="27">
        <v>5</v>
      </c>
      <c r="K63" s="27" t="s">
        <v>55</v>
      </c>
      <c r="L63" s="31"/>
    </row>
    <row r="64" spans="1:12" customFormat="1" ht="15.8" customHeight="1" x14ac:dyDescent="0.25">
      <c r="A64" s="26" t="s">
        <v>40</v>
      </c>
      <c r="B64" s="26" t="s">
        <v>13</v>
      </c>
      <c r="C64" s="39"/>
      <c r="D64" s="29">
        <v>46244</v>
      </c>
      <c r="E64" s="26" t="s">
        <v>61</v>
      </c>
      <c r="F64" s="26" t="s">
        <v>204</v>
      </c>
      <c r="G64" s="26" t="s">
        <v>153</v>
      </c>
      <c r="H64" s="26" t="s">
        <v>205</v>
      </c>
      <c r="I64" s="28"/>
      <c r="J64" s="26">
        <v>5</v>
      </c>
      <c r="K64" s="26" t="s">
        <v>55</v>
      </c>
      <c r="L64" s="28"/>
    </row>
    <row r="65" spans="1:12" customFormat="1" ht="15.8" customHeight="1" x14ac:dyDescent="0.25">
      <c r="A65" s="27" t="s">
        <v>40</v>
      </c>
      <c r="B65" s="27" t="s">
        <v>13</v>
      </c>
      <c r="C65" s="39"/>
      <c r="D65" s="30">
        <v>46244</v>
      </c>
      <c r="E65" s="27" t="s">
        <v>61</v>
      </c>
      <c r="F65" s="27" t="s">
        <v>206</v>
      </c>
      <c r="G65" s="27" t="s">
        <v>153</v>
      </c>
      <c r="H65" s="27" t="s">
        <v>207</v>
      </c>
      <c r="I65" s="31"/>
      <c r="J65" s="27">
        <v>8</v>
      </c>
      <c r="K65" s="27" t="s">
        <v>49</v>
      </c>
      <c r="L65" s="31"/>
    </row>
    <row r="66" spans="1:12" customFormat="1" ht="15.8" customHeight="1" x14ac:dyDescent="0.25">
      <c r="A66" s="26" t="s">
        <v>40</v>
      </c>
      <c r="B66" s="26" t="s">
        <v>13</v>
      </c>
      <c r="C66" s="39"/>
      <c r="D66" s="29">
        <v>46244</v>
      </c>
      <c r="E66" s="26" t="s">
        <v>61</v>
      </c>
      <c r="F66" s="26" t="s">
        <v>208</v>
      </c>
      <c r="G66" s="26" t="s">
        <v>153</v>
      </c>
      <c r="H66" s="26" t="s">
        <v>154</v>
      </c>
      <c r="I66" s="28"/>
      <c r="J66" s="26">
        <v>8</v>
      </c>
      <c r="K66" s="26" t="s">
        <v>49</v>
      </c>
      <c r="L66" s="28"/>
    </row>
    <row r="67" spans="1:12" customFormat="1" ht="15.8" customHeight="1" x14ac:dyDescent="0.25">
      <c r="A67" s="27" t="s">
        <v>40</v>
      </c>
      <c r="B67" s="27" t="s">
        <v>13</v>
      </c>
      <c r="C67" s="39"/>
      <c r="D67" s="30">
        <v>46244</v>
      </c>
      <c r="E67" s="27" t="s">
        <v>61</v>
      </c>
      <c r="F67" s="27" t="s">
        <v>209</v>
      </c>
      <c r="G67" s="27" t="s">
        <v>153</v>
      </c>
      <c r="H67" s="27" t="s">
        <v>210</v>
      </c>
      <c r="I67" s="31"/>
      <c r="J67" s="27">
        <v>8</v>
      </c>
      <c r="K67" s="27" t="s">
        <v>49</v>
      </c>
      <c r="L67" s="31"/>
    </row>
    <row r="68" spans="1:12" customFormat="1" ht="15.8" customHeight="1" x14ac:dyDescent="0.25">
      <c r="A68" s="26" t="s">
        <v>40</v>
      </c>
      <c r="B68" s="26" t="s">
        <v>13</v>
      </c>
      <c r="C68" s="39"/>
      <c r="D68" s="29">
        <v>46244</v>
      </c>
      <c r="E68" s="26" t="s">
        <v>61</v>
      </c>
      <c r="F68" s="26" t="s">
        <v>211</v>
      </c>
      <c r="G68" s="26" t="s">
        <v>153</v>
      </c>
      <c r="H68" s="26" t="s">
        <v>212</v>
      </c>
      <c r="I68" s="28"/>
      <c r="J68" s="26">
        <v>8</v>
      </c>
      <c r="K68" s="26" t="s">
        <v>49</v>
      </c>
      <c r="L68" s="28"/>
    </row>
    <row r="69" spans="1:12" customFormat="1" ht="15.8" customHeight="1" x14ac:dyDescent="0.25">
      <c r="A69" s="27" t="s">
        <v>40</v>
      </c>
      <c r="B69" s="27" t="s">
        <v>13</v>
      </c>
      <c r="C69" s="39"/>
      <c r="D69" s="30">
        <v>46244</v>
      </c>
      <c r="E69" s="27" t="s">
        <v>61</v>
      </c>
      <c r="F69" s="27" t="s">
        <v>213</v>
      </c>
      <c r="G69" s="27" t="s">
        <v>153</v>
      </c>
      <c r="H69" s="27" t="s">
        <v>214</v>
      </c>
      <c r="I69" s="31"/>
      <c r="J69" s="27">
        <v>8</v>
      </c>
      <c r="K69" s="27" t="s">
        <v>49</v>
      </c>
      <c r="L69" s="31"/>
    </row>
    <row r="70" spans="1:12" customFormat="1" ht="15.8" customHeight="1" x14ac:dyDescent="0.25">
      <c r="A70" s="26" t="s">
        <v>40</v>
      </c>
      <c r="B70" s="26" t="s">
        <v>13</v>
      </c>
      <c r="C70" s="39"/>
      <c r="D70" s="29">
        <v>46244</v>
      </c>
      <c r="E70" s="26" t="s">
        <v>61</v>
      </c>
      <c r="F70" s="26" t="s">
        <v>215</v>
      </c>
      <c r="G70" s="26" t="s">
        <v>153</v>
      </c>
      <c r="H70" s="26" t="s">
        <v>216</v>
      </c>
      <c r="I70" s="28"/>
      <c r="J70" s="26">
        <v>8</v>
      </c>
      <c r="K70" s="26" t="s">
        <v>49</v>
      </c>
      <c r="L70" s="28"/>
    </row>
    <row r="71" spans="1:12" customFormat="1" ht="15.8" customHeight="1" x14ac:dyDescent="0.25">
      <c r="A71" s="27" t="s">
        <v>40</v>
      </c>
      <c r="B71" s="27" t="s">
        <v>13</v>
      </c>
      <c r="C71" s="39"/>
      <c r="D71" s="30">
        <v>46244</v>
      </c>
      <c r="E71" s="27" t="s">
        <v>61</v>
      </c>
      <c r="F71" s="27" t="s">
        <v>217</v>
      </c>
      <c r="G71" s="27" t="s">
        <v>153</v>
      </c>
      <c r="H71" s="27" t="s">
        <v>218</v>
      </c>
      <c r="I71" s="31"/>
      <c r="J71" s="27">
        <v>8</v>
      </c>
      <c r="K71" s="27" t="s">
        <v>49</v>
      </c>
      <c r="L71" s="31"/>
    </row>
    <row r="72" spans="1:12" customFormat="1" ht="15.8" customHeight="1" x14ac:dyDescent="0.25">
      <c r="A72" s="26" t="s">
        <v>40</v>
      </c>
      <c r="B72" s="26" t="s">
        <v>13</v>
      </c>
      <c r="C72" s="39"/>
      <c r="D72" s="29">
        <v>46244</v>
      </c>
      <c r="E72" s="26" t="s">
        <v>61</v>
      </c>
      <c r="F72" s="26" t="s">
        <v>219</v>
      </c>
      <c r="G72" s="26" t="s">
        <v>153</v>
      </c>
      <c r="H72" s="26" t="s">
        <v>220</v>
      </c>
      <c r="I72" s="28"/>
      <c r="J72" s="26">
        <v>8</v>
      </c>
      <c r="K72" s="26" t="s">
        <v>49</v>
      </c>
      <c r="L72" s="28"/>
    </row>
    <row r="73" spans="1:12" customFormat="1" ht="15.8" customHeight="1" x14ac:dyDescent="0.25">
      <c r="A73" s="27" t="s">
        <v>40</v>
      </c>
      <c r="B73" s="27" t="s">
        <v>13</v>
      </c>
      <c r="C73" s="39"/>
      <c r="D73" s="30">
        <v>46244</v>
      </c>
      <c r="E73" s="27" t="s">
        <v>61</v>
      </c>
      <c r="F73" s="27" t="s">
        <v>221</v>
      </c>
      <c r="G73" s="27" t="s">
        <v>153</v>
      </c>
      <c r="H73" s="27" t="s">
        <v>222</v>
      </c>
      <c r="I73" s="31"/>
      <c r="J73" s="27">
        <v>8</v>
      </c>
      <c r="K73" s="27" t="s">
        <v>49</v>
      </c>
      <c r="L73" s="31"/>
    </row>
    <row r="74" spans="1:12" customFormat="1" ht="15.8" customHeight="1" x14ac:dyDescent="0.25">
      <c r="A74" s="26" t="s">
        <v>40</v>
      </c>
      <c r="B74" s="26" t="s">
        <v>13</v>
      </c>
      <c r="C74" s="39"/>
      <c r="D74" s="29">
        <v>46244</v>
      </c>
      <c r="E74" s="26" t="s">
        <v>45</v>
      </c>
      <c r="F74" s="26" t="s">
        <v>223</v>
      </c>
      <c r="G74" s="26" t="s">
        <v>153</v>
      </c>
      <c r="H74" s="26" t="s">
        <v>224</v>
      </c>
      <c r="I74" s="28"/>
      <c r="J74" s="26">
        <v>8</v>
      </c>
      <c r="K74" s="26" t="s">
        <v>49</v>
      </c>
      <c r="L74" s="28"/>
    </row>
    <row r="75" spans="1:12" customFormat="1" ht="15.8" customHeight="1" x14ac:dyDescent="0.25">
      <c r="A75" s="27" t="s">
        <v>40</v>
      </c>
      <c r="B75" s="27" t="s">
        <v>13</v>
      </c>
      <c r="C75" s="39"/>
      <c r="D75" s="30">
        <v>46244</v>
      </c>
      <c r="E75" s="27" t="s">
        <v>45</v>
      </c>
      <c r="F75" s="27" t="s">
        <v>225</v>
      </c>
      <c r="G75" s="27" t="s">
        <v>153</v>
      </c>
      <c r="H75" s="27" t="s">
        <v>226</v>
      </c>
      <c r="I75" s="31"/>
      <c r="J75" s="27">
        <v>8</v>
      </c>
      <c r="K75" s="27" t="s">
        <v>49</v>
      </c>
      <c r="L75" s="31"/>
    </row>
    <row r="76" spans="1:12" customFormat="1" ht="15.8" customHeight="1" x14ac:dyDescent="0.25">
      <c r="A76" s="26" t="s">
        <v>40</v>
      </c>
      <c r="B76" s="26" t="s">
        <v>13</v>
      </c>
      <c r="C76" s="39"/>
      <c r="D76" s="29">
        <v>46244</v>
      </c>
      <c r="E76" s="26" t="s">
        <v>61</v>
      </c>
      <c r="F76" s="26" t="s">
        <v>227</v>
      </c>
      <c r="G76" s="26" t="s">
        <v>228</v>
      </c>
      <c r="H76" s="26" t="s">
        <v>229</v>
      </c>
      <c r="I76" s="28"/>
      <c r="J76" s="26">
        <v>4</v>
      </c>
      <c r="K76" s="26" t="s">
        <v>48</v>
      </c>
      <c r="L76" s="28"/>
    </row>
    <row r="77" spans="1:12" customFormat="1" ht="15.8" customHeight="1" x14ac:dyDescent="0.25">
      <c r="A77" s="27" t="s">
        <v>40</v>
      </c>
      <c r="B77" s="27" t="s">
        <v>13</v>
      </c>
      <c r="C77" s="39"/>
      <c r="D77" s="30">
        <v>46244</v>
      </c>
      <c r="E77" s="27" t="s">
        <v>61</v>
      </c>
      <c r="F77" s="27" t="s">
        <v>230</v>
      </c>
      <c r="G77" s="27" t="s">
        <v>153</v>
      </c>
      <c r="H77" s="27" t="s">
        <v>231</v>
      </c>
      <c r="I77" s="31"/>
      <c r="J77" s="27">
        <v>4</v>
      </c>
      <c r="K77" s="27" t="s">
        <v>48</v>
      </c>
      <c r="L77" s="31"/>
    </row>
    <row r="78" spans="1:12" customFormat="1" ht="15.8" customHeight="1" x14ac:dyDescent="0.25">
      <c r="A78" s="26" t="s">
        <v>40</v>
      </c>
      <c r="B78" s="26" t="s">
        <v>13</v>
      </c>
      <c r="C78" s="39"/>
      <c r="D78" s="29">
        <v>46244</v>
      </c>
      <c r="E78" s="26" t="s">
        <v>45</v>
      </c>
      <c r="F78" s="26" t="s">
        <v>232</v>
      </c>
      <c r="G78" s="26" t="s">
        <v>153</v>
      </c>
      <c r="H78" s="26" t="s">
        <v>233</v>
      </c>
      <c r="I78" s="28"/>
      <c r="J78" s="26">
        <v>4</v>
      </c>
      <c r="K78" s="26" t="s">
        <v>48</v>
      </c>
      <c r="L78" s="28"/>
    </row>
    <row r="79" spans="1:12" customFormat="1" ht="15.8" customHeight="1" x14ac:dyDescent="0.25">
      <c r="A79" s="27" t="s">
        <v>40</v>
      </c>
      <c r="B79" s="27" t="s">
        <v>13</v>
      </c>
      <c r="C79" s="39"/>
      <c r="D79" s="30">
        <v>46244</v>
      </c>
      <c r="E79" s="27" t="s">
        <v>61</v>
      </c>
      <c r="F79" s="27" t="s">
        <v>234</v>
      </c>
      <c r="G79" s="27" t="s">
        <v>153</v>
      </c>
      <c r="H79" s="27" t="s">
        <v>235</v>
      </c>
      <c r="I79" s="31"/>
      <c r="J79" s="27">
        <v>4</v>
      </c>
      <c r="K79" s="27" t="s">
        <v>48</v>
      </c>
      <c r="L79" s="31"/>
    </row>
    <row r="80" spans="1:12" customFormat="1" ht="15.8" customHeight="1" x14ac:dyDescent="0.25">
      <c r="A80" s="26" t="s">
        <v>40</v>
      </c>
      <c r="B80" s="26" t="s">
        <v>13</v>
      </c>
      <c r="C80" s="39"/>
      <c r="D80" s="29">
        <v>46244</v>
      </c>
      <c r="E80" s="26" t="s">
        <v>61</v>
      </c>
      <c r="F80" s="26" t="s">
        <v>236</v>
      </c>
      <c r="G80" s="26" t="s">
        <v>153</v>
      </c>
      <c r="H80" s="26" t="s">
        <v>237</v>
      </c>
      <c r="I80" s="28"/>
      <c r="J80" s="26">
        <v>5</v>
      </c>
      <c r="K80" s="26" t="s">
        <v>55</v>
      </c>
      <c r="L80" s="28"/>
    </row>
    <row r="81" spans="1:12" customFormat="1" ht="15.8" customHeight="1" x14ac:dyDescent="0.25">
      <c r="A81" s="27" t="s">
        <v>40</v>
      </c>
      <c r="B81" s="27" t="s">
        <v>13</v>
      </c>
      <c r="C81" s="39"/>
      <c r="D81" s="30">
        <v>46244</v>
      </c>
      <c r="E81" s="27" t="s">
        <v>61</v>
      </c>
      <c r="F81" s="27" t="s">
        <v>238</v>
      </c>
      <c r="G81" s="27" t="s">
        <v>153</v>
      </c>
      <c r="H81" s="27" t="s">
        <v>239</v>
      </c>
      <c r="I81" s="31"/>
      <c r="J81" s="27">
        <v>5</v>
      </c>
      <c r="K81" s="27" t="s">
        <v>55</v>
      </c>
      <c r="L81" s="31"/>
    </row>
    <row r="82" spans="1:12" customFormat="1" ht="15.8" customHeight="1" x14ac:dyDescent="0.25">
      <c r="A82" s="26" t="s">
        <v>40</v>
      </c>
      <c r="B82" s="26" t="s">
        <v>13</v>
      </c>
      <c r="C82" s="39"/>
      <c r="D82" s="29">
        <v>46244</v>
      </c>
      <c r="E82" s="26" t="s">
        <v>61</v>
      </c>
      <c r="F82" s="26" t="s">
        <v>240</v>
      </c>
      <c r="G82" s="26" t="s">
        <v>153</v>
      </c>
      <c r="H82" s="26" t="s">
        <v>163</v>
      </c>
      <c r="I82" s="28"/>
      <c r="J82" s="26">
        <v>5</v>
      </c>
      <c r="K82" s="26" t="s">
        <v>55</v>
      </c>
      <c r="L82" s="28"/>
    </row>
    <row r="83" spans="1:12" customFormat="1" ht="15.8" customHeight="1" x14ac:dyDescent="0.25">
      <c r="A83" s="27" t="s">
        <v>40</v>
      </c>
      <c r="B83" s="27" t="s">
        <v>13</v>
      </c>
      <c r="C83" s="39"/>
      <c r="D83" s="30">
        <v>46244</v>
      </c>
      <c r="E83" s="27" t="s">
        <v>61</v>
      </c>
      <c r="F83" s="27" t="s">
        <v>241</v>
      </c>
      <c r="G83" s="27" t="s">
        <v>153</v>
      </c>
      <c r="H83" s="27" t="s">
        <v>242</v>
      </c>
      <c r="I83" s="31"/>
      <c r="J83" s="27">
        <v>5</v>
      </c>
      <c r="K83" s="27" t="s">
        <v>55</v>
      </c>
      <c r="L83" s="31"/>
    </row>
    <row r="84" spans="1:12" customFormat="1" ht="15.8" customHeight="1" x14ac:dyDescent="0.25">
      <c r="A84" s="26" t="s">
        <v>40</v>
      </c>
      <c r="B84" s="26" t="s">
        <v>13</v>
      </c>
      <c r="C84" s="39"/>
      <c r="D84" s="29">
        <v>46244</v>
      </c>
      <c r="E84" s="26" t="s">
        <v>45</v>
      </c>
      <c r="F84" s="26" t="s">
        <v>243</v>
      </c>
      <c r="G84" s="26" t="s">
        <v>153</v>
      </c>
      <c r="H84" s="26" t="s">
        <v>244</v>
      </c>
      <c r="I84" s="28"/>
      <c r="J84" s="26">
        <v>5</v>
      </c>
      <c r="K84" s="26" t="s">
        <v>55</v>
      </c>
      <c r="L84" s="28"/>
    </row>
    <row r="85" spans="1:12" customFormat="1" ht="15.8" customHeight="1" x14ac:dyDescent="0.25">
      <c r="A85" s="27" t="s">
        <v>40</v>
      </c>
      <c r="B85" s="27" t="s">
        <v>13</v>
      </c>
      <c r="C85" s="39"/>
      <c r="D85" s="30">
        <v>46244</v>
      </c>
      <c r="E85" s="27" t="s">
        <v>61</v>
      </c>
      <c r="F85" s="27" t="s">
        <v>245</v>
      </c>
      <c r="G85" s="27" t="s">
        <v>246</v>
      </c>
      <c r="H85" s="27" t="s">
        <v>154</v>
      </c>
      <c r="I85" s="31"/>
      <c r="J85" s="27">
        <v>5</v>
      </c>
      <c r="K85" s="27" t="s">
        <v>55</v>
      </c>
      <c r="L85" s="31"/>
    </row>
    <row r="86" spans="1:12" customFormat="1" ht="15.8" customHeight="1" x14ac:dyDescent="0.25">
      <c r="A86" s="26" t="s">
        <v>40</v>
      </c>
      <c r="B86" s="26" t="s">
        <v>13</v>
      </c>
      <c r="C86" s="39"/>
      <c r="D86" s="29">
        <v>46244</v>
      </c>
      <c r="E86" s="26" t="s">
        <v>61</v>
      </c>
      <c r="F86" s="26" t="s">
        <v>247</v>
      </c>
      <c r="G86" s="26" t="s">
        <v>153</v>
      </c>
      <c r="H86" s="26" t="s">
        <v>248</v>
      </c>
      <c r="I86" s="28"/>
      <c r="J86" s="26">
        <v>5</v>
      </c>
      <c r="K86" s="26" t="s">
        <v>55</v>
      </c>
      <c r="L86" s="28"/>
    </row>
    <row r="87" spans="1:12" customFormat="1" ht="15.8" customHeight="1" x14ac:dyDescent="0.25">
      <c r="A87" s="27" t="s">
        <v>40</v>
      </c>
      <c r="B87" s="27" t="s">
        <v>13</v>
      </c>
      <c r="C87" s="39"/>
      <c r="D87" s="30">
        <v>46244</v>
      </c>
      <c r="E87" s="27" t="s">
        <v>61</v>
      </c>
      <c r="F87" s="27" t="s">
        <v>249</v>
      </c>
      <c r="G87" s="27" t="s">
        <v>246</v>
      </c>
      <c r="H87" s="27" t="s">
        <v>250</v>
      </c>
      <c r="I87" s="31"/>
      <c r="J87" s="27">
        <v>5</v>
      </c>
      <c r="K87" s="27" t="s">
        <v>55</v>
      </c>
      <c r="L87" s="31"/>
    </row>
    <row r="88" spans="1:12" customFormat="1" ht="15.8" customHeight="1" x14ac:dyDescent="0.25">
      <c r="A88" s="26" t="s">
        <v>40</v>
      </c>
      <c r="B88" s="26" t="s">
        <v>13</v>
      </c>
      <c r="C88" s="39"/>
      <c r="D88" s="29">
        <v>46244</v>
      </c>
      <c r="E88" s="26" t="s">
        <v>61</v>
      </c>
      <c r="F88" s="26" t="s">
        <v>251</v>
      </c>
      <c r="G88" s="26" t="s">
        <v>246</v>
      </c>
      <c r="H88" s="26" t="s">
        <v>252</v>
      </c>
      <c r="I88" s="28"/>
      <c r="J88" s="26">
        <v>5</v>
      </c>
      <c r="K88" s="26" t="s">
        <v>55</v>
      </c>
      <c r="L88" s="28"/>
    </row>
    <row r="89" spans="1:12" customFormat="1" ht="15.8" customHeight="1" x14ac:dyDescent="0.25">
      <c r="A89" s="27" t="s">
        <v>40</v>
      </c>
      <c r="B89" s="27" t="s">
        <v>13</v>
      </c>
      <c r="C89" s="39"/>
      <c r="D89" s="30">
        <v>46244</v>
      </c>
      <c r="E89" s="27" t="s">
        <v>61</v>
      </c>
      <c r="F89" s="27" t="s">
        <v>253</v>
      </c>
      <c r="G89" s="27" t="s">
        <v>153</v>
      </c>
      <c r="H89" s="27" t="s">
        <v>254</v>
      </c>
      <c r="I89" s="31"/>
      <c r="J89" s="27">
        <v>5</v>
      </c>
      <c r="K89" s="27" t="s">
        <v>55</v>
      </c>
      <c r="L89" s="31"/>
    </row>
    <row r="90" spans="1:12" customFormat="1" ht="15.8" customHeight="1" x14ac:dyDescent="0.25">
      <c r="A90" s="26" t="s">
        <v>40</v>
      </c>
      <c r="B90" s="26" t="s">
        <v>13</v>
      </c>
      <c r="C90" s="39"/>
      <c r="D90" s="29">
        <v>46244</v>
      </c>
      <c r="E90" s="26" t="s">
        <v>61</v>
      </c>
      <c r="F90" s="26" t="s">
        <v>255</v>
      </c>
      <c r="G90" s="26" t="s">
        <v>153</v>
      </c>
      <c r="H90" s="26" t="s">
        <v>256</v>
      </c>
      <c r="I90" s="28"/>
      <c r="J90" s="26">
        <v>5</v>
      </c>
      <c r="K90" s="26" t="s">
        <v>55</v>
      </c>
      <c r="L90" s="28"/>
    </row>
    <row r="91" spans="1:12" customFormat="1" ht="15.8" customHeight="1" x14ac:dyDescent="0.25">
      <c r="A91" s="27" t="s">
        <v>40</v>
      </c>
      <c r="B91" s="27" t="s">
        <v>13</v>
      </c>
      <c r="C91" s="39"/>
      <c r="D91" s="30">
        <v>46244</v>
      </c>
      <c r="E91" s="27" t="s">
        <v>61</v>
      </c>
      <c r="F91" s="27" t="s">
        <v>257</v>
      </c>
      <c r="G91" s="27" t="s">
        <v>153</v>
      </c>
      <c r="H91" s="27" t="s">
        <v>154</v>
      </c>
      <c r="I91" s="31"/>
      <c r="J91" s="27">
        <v>5</v>
      </c>
      <c r="K91" s="27" t="s">
        <v>55</v>
      </c>
      <c r="L91" s="31"/>
    </row>
    <row r="92" spans="1:12" customFormat="1" ht="15.8" customHeight="1" x14ac:dyDescent="0.25">
      <c r="A92" s="26" t="s">
        <v>40</v>
      </c>
      <c r="B92" s="26" t="s">
        <v>13</v>
      </c>
      <c r="C92" s="39"/>
      <c r="D92" s="29">
        <v>46244</v>
      </c>
      <c r="E92" s="26" t="s">
        <v>61</v>
      </c>
      <c r="F92" s="26" t="s">
        <v>258</v>
      </c>
      <c r="G92" s="26" t="s">
        <v>153</v>
      </c>
      <c r="H92" s="26" t="s">
        <v>256</v>
      </c>
      <c r="I92" s="28"/>
      <c r="J92" s="26">
        <v>5</v>
      </c>
      <c r="K92" s="26" t="s">
        <v>55</v>
      </c>
      <c r="L92" s="28"/>
    </row>
    <row r="93" spans="1:12" customFormat="1" ht="15.8" customHeight="1" x14ac:dyDescent="0.25">
      <c r="A93" s="27" t="s">
        <v>40</v>
      </c>
      <c r="B93" s="27" t="s">
        <v>13</v>
      </c>
      <c r="C93" s="39"/>
      <c r="D93" s="30">
        <v>46244</v>
      </c>
      <c r="E93" s="27" t="s">
        <v>61</v>
      </c>
      <c r="F93" s="27" t="s">
        <v>259</v>
      </c>
      <c r="G93" s="27" t="s">
        <v>153</v>
      </c>
      <c r="H93" s="27" t="s">
        <v>158</v>
      </c>
      <c r="I93" s="31"/>
      <c r="J93" s="27">
        <v>5</v>
      </c>
      <c r="K93" s="27" t="s">
        <v>55</v>
      </c>
      <c r="L93" s="31"/>
    </row>
    <row r="94" spans="1:12" customFormat="1" ht="15.8" customHeight="1" x14ac:dyDescent="0.25">
      <c r="A94" s="26" t="s">
        <v>40</v>
      </c>
      <c r="B94" s="26" t="s">
        <v>13</v>
      </c>
      <c r="C94" s="39"/>
      <c r="D94" s="29">
        <v>46244</v>
      </c>
      <c r="E94" s="26" t="s">
        <v>45</v>
      </c>
      <c r="F94" s="26" t="s">
        <v>260</v>
      </c>
      <c r="G94" s="26" t="s">
        <v>153</v>
      </c>
      <c r="H94" s="26" t="s">
        <v>261</v>
      </c>
      <c r="I94" s="28"/>
      <c r="J94" s="26">
        <v>8</v>
      </c>
      <c r="K94" s="26" t="s">
        <v>49</v>
      </c>
      <c r="L94" s="28"/>
    </row>
    <row r="95" spans="1:12" customFormat="1" ht="15.8" customHeight="1" x14ac:dyDescent="0.25">
      <c r="A95" s="27" t="s">
        <v>40</v>
      </c>
      <c r="B95" s="27" t="s">
        <v>13</v>
      </c>
      <c r="C95" s="39"/>
      <c r="D95" s="30">
        <v>46244</v>
      </c>
      <c r="E95" s="27" t="s">
        <v>61</v>
      </c>
      <c r="F95" s="27" t="s">
        <v>262</v>
      </c>
      <c r="G95" s="27" t="s">
        <v>153</v>
      </c>
      <c r="H95" s="27" t="s">
        <v>158</v>
      </c>
      <c r="I95" s="31"/>
      <c r="J95" s="27">
        <v>8</v>
      </c>
      <c r="K95" s="27" t="s">
        <v>49</v>
      </c>
      <c r="L95" s="31"/>
    </row>
    <row r="96" spans="1:12" customFormat="1" ht="15.8" customHeight="1" x14ac:dyDescent="0.25">
      <c r="A96" s="26" t="s">
        <v>40</v>
      </c>
      <c r="B96" s="26" t="s">
        <v>13</v>
      </c>
      <c r="C96" s="39"/>
      <c r="D96" s="29">
        <v>46244</v>
      </c>
      <c r="E96" s="26" t="s">
        <v>61</v>
      </c>
      <c r="F96" s="26" t="s">
        <v>263</v>
      </c>
      <c r="G96" s="26" t="s">
        <v>153</v>
      </c>
      <c r="H96" s="26" t="s">
        <v>158</v>
      </c>
      <c r="I96" s="28"/>
      <c r="J96" s="26">
        <v>8</v>
      </c>
      <c r="K96" s="26" t="s">
        <v>49</v>
      </c>
      <c r="L96" s="28"/>
    </row>
    <row r="97" spans="1:12" customFormat="1" ht="15.8" customHeight="1" x14ac:dyDescent="0.25">
      <c r="A97" s="27" t="s">
        <v>40</v>
      </c>
      <c r="B97" s="27" t="s">
        <v>13</v>
      </c>
      <c r="C97" s="39"/>
      <c r="D97" s="30">
        <v>46244</v>
      </c>
      <c r="E97" s="27" t="s">
        <v>45</v>
      </c>
      <c r="F97" s="27" t="s">
        <v>264</v>
      </c>
      <c r="G97" s="27" t="s">
        <v>153</v>
      </c>
      <c r="H97" s="27" t="s">
        <v>265</v>
      </c>
      <c r="I97" s="31"/>
      <c r="J97" s="27">
        <v>8</v>
      </c>
      <c r="K97" s="27" t="s">
        <v>49</v>
      </c>
      <c r="L97" s="31"/>
    </row>
    <row r="98" spans="1:12" customFormat="1" ht="15.8" customHeight="1" x14ac:dyDescent="0.25">
      <c r="A98" s="26" t="s">
        <v>40</v>
      </c>
      <c r="B98" s="26" t="s">
        <v>13</v>
      </c>
      <c r="C98" s="39"/>
      <c r="D98" s="29">
        <v>46244</v>
      </c>
      <c r="E98" s="26" t="s">
        <v>61</v>
      </c>
      <c r="F98" s="26" t="s">
        <v>266</v>
      </c>
      <c r="G98" s="26" t="s">
        <v>153</v>
      </c>
      <c r="H98" s="26" t="s">
        <v>267</v>
      </c>
      <c r="I98" s="28"/>
      <c r="J98" s="26">
        <v>8</v>
      </c>
      <c r="K98" s="26" t="s">
        <v>49</v>
      </c>
      <c r="L98" s="28"/>
    </row>
    <row r="99" spans="1:12" customFormat="1" ht="15.8" customHeight="1" x14ac:dyDescent="0.25">
      <c r="A99" s="27" t="s">
        <v>40</v>
      </c>
      <c r="B99" s="27" t="s">
        <v>13</v>
      </c>
      <c r="C99" s="39"/>
      <c r="D99" s="30">
        <v>46244</v>
      </c>
      <c r="E99" s="27" t="s">
        <v>61</v>
      </c>
      <c r="F99" s="27" t="s">
        <v>268</v>
      </c>
      <c r="G99" s="27" t="s">
        <v>153</v>
      </c>
      <c r="H99" s="27" t="s">
        <v>269</v>
      </c>
      <c r="I99" s="31"/>
      <c r="J99" s="27">
        <v>8</v>
      </c>
      <c r="K99" s="27" t="s">
        <v>49</v>
      </c>
      <c r="L99" s="31"/>
    </row>
    <row r="100" spans="1:12" customFormat="1" ht="15.8" customHeight="1" x14ac:dyDescent="0.25">
      <c r="A100" s="26" t="s">
        <v>40</v>
      </c>
      <c r="B100" s="26" t="s">
        <v>13</v>
      </c>
      <c r="C100" s="39"/>
      <c r="D100" s="29">
        <v>46244</v>
      </c>
      <c r="E100" s="26" t="s">
        <v>45</v>
      </c>
      <c r="F100" s="26" t="s">
        <v>270</v>
      </c>
      <c r="G100" s="26" t="s">
        <v>153</v>
      </c>
      <c r="H100" s="26" t="s">
        <v>271</v>
      </c>
      <c r="I100" s="28"/>
      <c r="J100" s="26">
        <v>8</v>
      </c>
      <c r="K100" s="26" t="s">
        <v>49</v>
      </c>
      <c r="L100" s="28"/>
    </row>
    <row r="101" spans="1:12" customFormat="1" ht="15.8" customHeight="1" x14ac:dyDescent="0.25">
      <c r="A101" s="27" t="s">
        <v>40</v>
      </c>
      <c r="B101" s="27" t="s">
        <v>13</v>
      </c>
      <c r="C101" s="39"/>
      <c r="D101" s="30">
        <v>46244</v>
      </c>
      <c r="E101" s="27" t="s">
        <v>61</v>
      </c>
      <c r="F101" s="27" t="s">
        <v>272</v>
      </c>
      <c r="G101" s="27" t="s">
        <v>153</v>
      </c>
      <c r="H101" s="27" t="s">
        <v>273</v>
      </c>
      <c r="I101" s="31"/>
      <c r="J101" s="27">
        <v>8</v>
      </c>
      <c r="K101" s="27" t="s">
        <v>49</v>
      </c>
      <c r="L101" s="31"/>
    </row>
    <row r="102" spans="1:12" customFormat="1" ht="15.8" customHeight="1" x14ac:dyDescent="0.25">
      <c r="A102" s="26" t="s">
        <v>40</v>
      </c>
      <c r="B102" s="26" t="s">
        <v>13</v>
      </c>
      <c r="C102" s="39"/>
      <c r="D102" s="29">
        <v>46244</v>
      </c>
      <c r="E102" s="26" t="s">
        <v>61</v>
      </c>
      <c r="F102" s="26" t="s">
        <v>274</v>
      </c>
      <c r="G102" s="26" t="s">
        <v>153</v>
      </c>
      <c r="H102" s="26" t="s">
        <v>275</v>
      </c>
      <c r="I102" s="28"/>
      <c r="J102" s="26">
        <v>8</v>
      </c>
      <c r="K102" s="26" t="s">
        <v>49</v>
      </c>
      <c r="L102" s="28"/>
    </row>
    <row r="103" spans="1:12" customFormat="1" ht="15.8" customHeight="1" x14ac:dyDescent="0.25">
      <c r="A103" s="27" t="s">
        <v>40</v>
      </c>
      <c r="B103" s="27" t="s">
        <v>13</v>
      </c>
      <c r="C103" s="39"/>
      <c r="D103" s="30">
        <v>46244</v>
      </c>
      <c r="E103" s="27" t="s">
        <v>61</v>
      </c>
      <c r="F103" s="27" t="s">
        <v>276</v>
      </c>
      <c r="G103" s="27" t="s">
        <v>153</v>
      </c>
      <c r="H103" s="27" t="s">
        <v>277</v>
      </c>
      <c r="I103" s="31"/>
      <c r="J103" s="27">
        <v>8</v>
      </c>
      <c r="K103" s="27" t="s">
        <v>49</v>
      </c>
      <c r="L103" s="31"/>
    </row>
    <row r="104" spans="1:12" customFormat="1" ht="15.8" customHeight="1" x14ac:dyDescent="0.25">
      <c r="A104" s="26" t="s">
        <v>40</v>
      </c>
      <c r="B104" s="26" t="s">
        <v>13</v>
      </c>
      <c r="C104" s="39"/>
      <c r="D104" s="29">
        <v>46244</v>
      </c>
      <c r="E104" s="26" t="s">
        <v>61</v>
      </c>
      <c r="F104" s="26" t="s">
        <v>278</v>
      </c>
      <c r="G104" s="26" t="s">
        <v>153</v>
      </c>
      <c r="H104" s="26" t="s">
        <v>158</v>
      </c>
      <c r="I104" s="28"/>
      <c r="J104" s="26">
        <v>8</v>
      </c>
      <c r="K104" s="26" t="s">
        <v>49</v>
      </c>
      <c r="L104" s="28"/>
    </row>
    <row r="105" spans="1:12" customFormat="1" ht="15.8" customHeight="1" x14ac:dyDescent="0.25">
      <c r="A105" s="27" t="s">
        <v>40</v>
      </c>
      <c r="B105" s="27" t="s">
        <v>13</v>
      </c>
      <c r="C105" s="39"/>
      <c r="D105" s="30">
        <v>46244</v>
      </c>
      <c r="E105" s="27" t="s">
        <v>45</v>
      </c>
      <c r="F105" s="27" t="s">
        <v>279</v>
      </c>
      <c r="G105" s="27" t="s">
        <v>153</v>
      </c>
      <c r="H105" s="27" t="s">
        <v>280</v>
      </c>
      <c r="I105" s="31"/>
      <c r="J105" s="27">
        <v>8</v>
      </c>
      <c r="K105" s="27" t="s">
        <v>49</v>
      </c>
      <c r="L105" s="31"/>
    </row>
    <row r="106" spans="1:12" customFormat="1" ht="15.8" customHeight="1" x14ac:dyDescent="0.25">
      <c r="A106" s="26" t="s">
        <v>40</v>
      </c>
      <c r="B106" s="26" t="s">
        <v>13</v>
      </c>
      <c r="C106" s="39"/>
      <c r="D106" s="29">
        <v>46244</v>
      </c>
      <c r="E106" s="26" t="s">
        <v>45</v>
      </c>
      <c r="F106" s="26" t="s">
        <v>281</v>
      </c>
      <c r="G106" s="26" t="s">
        <v>153</v>
      </c>
      <c r="H106" s="26" t="s">
        <v>282</v>
      </c>
      <c r="I106" s="28"/>
      <c r="J106" s="26">
        <v>8</v>
      </c>
      <c r="K106" s="26" t="s">
        <v>49</v>
      </c>
      <c r="L106" s="28"/>
    </row>
    <row r="107" spans="1:12" customFormat="1" ht="15.8" customHeight="1" x14ac:dyDescent="0.25">
      <c r="A107" s="27" t="s">
        <v>40</v>
      </c>
      <c r="B107" s="27" t="s">
        <v>13</v>
      </c>
      <c r="C107" s="39"/>
      <c r="D107" s="30">
        <v>46244</v>
      </c>
      <c r="E107" s="27" t="s">
        <v>61</v>
      </c>
      <c r="F107" s="27" t="s">
        <v>283</v>
      </c>
      <c r="G107" s="27" t="s">
        <v>153</v>
      </c>
      <c r="H107" s="27" t="s">
        <v>284</v>
      </c>
      <c r="I107" s="31"/>
      <c r="J107" s="27">
        <v>8</v>
      </c>
      <c r="K107" s="27" t="s">
        <v>49</v>
      </c>
      <c r="L107" s="31"/>
    </row>
    <row r="108" spans="1:12" customFormat="1" ht="15.8" customHeight="1" x14ac:dyDescent="0.25">
      <c r="A108" s="26" t="s">
        <v>40</v>
      </c>
      <c r="B108" s="26" t="s">
        <v>13</v>
      </c>
      <c r="C108" s="39"/>
      <c r="D108" s="29">
        <v>46244</v>
      </c>
      <c r="E108" s="26" t="s">
        <v>45</v>
      </c>
      <c r="F108" s="26" t="s">
        <v>285</v>
      </c>
      <c r="G108" s="26" t="s">
        <v>153</v>
      </c>
      <c r="H108" s="26" t="s">
        <v>286</v>
      </c>
      <c r="I108" s="28"/>
      <c r="J108" s="26">
        <v>8</v>
      </c>
      <c r="K108" s="26" t="s">
        <v>49</v>
      </c>
      <c r="L108" s="28"/>
    </row>
    <row r="109" spans="1:12" customFormat="1" ht="15.8" customHeight="1" x14ac:dyDescent="0.25">
      <c r="A109" s="27" t="s">
        <v>40</v>
      </c>
      <c r="B109" s="27" t="s">
        <v>13</v>
      </c>
      <c r="C109" s="39"/>
      <c r="D109" s="30">
        <v>46244</v>
      </c>
      <c r="E109" s="27" t="s">
        <v>61</v>
      </c>
      <c r="F109" s="31"/>
      <c r="G109" s="27" t="s">
        <v>153</v>
      </c>
      <c r="H109" s="27" t="s">
        <v>287</v>
      </c>
      <c r="I109" s="31"/>
      <c r="J109" s="27">
        <v>8</v>
      </c>
      <c r="K109" s="27" t="s">
        <v>49</v>
      </c>
      <c r="L109" s="31"/>
    </row>
    <row r="110" spans="1:12" customFormat="1" ht="15.8" customHeight="1" x14ac:dyDescent="0.25">
      <c r="A110" s="26" t="s">
        <v>40</v>
      </c>
      <c r="B110" s="26" t="s">
        <v>13</v>
      </c>
      <c r="C110" s="39"/>
      <c r="D110" s="29">
        <v>46244</v>
      </c>
      <c r="E110" s="26" t="s">
        <v>61</v>
      </c>
      <c r="F110" s="26" t="s">
        <v>288</v>
      </c>
      <c r="G110" s="26" t="s">
        <v>246</v>
      </c>
      <c r="H110" s="26" t="s">
        <v>289</v>
      </c>
      <c r="I110" s="28"/>
      <c r="J110" s="26">
        <v>5</v>
      </c>
      <c r="K110" s="26" t="s">
        <v>55</v>
      </c>
      <c r="L110" s="28"/>
    </row>
    <row r="111" spans="1:12" customFormat="1" ht="15.8" customHeight="1" x14ac:dyDescent="0.25">
      <c r="A111" s="27" t="s">
        <v>40</v>
      </c>
      <c r="B111" s="27" t="s">
        <v>13</v>
      </c>
      <c r="C111" s="39"/>
      <c r="D111" s="30">
        <v>46244</v>
      </c>
      <c r="E111" s="27" t="s">
        <v>45</v>
      </c>
      <c r="F111" s="27" t="s">
        <v>290</v>
      </c>
      <c r="G111" s="27" t="s">
        <v>153</v>
      </c>
      <c r="H111" s="27" t="s">
        <v>291</v>
      </c>
      <c r="I111" s="31"/>
      <c r="J111" s="27">
        <v>5</v>
      </c>
      <c r="K111" s="27" t="s">
        <v>55</v>
      </c>
      <c r="L111" s="31"/>
    </row>
    <row r="112" spans="1:12" customFormat="1" ht="15.8" customHeight="1" x14ac:dyDescent="0.25">
      <c r="A112" s="26" t="s">
        <v>40</v>
      </c>
      <c r="B112" s="26" t="s">
        <v>13</v>
      </c>
      <c r="C112" s="39"/>
      <c r="D112" s="29">
        <v>46244</v>
      </c>
      <c r="E112" s="26" t="s">
        <v>61</v>
      </c>
      <c r="F112" s="26" t="s">
        <v>292</v>
      </c>
      <c r="G112" s="26" t="s">
        <v>153</v>
      </c>
      <c r="H112" s="26" t="s">
        <v>293</v>
      </c>
      <c r="I112" s="28"/>
      <c r="J112" s="26">
        <v>5</v>
      </c>
      <c r="K112" s="26" t="s">
        <v>55</v>
      </c>
      <c r="L112" s="28"/>
    </row>
    <row r="113" spans="1:12" customFormat="1" ht="15.8" customHeight="1" x14ac:dyDescent="0.25">
      <c r="A113" s="27" t="s">
        <v>40</v>
      </c>
      <c r="B113" s="27" t="s">
        <v>13</v>
      </c>
      <c r="C113" s="39"/>
      <c r="D113" s="30">
        <v>46244</v>
      </c>
      <c r="E113" s="27" t="s">
        <v>61</v>
      </c>
      <c r="F113" s="27" t="s">
        <v>294</v>
      </c>
      <c r="G113" s="27" t="s">
        <v>153</v>
      </c>
      <c r="H113" s="27" t="s">
        <v>295</v>
      </c>
      <c r="I113" s="31"/>
      <c r="J113" s="27">
        <v>5</v>
      </c>
      <c r="K113" s="27" t="s">
        <v>55</v>
      </c>
      <c r="L113" s="31"/>
    </row>
    <row r="114" spans="1:12" customFormat="1" ht="15.8" customHeight="1" x14ac:dyDescent="0.25">
      <c r="A114" s="26" t="s">
        <v>40</v>
      </c>
      <c r="B114" s="26" t="s">
        <v>13</v>
      </c>
      <c r="C114" s="39"/>
      <c r="D114" s="29">
        <v>46244</v>
      </c>
      <c r="E114" s="26" t="s">
        <v>45</v>
      </c>
      <c r="F114" s="26" t="s">
        <v>296</v>
      </c>
      <c r="G114" s="26" t="s">
        <v>153</v>
      </c>
      <c r="H114" s="26" t="s">
        <v>297</v>
      </c>
      <c r="I114" s="28"/>
      <c r="J114" s="26">
        <v>5</v>
      </c>
      <c r="K114" s="26" t="s">
        <v>55</v>
      </c>
      <c r="L114" s="28"/>
    </row>
    <row r="115" spans="1:12" customFormat="1" ht="15.8" customHeight="1" x14ac:dyDescent="0.25">
      <c r="A115" s="27" t="s">
        <v>40</v>
      </c>
      <c r="B115" s="27" t="s">
        <v>13</v>
      </c>
      <c r="C115" s="39"/>
      <c r="D115" s="30">
        <v>46244</v>
      </c>
      <c r="E115" s="27" t="s">
        <v>45</v>
      </c>
      <c r="F115" s="27" t="s">
        <v>298</v>
      </c>
      <c r="G115" s="27" t="s">
        <v>153</v>
      </c>
      <c r="H115" s="27" t="s">
        <v>299</v>
      </c>
      <c r="I115" s="31"/>
      <c r="J115" s="27">
        <v>5</v>
      </c>
      <c r="K115" s="27" t="s">
        <v>55</v>
      </c>
      <c r="L115" s="31"/>
    </row>
    <row r="116" spans="1:12" customFormat="1" ht="15.8" customHeight="1" x14ac:dyDescent="0.25">
      <c r="A116" s="26" t="s">
        <v>40</v>
      </c>
      <c r="B116" s="26" t="s">
        <v>13</v>
      </c>
      <c r="C116" s="39"/>
      <c r="D116" s="29">
        <v>46244</v>
      </c>
      <c r="E116" s="26" t="s">
        <v>61</v>
      </c>
      <c r="F116" s="26" t="s">
        <v>300</v>
      </c>
      <c r="G116" s="26" t="s">
        <v>153</v>
      </c>
      <c r="H116" s="26" t="s">
        <v>301</v>
      </c>
      <c r="I116" s="28"/>
      <c r="J116" s="26">
        <v>5</v>
      </c>
      <c r="K116" s="26" t="s">
        <v>55</v>
      </c>
      <c r="L116" s="28"/>
    </row>
    <row r="117" spans="1:12" customFormat="1" ht="15.8" customHeight="1" x14ac:dyDescent="0.25">
      <c r="A117" s="27" t="s">
        <v>40</v>
      </c>
      <c r="B117" s="27" t="s">
        <v>13</v>
      </c>
      <c r="C117" s="39"/>
      <c r="D117" s="30">
        <v>46244</v>
      </c>
      <c r="E117" s="27" t="s">
        <v>61</v>
      </c>
      <c r="F117" s="27" t="s">
        <v>302</v>
      </c>
      <c r="G117" s="27" t="s">
        <v>153</v>
      </c>
      <c r="H117" s="27" t="s">
        <v>303</v>
      </c>
      <c r="I117" s="31"/>
      <c r="J117" s="27">
        <v>5</v>
      </c>
      <c r="K117" s="27" t="s">
        <v>55</v>
      </c>
      <c r="L117" s="31"/>
    </row>
    <row r="118" spans="1:12" customFormat="1" ht="15.8" customHeight="1" x14ac:dyDescent="0.25">
      <c r="A118" s="26" t="s">
        <v>40</v>
      </c>
      <c r="B118" s="26" t="s">
        <v>13</v>
      </c>
      <c r="C118" s="39"/>
      <c r="D118" s="29">
        <v>46244</v>
      </c>
      <c r="E118" s="26" t="s">
        <v>61</v>
      </c>
      <c r="F118" s="26" t="s">
        <v>304</v>
      </c>
      <c r="G118" s="26" t="s">
        <v>153</v>
      </c>
      <c r="H118" s="26" t="s">
        <v>305</v>
      </c>
      <c r="I118" s="28"/>
      <c r="J118" s="26">
        <v>5</v>
      </c>
      <c r="K118" s="26" t="s">
        <v>55</v>
      </c>
      <c r="L118" s="28"/>
    </row>
    <row r="119" spans="1:12" customFormat="1" ht="15.8" customHeight="1" x14ac:dyDescent="0.25">
      <c r="A119" s="27" t="s">
        <v>40</v>
      </c>
      <c r="B119" s="27" t="s">
        <v>13</v>
      </c>
      <c r="C119" s="39"/>
      <c r="D119" s="30">
        <v>46244</v>
      </c>
      <c r="E119" s="27" t="s">
        <v>61</v>
      </c>
      <c r="F119" s="27" t="s">
        <v>153</v>
      </c>
      <c r="G119" s="27" t="s">
        <v>306</v>
      </c>
      <c r="H119" s="27" t="s">
        <v>307</v>
      </c>
      <c r="I119" s="31"/>
      <c r="J119" s="27">
        <v>5</v>
      </c>
      <c r="K119" s="27" t="s">
        <v>55</v>
      </c>
      <c r="L119" s="31"/>
    </row>
    <row r="120" spans="1:12" customFormat="1" ht="15.8" customHeight="1" x14ac:dyDescent="0.25">
      <c r="A120" s="26" t="s">
        <v>40</v>
      </c>
      <c r="B120" s="26" t="s">
        <v>13</v>
      </c>
      <c r="C120" s="39"/>
      <c r="D120" s="29">
        <v>46244</v>
      </c>
      <c r="E120" s="26" t="s">
        <v>61</v>
      </c>
      <c r="F120" s="26" t="s">
        <v>153</v>
      </c>
      <c r="G120" s="26" t="s">
        <v>306</v>
      </c>
      <c r="H120" s="26" t="s">
        <v>308</v>
      </c>
      <c r="I120" s="28"/>
      <c r="J120" s="26">
        <v>5</v>
      </c>
      <c r="K120" s="26" t="s">
        <v>55</v>
      </c>
      <c r="L120" s="28"/>
    </row>
    <row r="121" spans="1:12" customFormat="1" ht="15.8" customHeight="1" x14ac:dyDescent="0.25">
      <c r="A121" s="27" t="s">
        <v>40</v>
      </c>
      <c r="B121" s="27" t="s">
        <v>13</v>
      </c>
      <c r="C121" s="39"/>
      <c r="D121" s="30">
        <v>46244</v>
      </c>
      <c r="E121" s="27" t="s">
        <v>61</v>
      </c>
      <c r="F121" s="27" t="s">
        <v>309</v>
      </c>
      <c r="G121" s="27" t="s">
        <v>310</v>
      </c>
      <c r="H121" s="27" t="s">
        <v>311</v>
      </c>
      <c r="I121" s="31"/>
      <c r="J121" s="27">
        <v>8</v>
      </c>
      <c r="K121" s="27" t="s">
        <v>49</v>
      </c>
      <c r="L121" s="31"/>
    </row>
    <row r="122" spans="1:12" customFormat="1" ht="15.8" customHeight="1" x14ac:dyDescent="0.25">
      <c r="A122" s="26" t="s">
        <v>40</v>
      </c>
      <c r="B122" s="26" t="s">
        <v>13</v>
      </c>
      <c r="C122" s="39"/>
      <c r="D122" s="29">
        <v>46244</v>
      </c>
      <c r="E122" s="26" t="s">
        <v>61</v>
      </c>
      <c r="F122" s="26" t="s">
        <v>312</v>
      </c>
      <c r="G122" s="26" t="s">
        <v>246</v>
      </c>
      <c r="H122" s="26" t="s">
        <v>313</v>
      </c>
      <c r="I122" s="28"/>
      <c r="J122" s="26">
        <v>8</v>
      </c>
      <c r="K122" s="26" t="s">
        <v>49</v>
      </c>
      <c r="L122" s="28"/>
    </row>
    <row r="123" spans="1:12" customFormat="1" ht="15.8" customHeight="1" x14ac:dyDescent="0.25">
      <c r="A123" s="27" t="s">
        <v>40</v>
      </c>
      <c r="B123" s="27" t="s">
        <v>13</v>
      </c>
      <c r="C123" s="39"/>
      <c r="D123" s="30">
        <v>46244</v>
      </c>
      <c r="E123" s="27" t="s">
        <v>61</v>
      </c>
      <c r="F123" s="27" t="s">
        <v>314</v>
      </c>
      <c r="G123" s="27" t="s">
        <v>246</v>
      </c>
      <c r="H123" s="27" t="s">
        <v>315</v>
      </c>
      <c r="I123" s="31"/>
      <c r="J123" s="27">
        <v>8</v>
      </c>
      <c r="K123" s="27" t="s">
        <v>49</v>
      </c>
      <c r="L123" s="31"/>
    </row>
    <row r="124" spans="1:12" customFormat="1" ht="15.8" customHeight="1" x14ac:dyDescent="0.25">
      <c r="A124" s="26" t="s">
        <v>40</v>
      </c>
      <c r="B124" s="26" t="s">
        <v>13</v>
      </c>
      <c r="C124" s="39"/>
      <c r="D124" s="29">
        <v>46244</v>
      </c>
      <c r="E124" s="26" t="s">
        <v>61</v>
      </c>
      <c r="F124" s="26" t="s">
        <v>153</v>
      </c>
      <c r="G124" s="26" t="s">
        <v>316</v>
      </c>
      <c r="H124" s="26" t="s">
        <v>317</v>
      </c>
      <c r="I124" s="28"/>
      <c r="J124" s="26">
        <v>8</v>
      </c>
      <c r="K124" s="26" t="s">
        <v>49</v>
      </c>
      <c r="L124" s="28"/>
    </row>
    <row r="125" spans="1:12" customFormat="1" ht="15.8" customHeight="1" x14ac:dyDescent="0.25">
      <c r="A125" s="27" t="s">
        <v>40</v>
      </c>
      <c r="B125" s="27" t="s">
        <v>13</v>
      </c>
      <c r="C125" s="39"/>
      <c r="D125" s="30">
        <v>46244</v>
      </c>
      <c r="E125" s="27" t="s">
        <v>61</v>
      </c>
      <c r="F125" s="27" t="s">
        <v>318</v>
      </c>
      <c r="G125" s="27" t="s">
        <v>316</v>
      </c>
      <c r="H125" s="27" t="s">
        <v>319</v>
      </c>
      <c r="I125" s="31"/>
      <c r="J125" s="27">
        <v>8</v>
      </c>
      <c r="K125" s="27" t="s">
        <v>49</v>
      </c>
      <c r="L125" s="31"/>
    </row>
    <row r="126" spans="1:12" customFormat="1" ht="15.8" customHeight="1" x14ac:dyDescent="0.25">
      <c r="A126" s="26" t="s">
        <v>40</v>
      </c>
      <c r="B126" s="26" t="s">
        <v>13</v>
      </c>
      <c r="C126" s="39"/>
      <c r="D126" s="29">
        <v>46244</v>
      </c>
      <c r="E126" s="26" t="s">
        <v>61</v>
      </c>
      <c r="F126" s="26" t="s">
        <v>153</v>
      </c>
      <c r="G126" s="26" t="s">
        <v>316</v>
      </c>
      <c r="H126" s="26" t="s">
        <v>320</v>
      </c>
      <c r="I126" s="28"/>
      <c r="J126" s="26">
        <v>8</v>
      </c>
      <c r="K126" s="26" t="s">
        <v>49</v>
      </c>
      <c r="L126" s="28"/>
    </row>
    <row r="127" spans="1:12" customFormat="1" ht="15.8" customHeight="1" x14ac:dyDescent="0.25">
      <c r="A127" s="27" t="s">
        <v>40</v>
      </c>
      <c r="B127" s="27" t="s">
        <v>13</v>
      </c>
      <c r="C127" s="39"/>
      <c r="D127" s="30">
        <v>46244</v>
      </c>
      <c r="E127" s="27" t="s">
        <v>61</v>
      </c>
      <c r="F127" s="27" t="s">
        <v>153</v>
      </c>
      <c r="G127" s="27" t="s">
        <v>316</v>
      </c>
      <c r="H127" s="27" t="s">
        <v>321</v>
      </c>
      <c r="I127" s="31"/>
      <c r="J127" s="27">
        <v>8</v>
      </c>
      <c r="K127" s="27" t="s">
        <v>49</v>
      </c>
      <c r="L127" s="31"/>
    </row>
    <row r="128" spans="1:12" customFormat="1" ht="15.8" customHeight="1" x14ac:dyDescent="0.25">
      <c r="A128" s="26" t="s">
        <v>40</v>
      </c>
      <c r="B128" s="26" t="s">
        <v>13</v>
      </c>
      <c r="C128" s="39"/>
      <c r="D128" s="29">
        <v>46244</v>
      </c>
      <c r="E128" s="26" t="s">
        <v>61</v>
      </c>
      <c r="F128" s="26" t="s">
        <v>153</v>
      </c>
      <c r="G128" s="26" t="s">
        <v>316</v>
      </c>
      <c r="H128" s="26" t="s">
        <v>322</v>
      </c>
      <c r="I128" s="28"/>
      <c r="J128" s="26">
        <v>8</v>
      </c>
      <c r="K128" s="26" t="s">
        <v>49</v>
      </c>
      <c r="L128" s="28"/>
    </row>
    <row r="129" spans="1:12" customFormat="1" ht="15.8" customHeight="1" x14ac:dyDescent="0.25">
      <c r="A129" s="27" t="s">
        <v>40</v>
      </c>
      <c r="B129" s="27" t="s">
        <v>13</v>
      </c>
      <c r="C129" s="39"/>
      <c r="D129" s="30">
        <v>46244</v>
      </c>
      <c r="E129" s="27" t="s">
        <v>61</v>
      </c>
      <c r="F129" s="27" t="s">
        <v>323</v>
      </c>
      <c r="G129" s="27" t="s">
        <v>103</v>
      </c>
      <c r="H129" s="27" t="s">
        <v>324</v>
      </c>
      <c r="I129" s="31"/>
      <c r="J129" s="27">
        <v>8</v>
      </c>
      <c r="K129" s="27" t="s">
        <v>49</v>
      </c>
      <c r="L129" s="31"/>
    </row>
    <row r="130" spans="1:12" customFormat="1" ht="15.8" customHeight="1" x14ac:dyDescent="0.25">
      <c r="A130" s="26" t="s">
        <v>40</v>
      </c>
      <c r="B130" s="26" t="s">
        <v>13</v>
      </c>
      <c r="C130" s="39"/>
      <c r="D130" s="29">
        <v>46244</v>
      </c>
      <c r="E130" s="26" t="s">
        <v>61</v>
      </c>
      <c r="F130" s="26" t="s">
        <v>325</v>
      </c>
      <c r="G130" s="26" t="s">
        <v>103</v>
      </c>
      <c r="H130" s="26" t="s">
        <v>326</v>
      </c>
      <c r="I130" s="28"/>
      <c r="J130" s="26">
        <v>8</v>
      </c>
      <c r="K130" s="26" t="s">
        <v>49</v>
      </c>
      <c r="L130" s="28"/>
    </row>
    <row r="131" spans="1:12" customFormat="1" ht="15.8" customHeight="1" x14ac:dyDescent="0.25">
      <c r="A131" s="27" t="s">
        <v>40</v>
      </c>
      <c r="B131" s="27" t="s">
        <v>13</v>
      </c>
      <c r="C131" s="39"/>
      <c r="D131" s="30">
        <v>46244</v>
      </c>
      <c r="E131" s="27" t="s">
        <v>61</v>
      </c>
      <c r="F131" s="27" t="s">
        <v>327</v>
      </c>
      <c r="G131" s="27" t="s">
        <v>328</v>
      </c>
      <c r="H131" s="27" t="s">
        <v>329</v>
      </c>
      <c r="I131" s="31"/>
      <c r="J131" s="27">
        <v>8</v>
      </c>
      <c r="K131" s="27" t="s">
        <v>49</v>
      </c>
      <c r="L131" s="31"/>
    </row>
    <row r="132" spans="1:12" customFormat="1" ht="15.8" customHeight="1" x14ac:dyDescent="0.25">
      <c r="A132" s="26" t="s">
        <v>40</v>
      </c>
      <c r="B132" s="26" t="s">
        <v>13</v>
      </c>
      <c r="C132" s="39"/>
      <c r="D132" s="29">
        <v>46244</v>
      </c>
      <c r="E132" s="26" t="s">
        <v>61</v>
      </c>
      <c r="F132" s="26" t="s">
        <v>330</v>
      </c>
      <c r="G132" s="26" t="s">
        <v>331</v>
      </c>
      <c r="H132" s="26" t="s">
        <v>332</v>
      </c>
      <c r="I132" s="28"/>
      <c r="J132" s="26">
        <v>8</v>
      </c>
      <c r="K132" s="26" t="s">
        <v>49</v>
      </c>
      <c r="L132" s="28"/>
    </row>
    <row r="133" spans="1:12" customFormat="1" ht="15.8" customHeight="1" x14ac:dyDescent="0.25">
      <c r="A133" s="27" t="s">
        <v>40</v>
      </c>
      <c r="B133" s="27" t="s">
        <v>13</v>
      </c>
      <c r="C133" s="39"/>
      <c r="D133" s="30">
        <v>46244</v>
      </c>
      <c r="E133" s="27" t="s">
        <v>61</v>
      </c>
      <c r="F133" s="27" t="s">
        <v>333</v>
      </c>
      <c r="G133" s="27" t="s">
        <v>331</v>
      </c>
      <c r="H133" s="27" t="s">
        <v>334</v>
      </c>
      <c r="I133" s="31"/>
      <c r="J133" s="27">
        <v>8</v>
      </c>
      <c r="K133" s="27" t="s">
        <v>49</v>
      </c>
      <c r="L133" s="31"/>
    </row>
    <row r="134" spans="1:12" customFormat="1" ht="15.8" customHeight="1" x14ac:dyDescent="0.25">
      <c r="A134" s="26" t="s">
        <v>40</v>
      </c>
      <c r="B134" s="26" t="s">
        <v>13</v>
      </c>
      <c r="C134" s="39"/>
      <c r="D134" s="29">
        <v>46244</v>
      </c>
      <c r="E134" s="26" t="s">
        <v>61</v>
      </c>
      <c r="F134" s="26" t="s">
        <v>93</v>
      </c>
      <c r="G134" s="28"/>
      <c r="H134" s="26" t="s">
        <v>335</v>
      </c>
      <c r="I134" s="28"/>
      <c r="J134" s="26">
        <v>8</v>
      </c>
      <c r="K134" s="26" t="s">
        <v>49</v>
      </c>
      <c r="L134" s="28"/>
    </row>
    <row r="135" spans="1:12" customFormat="1" ht="15.8" customHeight="1" x14ac:dyDescent="0.25">
      <c r="A135" s="27" t="s">
        <v>40</v>
      </c>
      <c r="B135" s="27" t="s">
        <v>13</v>
      </c>
      <c r="C135" s="39"/>
      <c r="D135" s="30">
        <v>46244</v>
      </c>
      <c r="E135" s="27" t="s">
        <v>61</v>
      </c>
      <c r="F135" s="27" t="s">
        <v>336</v>
      </c>
      <c r="G135" s="27" t="s">
        <v>103</v>
      </c>
      <c r="H135" s="27" t="s">
        <v>337</v>
      </c>
      <c r="I135" s="31"/>
      <c r="J135" s="27">
        <v>8</v>
      </c>
      <c r="K135" s="27" t="s">
        <v>49</v>
      </c>
      <c r="L135" s="31"/>
    </row>
    <row r="136" spans="1:12" customFormat="1" ht="15.8" customHeight="1" x14ac:dyDescent="0.25">
      <c r="A136" s="26" t="s">
        <v>40</v>
      </c>
      <c r="B136" s="26" t="s">
        <v>13</v>
      </c>
      <c r="C136" s="39"/>
      <c r="D136" s="29">
        <v>46244</v>
      </c>
      <c r="E136" s="26" t="s">
        <v>61</v>
      </c>
      <c r="F136" s="26" t="s">
        <v>338</v>
      </c>
      <c r="G136" s="26" t="s">
        <v>103</v>
      </c>
      <c r="H136" s="26" t="s">
        <v>339</v>
      </c>
      <c r="I136" s="28"/>
      <c r="J136" s="26">
        <v>8</v>
      </c>
      <c r="K136" s="26" t="s">
        <v>49</v>
      </c>
      <c r="L136" s="28"/>
    </row>
    <row r="137" spans="1:12" customFormat="1" ht="15.8" customHeight="1" x14ac:dyDescent="0.25">
      <c r="A137" s="27" t="s">
        <v>40</v>
      </c>
      <c r="B137" s="27" t="s">
        <v>13</v>
      </c>
      <c r="C137" s="39"/>
      <c r="D137" s="30">
        <v>46244</v>
      </c>
      <c r="E137" s="27" t="s">
        <v>61</v>
      </c>
      <c r="F137" s="27" t="s">
        <v>340</v>
      </c>
      <c r="G137" s="27" t="s">
        <v>103</v>
      </c>
      <c r="H137" s="27" t="s">
        <v>341</v>
      </c>
      <c r="I137" s="31"/>
      <c r="J137" s="27">
        <v>8</v>
      </c>
      <c r="K137" s="27" t="s">
        <v>49</v>
      </c>
      <c r="L137" s="31"/>
    </row>
    <row r="138" spans="1:12" customFormat="1" ht="15.8" customHeight="1" x14ac:dyDescent="0.25">
      <c r="A138" s="26" t="s">
        <v>40</v>
      </c>
      <c r="B138" s="26" t="s">
        <v>13</v>
      </c>
      <c r="C138" s="39"/>
      <c r="D138" s="29">
        <v>46244</v>
      </c>
      <c r="E138" s="26" t="s">
        <v>342</v>
      </c>
      <c r="F138" s="26" t="s">
        <v>343</v>
      </c>
      <c r="G138" s="26" t="s">
        <v>103</v>
      </c>
      <c r="H138" s="26" t="s">
        <v>344</v>
      </c>
      <c r="I138" s="28"/>
      <c r="J138" s="26">
        <v>8</v>
      </c>
      <c r="K138" s="26" t="s">
        <v>49</v>
      </c>
      <c r="L138" s="28"/>
    </row>
    <row r="139" spans="1:12" customFormat="1" ht="15.8" customHeight="1" x14ac:dyDescent="0.25">
      <c r="A139" s="27" t="s">
        <v>40</v>
      </c>
      <c r="B139" s="27" t="s">
        <v>13</v>
      </c>
      <c r="C139" s="39"/>
      <c r="D139" s="30">
        <v>46244</v>
      </c>
      <c r="E139" s="27" t="s">
        <v>342</v>
      </c>
      <c r="F139" s="27" t="s">
        <v>345</v>
      </c>
      <c r="G139" s="31"/>
      <c r="H139" s="27" t="s">
        <v>346</v>
      </c>
      <c r="I139" s="31"/>
      <c r="J139" s="27">
        <v>8</v>
      </c>
      <c r="K139" s="27" t="s">
        <v>49</v>
      </c>
      <c r="L139" s="31"/>
    </row>
    <row r="140" spans="1:12" customFormat="1" ht="15.8" customHeight="1" x14ac:dyDescent="0.25">
      <c r="A140" s="26" t="s">
        <v>40</v>
      </c>
      <c r="B140" s="26" t="s">
        <v>13</v>
      </c>
      <c r="C140" s="39"/>
      <c r="D140" s="29">
        <v>46244</v>
      </c>
      <c r="E140" s="26" t="s">
        <v>61</v>
      </c>
      <c r="F140" s="26" t="s">
        <v>347</v>
      </c>
      <c r="G140" s="26" t="s">
        <v>103</v>
      </c>
      <c r="H140" s="26" t="s">
        <v>348</v>
      </c>
      <c r="I140" s="28"/>
      <c r="J140" s="26">
        <v>8</v>
      </c>
      <c r="K140" s="26" t="s">
        <v>49</v>
      </c>
      <c r="L140" s="28"/>
    </row>
    <row r="141" spans="1:12" customFormat="1" ht="15.8" customHeight="1" x14ac:dyDescent="0.25">
      <c r="A141" s="27" t="s">
        <v>40</v>
      </c>
      <c r="B141" s="27" t="s">
        <v>13</v>
      </c>
      <c r="C141" s="39"/>
      <c r="D141" s="30">
        <v>46244</v>
      </c>
      <c r="E141" s="27" t="s">
        <v>342</v>
      </c>
      <c r="F141" s="27" t="s">
        <v>349</v>
      </c>
      <c r="G141" s="27" t="s">
        <v>103</v>
      </c>
      <c r="H141" s="27" t="s">
        <v>350</v>
      </c>
      <c r="I141" s="31"/>
      <c r="J141" s="27">
        <v>8</v>
      </c>
      <c r="K141" s="27" t="s">
        <v>49</v>
      </c>
      <c r="L141" s="31"/>
    </row>
    <row r="142" spans="1:12" customFormat="1" ht="15.8" customHeight="1" x14ac:dyDescent="0.25">
      <c r="A142" s="26" t="s">
        <v>40</v>
      </c>
      <c r="B142" s="26" t="s">
        <v>13</v>
      </c>
      <c r="C142" s="39"/>
      <c r="D142" s="29">
        <v>46244</v>
      </c>
      <c r="E142" s="26" t="s">
        <v>61</v>
      </c>
      <c r="F142" s="26" t="s">
        <v>351</v>
      </c>
      <c r="G142" s="26" t="s">
        <v>103</v>
      </c>
      <c r="H142" s="26" t="s">
        <v>352</v>
      </c>
      <c r="I142" s="28"/>
      <c r="J142" s="26">
        <v>8</v>
      </c>
      <c r="K142" s="26" t="s">
        <v>49</v>
      </c>
      <c r="L142" s="28"/>
    </row>
    <row r="143" spans="1:12" customFormat="1" ht="15.8" customHeight="1" x14ac:dyDescent="0.25">
      <c r="A143" s="27" t="s">
        <v>40</v>
      </c>
      <c r="B143" s="27" t="s">
        <v>13</v>
      </c>
      <c r="C143" s="39"/>
      <c r="D143" s="30">
        <v>46244</v>
      </c>
      <c r="E143" s="27" t="s">
        <v>342</v>
      </c>
      <c r="F143" s="27" t="s">
        <v>353</v>
      </c>
      <c r="G143" s="27" t="s">
        <v>103</v>
      </c>
      <c r="H143" s="27" t="s">
        <v>354</v>
      </c>
      <c r="I143" s="31"/>
      <c r="J143" s="27">
        <v>8</v>
      </c>
      <c r="K143" s="27" t="s">
        <v>49</v>
      </c>
      <c r="L143" s="31"/>
    </row>
    <row r="144" spans="1:12" customFormat="1" ht="15.8" customHeight="1" x14ac:dyDescent="0.25">
      <c r="A144" s="26" t="s">
        <v>40</v>
      </c>
      <c r="B144" s="26" t="s">
        <v>13</v>
      </c>
      <c r="C144" s="39"/>
      <c r="D144" s="29">
        <v>46244</v>
      </c>
      <c r="E144" s="26" t="s">
        <v>61</v>
      </c>
      <c r="F144" s="26" t="s">
        <v>355</v>
      </c>
      <c r="G144" s="26" t="s">
        <v>103</v>
      </c>
      <c r="H144" s="26" t="s">
        <v>356</v>
      </c>
      <c r="I144" s="28"/>
      <c r="J144" s="26">
        <v>8</v>
      </c>
      <c r="K144" s="26" t="s">
        <v>49</v>
      </c>
      <c r="L144" s="28"/>
    </row>
    <row r="145" spans="1:12" customFormat="1" ht="15.8" customHeight="1" x14ac:dyDescent="0.25">
      <c r="A145" s="27" t="s">
        <v>40</v>
      </c>
      <c r="B145" s="27" t="s">
        <v>13</v>
      </c>
      <c r="C145" s="39"/>
      <c r="D145" s="30">
        <v>46244</v>
      </c>
      <c r="E145" s="27" t="s">
        <v>342</v>
      </c>
      <c r="F145" s="27" t="s">
        <v>357</v>
      </c>
      <c r="G145" s="27" t="s">
        <v>103</v>
      </c>
      <c r="H145" s="27" t="s">
        <v>358</v>
      </c>
      <c r="I145" s="31"/>
      <c r="J145" s="27">
        <v>8</v>
      </c>
      <c r="K145" s="27" t="s">
        <v>49</v>
      </c>
      <c r="L145" s="31"/>
    </row>
    <row r="146" spans="1:12" customFormat="1" ht="15.8" customHeight="1" x14ac:dyDescent="0.25">
      <c r="A146" s="26" t="s">
        <v>40</v>
      </c>
      <c r="B146" s="26" t="s">
        <v>13</v>
      </c>
      <c r="C146" s="39"/>
      <c r="D146" s="29">
        <v>46244</v>
      </c>
      <c r="E146" s="26" t="s">
        <v>342</v>
      </c>
      <c r="F146" s="26" t="s">
        <v>359</v>
      </c>
      <c r="G146" s="26" t="s">
        <v>103</v>
      </c>
      <c r="H146" s="26" t="s">
        <v>360</v>
      </c>
      <c r="I146" s="28"/>
      <c r="J146" s="26">
        <v>8</v>
      </c>
      <c r="K146" s="26" t="s">
        <v>49</v>
      </c>
      <c r="L146" s="28"/>
    </row>
    <row r="147" spans="1:12" customFormat="1" ht="15.8" customHeight="1" x14ac:dyDescent="0.25">
      <c r="A147" s="27" t="s">
        <v>40</v>
      </c>
      <c r="B147" s="27" t="s">
        <v>13</v>
      </c>
      <c r="C147" s="39"/>
      <c r="D147" s="30">
        <v>46244</v>
      </c>
      <c r="E147" s="27" t="s">
        <v>61</v>
      </c>
      <c r="F147" s="27" t="s">
        <v>361</v>
      </c>
      <c r="G147" s="27" t="s">
        <v>68</v>
      </c>
      <c r="H147" s="27" t="s">
        <v>362</v>
      </c>
      <c r="I147" s="31"/>
      <c r="J147" s="27">
        <v>3</v>
      </c>
      <c r="K147" s="27" t="s">
        <v>52</v>
      </c>
      <c r="L147" s="31"/>
    </row>
    <row r="148" spans="1:12" customFormat="1" ht="15.8" customHeight="1" x14ac:dyDescent="0.25">
      <c r="A148" s="26" t="s">
        <v>40</v>
      </c>
      <c r="B148" s="26" t="s">
        <v>13</v>
      </c>
      <c r="C148" s="39"/>
      <c r="D148" s="29">
        <v>46244</v>
      </c>
      <c r="E148" s="26" t="s">
        <v>61</v>
      </c>
      <c r="F148" s="26" t="s">
        <v>363</v>
      </c>
      <c r="G148" s="26" t="s">
        <v>103</v>
      </c>
      <c r="H148" s="26" t="s">
        <v>364</v>
      </c>
      <c r="I148" s="28"/>
      <c r="J148" s="26">
        <v>8</v>
      </c>
      <c r="K148" s="26" t="s">
        <v>49</v>
      </c>
      <c r="L148" s="28"/>
    </row>
    <row r="149" spans="1:12" customFormat="1" ht="15.8" customHeight="1" x14ac:dyDescent="0.25">
      <c r="A149" s="27" t="s">
        <v>40</v>
      </c>
      <c r="B149" s="27" t="s">
        <v>26</v>
      </c>
      <c r="C149" s="39"/>
      <c r="D149" s="30">
        <v>46246</v>
      </c>
      <c r="E149" s="27" t="s">
        <v>365</v>
      </c>
      <c r="F149" s="27" t="s">
        <v>366</v>
      </c>
      <c r="G149" s="31"/>
      <c r="H149" s="27" t="s">
        <v>367</v>
      </c>
      <c r="I149" s="27" t="s">
        <v>46</v>
      </c>
      <c r="J149" s="27">
        <v>2</v>
      </c>
      <c r="K149" s="27" t="s">
        <v>52</v>
      </c>
      <c r="L149" s="27" t="s">
        <v>46</v>
      </c>
    </row>
    <row r="150" spans="1:12" customFormat="1" ht="15.8" customHeight="1" x14ac:dyDescent="0.25">
      <c r="A150" s="26" t="s">
        <v>40</v>
      </c>
      <c r="B150" s="26" t="s">
        <v>13</v>
      </c>
      <c r="C150" s="39"/>
      <c r="D150" s="29">
        <v>46244</v>
      </c>
      <c r="E150" s="26" t="s">
        <v>342</v>
      </c>
      <c r="F150" s="26" t="s">
        <v>368</v>
      </c>
      <c r="G150" s="26" t="s">
        <v>103</v>
      </c>
      <c r="H150" s="26" t="s">
        <v>369</v>
      </c>
      <c r="I150" s="28"/>
      <c r="J150" s="26">
        <v>8</v>
      </c>
      <c r="K150" s="26" t="s">
        <v>49</v>
      </c>
      <c r="L150" s="28"/>
    </row>
    <row r="151" spans="1:12" customFormat="1" ht="15.8" customHeight="1" x14ac:dyDescent="0.25">
      <c r="A151" s="27" t="s">
        <v>40</v>
      </c>
      <c r="B151" s="27" t="s">
        <v>13</v>
      </c>
      <c r="C151" s="39"/>
      <c r="D151" s="30">
        <v>46244</v>
      </c>
      <c r="E151" s="27" t="s">
        <v>370</v>
      </c>
      <c r="F151" s="27" t="s">
        <v>371</v>
      </c>
      <c r="G151" s="27" t="s">
        <v>68</v>
      </c>
      <c r="H151" s="27" t="s">
        <v>372</v>
      </c>
      <c r="I151" s="31"/>
      <c r="J151" s="27">
        <v>3</v>
      </c>
      <c r="K151" s="27" t="s">
        <v>52</v>
      </c>
      <c r="L151" s="31"/>
    </row>
    <row r="152" spans="1:12" customFormat="1" ht="15.8" customHeight="1" x14ac:dyDescent="0.25">
      <c r="A152" s="26" t="s">
        <v>40</v>
      </c>
      <c r="B152" s="26" t="s">
        <v>13</v>
      </c>
      <c r="C152" s="39"/>
      <c r="D152" s="29">
        <v>46244</v>
      </c>
      <c r="E152" s="26" t="s">
        <v>61</v>
      </c>
      <c r="F152" s="26" t="s">
        <v>373</v>
      </c>
      <c r="G152" s="26" t="s">
        <v>103</v>
      </c>
      <c r="H152" s="26" t="s">
        <v>374</v>
      </c>
      <c r="I152" s="28"/>
      <c r="J152" s="26">
        <v>8</v>
      </c>
      <c r="K152" s="26" t="s">
        <v>49</v>
      </c>
      <c r="L152" s="28"/>
    </row>
    <row r="153" spans="1:12" customFormat="1" ht="15.8" customHeight="1" x14ac:dyDescent="0.25">
      <c r="A153" s="27" t="s">
        <v>40</v>
      </c>
      <c r="B153" s="27" t="s">
        <v>13</v>
      </c>
      <c r="C153" s="39"/>
      <c r="D153" s="30">
        <v>46244</v>
      </c>
      <c r="E153" s="27" t="s">
        <v>342</v>
      </c>
      <c r="F153" s="27" t="s">
        <v>375</v>
      </c>
      <c r="G153" s="27" t="s">
        <v>68</v>
      </c>
      <c r="H153" s="27" t="s">
        <v>376</v>
      </c>
      <c r="I153" s="31"/>
      <c r="J153" s="27">
        <v>3</v>
      </c>
      <c r="K153" s="27" t="s">
        <v>52</v>
      </c>
      <c r="L153" s="31"/>
    </row>
    <row r="154" spans="1:12" customFormat="1" ht="15.8" customHeight="1" x14ac:dyDescent="0.25">
      <c r="A154" s="26" t="s">
        <v>40</v>
      </c>
      <c r="B154" s="26" t="s">
        <v>13</v>
      </c>
      <c r="C154" s="39"/>
      <c r="D154" s="29">
        <v>46244</v>
      </c>
      <c r="E154" s="26" t="s">
        <v>342</v>
      </c>
      <c r="F154" s="26" t="s">
        <v>377</v>
      </c>
      <c r="G154" s="26" t="s">
        <v>68</v>
      </c>
      <c r="H154" s="26" t="s">
        <v>378</v>
      </c>
      <c r="I154" s="28"/>
      <c r="J154" s="26">
        <v>3</v>
      </c>
      <c r="K154" s="26" t="s">
        <v>52</v>
      </c>
      <c r="L154" s="28"/>
    </row>
    <row r="155" spans="1:12" customFormat="1" ht="15.8" customHeight="1" x14ac:dyDescent="0.25">
      <c r="A155" s="27" t="s">
        <v>41</v>
      </c>
      <c r="B155" s="27" t="s">
        <v>3</v>
      </c>
      <c r="C155" s="39"/>
      <c r="D155" s="30">
        <v>46245</v>
      </c>
      <c r="E155" s="27" t="s">
        <v>82</v>
      </c>
      <c r="F155" s="27" t="s">
        <v>379</v>
      </c>
      <c r="G155" s="27" t="s">
        <v>66</v>
      </c>
      <c r="H155" s="27" t="s">
        <v>380</v>
      </c>
      <c r="I155" s="27" t="s">
        <v>381</v>
      </c>
      <c r="J155" s="27">
        <v>6</v>
      </c>
      <c r="K155" s="27" t="s">
        <v>382</v>
      </c>
      <c r="L155" s="27" t="s">
        <v>46</v>
      </c>
    </row>
    <row r="156" spans="1:12" customFormat="1" ht="15.8" customHeight="1" x14ac:dyDescent="0.25">
      <c r="A156" s="26" t="s">
        <v>50</v>
      </c>
      <c r="B156" s="26" t="s">
        <v>7</v>
      </c>
      <c r="C156" s="39"/>
      <c r="D156" s="29">
        <v>46246</v>
      </c>
      <c r="E156" s="26" t="s">
        <v>82</v>
      </c>
      <c r="F156" s="26" t="s">
        <v>383</v>
      </c>
      <c r="G156" s="26" t="s">
        <v>66</v>
      </c>
      <c r="H156" s="26" t="s">
        <v>384</v>
      </c>
      <c r="I156" s="26" t="s">
        <v>385</v>
      </c>
      <c r="J156" s="26">
        <v>2</v>
      </c>
      <c r="K156" s="26" t="s">
        <v>56</v>
      </c>
      <c r="L156" s="26" t="s">
        <v>46</v>
      </c>
    </row>
    <row r="157" spans="1:12" customFormat="1" ht="15.8" customHeight="1" x14ac:dyDescent="0.25">
      <c r="A157" s="27" t="s">
        <v>40</v>
      </c>
      <c r="B157" s="27" t="s">
        <v>13</v>
      </c>
      <c r="C157" s="39"/>
      <c r="D157" s="30">
        <v>46244</v>
      </c>
      <c r="E157" s="27" t="s">
        <v>342</v>
      </c>
      <c r="F157" s="27" t="s">
        <v>386</v>
      </c>
      <c r="G157" s="31"/>
      <c r="H157" s="27" t="s">
        <v>387</v>
      </c>
      <c r="I157" s="31"/>
      <c r="J157" s="27">
        <v>8</v>
      </c>
      <c r="K157" s="27" t="s">
        <v>49</v>
      </c>
      <c r="L157" s="31"/>
    </row>
    <row r="158" spans="1:12" customFormat="1" ht="15.8" customHeight="1" x14ac:dyDescent="0.25">
      <c r="A158" s="26" t="s">
        <v>40</v>
      </c>
      <c r="B158" s="26" t="s">
        <v>13</v>
      </c>
      <c r="C158" s="39"/>
      <c r="D158" s="29">
        <v>46244</v>
      </c>
      <c r="E158" s="26" t="s">
        <v>388</v>
      </c>
      <c r="F158" s="26" t="s">
        <v>389</v>
      </c>
      <c r="G158" s="26" t="s">
        <v>103</v>
      </c>
      <c r="H158" s="26" t="s">
        <v>390</v>
      </c>
      <c r="I158" s="28"/>
      <c r="J158" s="26">
        <v>8</v>
      </c>
      <c r="K158" s="26" t="s">
        <v>49</v>
      </c>
      <c r="L158" s="28"/>
    </row>
    <row r="159" spans="1:12" customFormat="1" ht="15.8" customHeight="1" x14ac:dyDescent="0.25">
      <c r="A159" s="27" t="s">
        <v>40</v>
      </c>
      <c r="B159" s="27" t="s">
        <v>13</v>
      </c>
      <c r="C159" s="39"/>
      <c r="D159" s="30">
        <v>46244</v>
      </c>
      <c r="E159" s="27" t="s">
        <v>342</v>
      </c>
      <c r="F159" s="27" t="s">
        <v>391</v>
      </c>
      <c r="G159" s="27" t="s">
        <v>392</v>
      </c>
      <c r="H159" s="27" t="s">
        <v>393</v>
      </c>
      <c r="I159" s="31"/>
      <c r="J159" s="27">
        <v>8</v>
      </c>
      <c r="K159" s="27" t="s">
        <v>49</v>
      </c>
      <c r="L159" s="31"/>
    </row>
    <row r="160" spans="1:12" customFormat="1" ht="15.8" customHeight="1" x14ac:dyDescent="0.25">
      <c r="A160" s="26" t="s">
        <v>40</v>
      </c>
      <c r="B160" s="26" t="s">
        <v>13</v>
      </c>
      <c r="C160" s="39"/>
      <c r="D160" s="29">
        <v>46244</v>
      </c>
      <c r="E160" s="26" t="s">
        <v>61</v>
      </c>
      <c r="F160" s="26" t="s">
        <v>394</v>
      </c>
      <c r="G160" s="26" t="s">
        <v>392</v>
      </c>
      <c r="H160" s="26" t="s">
        <v>395</v>
      </c>
      <c r="I160" s="28"/>
      <c r="J160" s="26">
        <v>8</v>
      </c>
      <c r="K160" s="26" t="s">
        <v>49</v>
      </c>
      <c r="L160" s="28"/>
    </row>
    <row r="161" spans="1:12" customFormat="1" ht="15.8" customHeight="1" x14ac:dyDescent="0.25">
      <c r="A161" s="27" t="s">
        <v>40</v>
      </c>
      <c r="B161" s="27" t="s">
        <v>13</v>
      </c>
      <c r="C161" s="39"/>
      <c r="D161" s="30">
        <v>46244</v>
      </c>
      <c r="E161" s="27" t="s">
        <v>396</v>
      </c>
      <c r="F161" s="27" t="s">
        <v>397</v>
      </c>
      <c r="G161" s="27" t="s">
        <v>392</v>
      </c>
      <c r="H161" s="27" t="s">
        <v>398</v>
      </c>
      <c r="I161" s="31"/>
      <c r="J161" s="27">
        <v>8</v>
      </c>
      <c r="K161" s="27" t="s">
        <v>49</v>
      </c>
      <c r="L161" s="31"/>
    </row>
    <row r="162" spans="1:12" customFormat="1" ht="15.8" customHeight="1" x14ac:dyDescent="0.25">
      <c r="A162" s="26" t="s">
        <v>40</v>
      </c>
      <c r="B162" s="26" t="s">
        <v>13</v>
      </c>
      <c r="C162" s="39"/>
      <c r="D162" s="29">
        <v>46244</v>
      </c>
      <c r="E162" s="26" t="s">
        <v>63</v>
      </c>
      <c r="F162" s="26" t="s">
        <v>399</v>
      </c>
      <c r="G162" s="26" t="s">
        <v>392</v>
      </c>
      <c r="H162" s="26" t="s">
        <v>400</v>
      </c>
      <c r="I162" s="28"/>
      <c r="J162" s="26">
        <v>8</v>
      </c>
      <c r="K162" s="26" t="s">
        <v>49</v>
      </c>
      <c r="L162" s="28"/>
    </row>
    <row r="163" spans="1:12" customFormat="1" ht="15.8" customHeight="1" x14ac:dyDescent="0.25">
      <c r="A163" s="27" t="s">
        <v>40</v>
      </c>
      <c r="B163" s="27" t="s">
        <v>13</v>
      </c>
      <c r="C163" s="39"/>
      <c r="D163" s="30">
        <v>46244</v>
      </c>
      <c r="E163" s="27" t="s">
        <v>342</v>
      </c>
      <c r="F163" s="27" t="s">
        <v>392</v>
      </c>
      <c r="G163" s="31"/>
      <c r="H163" s="27" t="s">
        <v>401</v>
      </c>
      <c r="I163" s="31"/>
      <c r="J163" s="27">
        <v>8</v>
      </c>
      <c r="K163" s="27" t="s">
        <v>49</v>
      </c>
      <c r="L163" s="31"/>
    </row>
    <row r="164" spans="1:12" customFormat="1" ht="15.8" customHeight="1" x14ac:dyDescent="0.25">
      <c r="A164" s="26" t="s">
        <v>40</v>
      </c>
      <c r="B164" s="26" t="s">
        <v>13</v>
      </c>
      <c r="C164" s="39"/>
      <c r="D164" s="29">
        <v>46244</v>
      </c>
      <c r="E164" s="26" t="s">
        <v>388</v>
      </c>
      <c r="F164" s="26" t="s">
        <v>402</v>
      </c>
      <c r="G164" s="26" t="s">
        <v>403</v>
      </c>
      <c r="H164" s="26" t="s">
        <v>404</v>
      </c>
      <c r="I164" s="28"/>
      <c r="J164" s="26">
        <v>8</v>
      </c>
      <c r="K164" s="26" t="s">
        <v>49</v>
      </c>
      <c r="L164" s="28"/>
    </row>
    <row r="165" spans="1:12" customFormat="1" ht="15.8" customHeight="1" x14ac:dyDescent="0.25">
      <c r="A165" s="27" t="s">
        <v>40</v>
      </c>
      <c r="B165" s="27" t="s">
        <v>13</v>
      </c>
      <c r="C165" s="39"/>
      <c r="D165" s="30">
        <v>46244</v>
      </c>
      <c r="E165" s="27" t="s">
        <v>61</v>
      </c>
      <c r="F165" s="27" t="s">
        <v>405</v>
      </c>
      <c r="G165" s="27" t="s">
        <v>403</v>
      </c>
      <c r="H165" s="27" t="s">
        <v>406</v>
      </c>
      <c r="I165" s="31"/>
      <c r="J165" s="27">
        <v>8</v>
      </c>
      <c r="K165" s="27" t="s">
        <v>49</v>
      </c>
      <c r="L165" s="31"/>
    </row>
    <row r="166" spans="1:12" customFormat="1" ht="15.8" customHeight="1" x14ac:dyDescent="0.25">
      <c r="A166" s="26" t="s">
        <v>40</v>
      </c>
      <c r="B166" s="26" t="s">
        <v>13</v>
      </c>
      <c r="C166" s="39"/>
      <c r="D166" s="29">
        <v>46244</v>
      </c>
      <c r="E166" s="26" t="s">
        <v>342</v>
      </c>
      <c r="F166" s="26" t="s">
        <v>403</v>
      </c>
      <c r="G166" s="28"/>
      <c r="H166" s="26" t="s">
        <v>407</v>
      </c>
      <c r="I166" s="28"/>
      <c r="J166" s="26">
        <v>8</v>
      </c>
      <c r="K166" s="26" t="s">
        <v>49</v>
      </c>
      <c r="L166" s="28"/>
    </row>
    <row r="167" spans="1:12" customFormat="1" ht="15.8" customHeight="1" x14ac:dyDescent="0.25">
      <c r="A167" s="27" t="s">
        <v>40</v>
      </c>
      <c r="B167" s="27" t="s">
        <v>13</v>
      </c>
      <c r="C167" s="39"/>
      <c r="D167" s="30">
        <v>46244</v>
      </c>
      <c r="E167" s="27" t="s">
        <v>61</v>
      </c>
      <c r="F167" s="27" t="s">
        <v>408</v>
      </c>
      <c r="G167" s="27" t="s">
        <v>403</v>
      </c>
      <c r="H167" s="27" t="s">
        <v>409</v>
      </c>
      <c r="I167" s="31"/>
      <c r="J167" s="27">
        <v>8</v>
      </c>
      <c r="K167" s="27" t="s">
        <v>49</v>
      </c>
      <c r="L167" s="31"/>
    </row>
    <row r="168" spans="1:12" customFormat="1" ht="15.8" customHeight="1" x14ac:dyDescent="0.25">
      <c r="A168" s="26" t="s">
        <v>40</v>
      </c>
      <c r="B168" s="26" t="s">
        <v>13</v>
      </c>
      <c r="C168" s="39"/>
      <c r="D168" s="29">
        <v>46244</v>
      </c>
      <c r="E168" s="26" t="s">
        <v>388</v>
      </c>
      <c r="F168" s="26" t="s">
        <v>410</v>
      </c>
      <c r="G168" s="26" t="s">
        <v>411</v>
      </c>
      <c r="H168" s="26" t="s">
        <v>412</v>
      </c>
      <c r="I168" s="28"/>
      <c r="J168" s="26">
        <v>8</v>
      </c>
      <c r="K168" s="26" t="s">
        <v>49</v>
      </c>
      <c r="L168" s="28"/>
    </row>
    <row r="169" spans="1:12" customFormat="1" ht="15.8" customHeight="1" x14ac:dyDescent="0.25">
      <c r="A169" s="27" t="s">
        <v>40</v>
      </c>
      <c r="B169" s="27" t="s">
        <v>13</v>
      </c>
      <c r="C169" s="39"/>
      <c r="D169" s="30">
        <v>46244</v>
      </c>
      <c r="E169" s="27" t="s">
        <v>388</v>
      </c>
      <c r="F169" s="27" t="s">
        <v>413</v>
      </c>
      <c r="G169" s="27" t="s">
        <v>414</v>
      </c>
      <c r="H169" s="27" t="s">
        <v>415</v>
      </c>
      <c r="I169" s="31"/>
      <c r="J169" s="27">
        <v>8</v>
      </c>
      <c r="K169" s="27" t="s">
        <v>49</v>
      </c>
      <c r="L169" s="31"/>
    </row>
    <row r="170" spans="1:12" customFormat="1" ht="15.8" customHeight="1" x14ac:dyDescent="0.25">
      <c r="A170" s="26" t="s">
        <v>40</v>
      </c>
      <c r="B170" s="26" t="s">
        <v>13</v>
      </c>
      <c r="C170" s="39"/>
      <c r="D170" s="29">
        <v>46244</v>
      </c>
      <c r="E170" s="26" t="s">
        <v>416</v>
      </c>
      <c r="F170" s="26" t="s">
        <v>417</v>
      </c>
      <c r="G170" s="26" t="s">
        <v>68</v>
      </c>
      <c r="H170" s="26" t="s">
        <v>418</v>
      </c>
      <c r="I170" s="26" t="s">
        <v>419</v>
      </c>
      <c r="J170" s="26">
        <v>4</v>
      </c>
      <c r="K170" s="26" t="s">
        <v>56</v>
      </c>
      <c r="L170" s="26" t="s">
        <v>419</v>
      </c>
    </row>
    <row r="171" spans="1:12" customFormat="1" ht="15.8" customHeight="1" x14ac:dyDescent="0.25">
      <c r="A171" s="27" t="s">
        <v>40</v>
      </c>
      <c r="B171" s="27" t="s">
        <v>13</v>
      </c>
      <c r="C171" s="39"/>
      <c r="D171" s="30">
        <v>46244</v>
      </c>
      <c r="E171" s="27" t="s">
        <v>61</v>
      </c>
      <c r="F171" s="27" t="s">
        <v>420</v>
      </c>
      <c r="G171" s="27" t="s">
        <v>421</v>
      </c>
      <c r="H171" s="27" t="s">
        <v>422</v>
      </c>
      <c r="I171" s="31"/>
      <c r="J171" s="27">
        <v>5</v>
      </c>
      <c r="K171" s="27" t="s">
        <v>55</v>
      </c>
      <c r="L171" s="31"/>
    </row>
    <row r="172" spans="1:12" customFormat="1" ht="15.8" customHeight="1" x14ac:dyDescent="0.25">
      <c r="A172" s="26" t="s">
        <v>40</v>
      </c>
      <c r="B172" s="26" t="s">
        <v>13</v>
      </c>
      <c r="C172" s="39"/>
      <c r="D172" s="29">
        <v>46244</v>
      </c>
      <c r="E172" s="26" t="s">
        <v>423</v>
      </c>
      <c r="F172" s="26" t="s">
        <v>424</v>
      </c>
      <c r="G172" s="26" t="s">
        <v>425</v>
      </c>
      <c r="H172" s="26" t="s">
        <v>426</v>
      </c>
      <c r="I172" s="26" t="s">
        <v>419</v>
      </c>
      <c r="J172" s="26">
        <v>4</v>
      </c>
      <c r="K172" s="26" t="s">
        <v>56</v>
      </c>
      <c r="L172" s="26" t="s">
        <v>419</v>
      </c>
    </row>
    <row r="173" spans="1:12" customFormat="1" ht="15.8" customHeight="1" x14ac:dyDescent="0.25">
      <c r="A173" s="27" t="s">
        <v>40</v>
      </c>
      <c r="B173" s="27" t="s">
        <v>13</v>
      </c>
      <c r="C173" s="39"/>
      <c r="D173" s="30">
        <v>46245</v>
      </c>
      <c r="E173" s="27" t="s">
        <v>388</v>
      </c>
      <c r="F173" s="27" t="s">
        <v>227</v>
      </c>
      <c r="G173" s="27" t="s">
        <v>427</v>
      </c>
      <c r="H173" s="27" t="s">
        <v>428</v>
      </c>
      <c r="I173" s="31"/>
      <c r="J173" s="27">
        <v>5</v>
      </c>
      <c r="K173" s="27" t="s">
        <v>55</v>
      </c>
      <c r="L173" s="31"/>
    </row>
    <row r="174" spans="1:12" customFormat="1" ht="15.8" customHeight="1" x14ac:dyDescent="0.25">
      <c r="A174" s="26" t="s">
        <v>40</v>
      </c>
      <c r="B174" s="26" t="s">
        <v>13</v>
      </c>
      <c r="C174" s="39"/>
      <c r="D174" s="29">
        <v>46244</v>
      </c>
      <c r="E174" s="26" t="s">
        <v>423</v>
      </c>
      <c r="F174" s="26"/>
      <c r="G174" s="26" t="s">
        <v>425</v>
      </c>
      <c r="H174" s="26" t="s">
        <v>429</v>
      </c>
      <c r="I174" s="26" t="s">
        <v>419</v>
      </c>
      <c r="J174" s="26">
        <v>4</v>
      </c>
      <c r="K174" s="26" t="s">
        <v>56</v>
      </c>
      <c r="L174" s="26" t="s">
        <v>419</v>
      </c>
    </row>
    <row r="175" spans="1:12" customFormat="1" ht="15.8" customHeight="1" x14ac:dyDescent="0.25">
      <c r="A175" s="27" t="s">
        <v>40</v>
      </c>
      <c r="B175" s="27" t="s">
        <v>13</v>
      </c>
      <c r="C175" s="39"/>
      <c r="D175" s="30">
        <v>46245</v>
      </c>
      <c r="E175" s="27" t="s">
        <v>388</v>
      </c>
      <c r="F175" s="27" t="s">
        <v>430</v>
      </c>
      <c r="G175" s="27" t="s">
        <v>427</v>
      </c>
      <c r="H175" s="27" t="s">
        <v>431</v>
      </c>
      <c r="I175" s="31"/>
      <c r="J175" s="27">
        <v>5</v>
      </c>
      <c r="K175" s="27" t="s">
        <v>55</v>
      </c>
      <c r="L175" s="31"/>
    </row>
    <row r="176" spans="1:12" customFormat="1" ht="15.8" customHeight="1" x14ac:dyDescent="0.25">
      <c r="A176" s="26" t="s">
        <v>40</v>
      </c>
      <c r="B176" s="26" t="s">
        <v>13</v>
      </c>
      <c r="C176" s="39"/>
      <c r="D176" s="29">
        <v>46245</v>
      </c>
      <c r="E176" s="26" t="s">
        <v>342</v>
      </c>
      <c r="F176" s="26" t="s">
        <v>432</v>
      </c>
      <c r="G176" s="28"/>
      <c r="H176" s="26" t="s">
        <v>433</v>
      </c>
      <c r="I176" s="28"/>
      <c r="J176" s="26">
        <v>5</v>
      </c>
      <c r="K176" s="26" t="s">
        <v>55</v>
      </c>
      <c r="L176" s="28"/>
    </row>
    <row r="177" spans="1:12" customFormat="1" ht="15.8" customHeight="1" x14ac:dyDescent="0.25">
      <c r="A177" s="27" t="s">
        <v>40</v>
      </c>
      <c r="B177" s="27" t="s">
        <v>13</v>
      </c>
      <c r="C177" s="39"/>
      <c r="D177" s="30">
        <v>46245</v>
      </c>
      <c r="E177" s="27" t="s">
        <v>342</v>
      </c>
      <c r="F177" s="27" t="s">
        <v>58</v>
      </c>
      <c r="G177" s="31"/>
      <c r="H177" s="27" t="s">
        <v>434</v>
      </c>
      <c r="I177" s="31"/>
      <c r="J177" s="27">
        <v>5</v>
      </c>
      <c r="K177" s="27" t="s">
        <v>55</v>
      </c>
      <c r="L177" s="31"/>
    </row>
    <row r="178" spans="1:12" customFormat="1" ht="15.8" customHeight="1" x14ac:dyDescent="0.25">
      <c r="A178" s="26" t="s">
        <v>40</v>
      </c>
      <c r="B178" s="26" t="s">
        <v>13</v>
      </c>
      <c r="C178" s="39"/>
      <c r="D178" s="29">
        <v>46245</v>
      </c>
      <c r="E178" s="26" t="s">
        <v>423</v>
      </c>
      <c r="F178" s="26" t="s">
        <v>435</v>
      </c>
      <c r="G178" s="26" t="s">
        <v>103</v>
      </c>
      <c r="H178" s="26" t="s">
        <v>436</v>
      </c>
      <c r="I178" s="26" t="s">
        <v>419</v>
      </c>
      <c r="J178" s="26">
        <v>4</v>
      </c>
      <c r="K178" s="26" t="s">
        <v>49</v>
      </c>
      <c r="L178" s="26" t="s">
        <v>419</v>
      </c>
    </row>
    <row r="179" spans="1:12" customFormat="1" ht="15.8" customHeight="1" x14ac:dyDescent="0.25">
      <c r="A179" s="27" t="s">
        <v>40</v>
      </c>
      <c r="B179" s="27" t="s">
        <v>13</v>
      </c>
      <c r="C179" s="39"/>
      <c r="D179" s="30">
        <v>46245</v>
      </c>
      <c r="E179" s="27" t="s">
        <v>388</v>
      </c>
      <c r="F179" s="27" t="s">
        <v>437</v>
      </c>
      <c r="G179" s="31"/>
      <c r="H179" s="27" t="s">
        <v>438</v>
      </c>
      <c r="I179" s="31"/>
      <c r="J179" s="27">
        <v>8</v>
      </c>
      <c r="K179" s="27" t="s">
        <v>55</v>
      </c>
      <c r="L179" s="31"/>
    </row>
    <row r="180" spans="1:12" customFormat="1" ht="15.8" customHeight="1" x14ac:dyDescent="0.25">
      <c r="A180" s="26" t="s">
        <v>40</v>
      </c>
      <c r="B180" s="26" t="s">
        <v>13</v>
      </c>
      <c r="C180" s="39"/>
      <c r="D180" s="29">
        <v>46245</v>
      </c>
      <c r="E180" s="26" t="s">
        <v>423</v>
      </c>
      <c r="F180" s="26" t="s">
        <v>439</v>
      </c>
      <c r="G180" s="26" t="s">
        <v>440</v>
      </c>
      <c r="H180" s="26" t="s">
        <v>441</v>
      </c>
      <c r="I180" s="26" t="s">
        <v>419</v>
      </c>
      <c r="J180" s="26">
        <v>4</v>
      </c>
      <c r="K180" s="26" t="s">
        <v>49</v>
      </c>
      <c r="L180" s="26" t="s">
        <v>419</v>
      </c>
    </row>
    <row r="181" spans="1:12" customFormat="1" ht="15.8" customHeight="1" x14ac:dyDescent="0.25">
      <c r="A181" s="27" t="s">
        <v>40</v>
      </c>
      <c r="B181" s="27" t="s">
        <v>13</v>
      </c>
      <c r="C181" s="39"/>
      <c r="D181" s="30">
        <v>46245</v>
      </c>
      <c r="E181" s="27" t="s">
        <v>61</v>
      </c>
      <c r="F181" s="27" t="s">
        <v>442</v>
      </c>
      <c r="G181" s="31"/>
      <c r="H181" s="27" t="s">
        <v>443</v>
      </c>
      <c r="I181" s="31"/>
      <c r="J181" s="27">
        <v>5</v>
      </c>
      <c r="K181" s="27" t="s">
        <v>55</v>
      </c>
      <c r="L181" s="31"/>
    </row>
    <row r="182" spans="1:12" customFormat="1" ht="15.8" customHeight="1" x14ac:dyDescent="0.25">
      <c r="A182" s="26" t="s">
        <v>40</v>
      </c>
      <c r="B182" s="26" t="s">
        <v>13</v>
      </c>
      <c r="C182" s="39"/>
      <c r="D182" s="29">
        <v>46245</v>
      </c>
      <c r="E182" s="26" t="s">
        <v>388</v>
      </c>
      <c r="F182" s="26" t="s">
        <v>444</v>
      </c>
      <c r="G182" s="28"/>
      <c r="H182" s="26" t="s">
        <v>445</v>
      </c>
      <c r="I182" s="28"/>
      <c r="J182" s="26">
        <v>5</v>
      </c>
      <c r="K182" s="26" t="s">
        <v>55</v>
      </c>
      <c r="L182" s="28"/>
    </row>
    <row r="183" spans="1:12" customFormat="1" ht="15.8" customHeight="1" x14ac:dyDescent="0.25">
      <c r="A183" s="27" t="s">
        <v>40</v>
      </c>
      <c r="B183" s="27" t="s">
        <v>13</v>
      </c>
      <c r="C183" s="39"/>
      <c r="D183" s="30">
        <v>46245</v>
      </c>
      <c r="E183" s="27" t="s">
        <v>423</v>
      </c>
      <c r="F183" s="27" t="s">
        <v>446</v>
      </c>
      <c r="G183" s="27" t="s">
        <v>447</v>
      </c>
      <c r="H183" s="27" t="s">
        <v>448</v>
      </c>
      <c r="I183" s="27" t="s">
        <v>419</v>
      </c>
      <c r="J183" s="27">
        <v>4</v>
      </c>
      <c r="K183" s="27" t="s">
        <v>52</v>
      </c>
      <c r="L183" s="27" t="s">
        <v>419</v>
      </c>
    </row>
    <row r="184" spans="1:12" customFormat="1" ht="15.8" customHeight="1" x14ac:dyDescent="0.25">
      <c r="A184" s="26" t="s">
        <v>40</v>
      </c>
      <c r="B184" s="26" t="s">
        <v>13</v>
      </c>
      <c r="C184" s="39"/>
      <c r="D184" s="29">
        <v>46245</v>
      </c>
      <c r="E184" s="26" t="s">
        <v>61</v>
      </c>
      <c r="F184" s="26" t="s">
        <v>221</v>
      </c>
      <c r="G184" s="28"/>
      <c r="H184" s="26" t="s">
        <v>449</v>
      </c>
      <c r="I184" s="28"/>
      <c r="J184" s="26">
        <v>4</v>
      </c>
      <c r="K184" s="26" t="s">
        <v>48</v>
      </c>
      <c r="L184" s="28"/>
    </row>
    <row r="185" spans="1:12" customFormat="1" ht="15.8" customHeight="1" x14ac:dyDescent="0.25">
      <c r="A185" s="27" t="s">
        <v>40</v>
      </c>
      <c r="B185" s="27" t="s">
        <v>13</v>
      </c>
      <c r="C185" s="39"/>
      <c r="D185" s="30">
        <v>46245</v>
      </c>
      <c r="E185" s="27" t="s">
        <v>423</v>
      </c>
      <c r="F185" s="27" t="s">
        <v>450</v>
      </c>
      <c r="G185" s="27" t="s">
        <v>103</v>
      </c>
      <c r="H185" s="27" t="s">
        <v>451</v>
      </c>
      <c r="I185" s="27" t="s">
        <v>419</v>
      </c>
      <c r="J185" s="27">
        <v>8</v>
      </c>
      <c r="K185" s="27" t="s">
        <v>49</v>
      </c>
      <c r="L185" s="27" t="s">
        <v>419</v>
      </c>
    </row>
    <row r="186" spans="1:12" customFormat="1" ht="15.8" customHeight="1" x14ac:dyDescent="0.25">
      <c r="A186" s="26" t="s">
        <v>40</v>
      </c>
      <c r="B186" s="26" t="s">
        <v>13</v>
      </c>
      <c r="C186" s="39"/>
      <c r="D186" s="29">
        <v>46245</v>
      </c>
      <c r="E186" s="26" t="s">
        <v>61</v>
      </c>
      <c r="F186" s="26" t="s">
        <v>452</v>
      </c>
      <c r="G186" s="28"/>
      <c r="H186" s="26" t="s">
        <v>453</v>
      </c>
      <c r="I186" s="28"/>
      <c r="J186" s="26">
        <v>4</v>
      </c>
      <c r="K186" s="26" t="s">
        <v>48</v>
      </c>
      <c r="L186" s="28"/>
    </row>
    <row r="187" spans="1:12" customFormat="1" ht="15.8" customHeight="1" x14ac:dyDescent="0.25">
      <c r="A187" s="27" t="s">
        <v>40</v>
      </c>
      <c r="B187" s="27" t="s">
        <v>13</v>
      </c>
      <c r="C187" s="39"/>
      <c r="D187" s="30">
        <v>46245</v>
      </c>
      <c r="E187" s="27" t="s">
        <v>342</v>
      </c>
      <c r="F187" s="27" t="s">
        <v>454</v>
      </c>
      <c r="G187" s="31"/>
      <c r="H187" s="27" t="s">
        <v>455</v>
      </c>
      <c r="I187" s="31"/>
      <c r="J187" s="27">
        <v>4</v>
      </c>
      <c r="K187" s="27" t="s">
        <v>48</v>
      </c>
      <c r="L187" s="31"/>
    </row>
    <row r="188" spans="1:12" customFormat="1" ht="15.8" customHeight="1" x14ac:dyDescent="0.25">
      <c r="A188" s="26" t="s">
        <v>40</v>
      </c>
      <c r="B188" s="26" t="s">
        <v>13</v>
      </c>
      <c r="C188" s="39"/>
      <c r="D188" s="29">
        <v>46245</v>
      </c>
      <c r="E188" s="26" t="s">
        <v>423</v>
      </c>
      <c r="F188" s="26" t="s">
        <v>456</v>
      </c>
      <c r="G188" s="26" t="s">
        <v>103</v>
      </c>
      <c r="H188" s="26" t="s">
        <v>457</v>
      </c>
      <c r="I188" s="26" t="s">
        <v>419</v>
      </c>
      <c r="J188" s="26">
        <v>8</v>
      </c>
      <c r="K188" s="26" t="s">
        <v>49</v>
      </c>
      <c r="L188" s="26" t="s">
        <v>419</v>
      </c>
    </row>
    <row r="189" spans="1:12" customFormat="1" ht="15.8" customHeight="1" x14ac:dyDescent="0.25">
      <c r="A189" s="27" t="s">
        <v>40</v>
      </c>
      <c r="B189" s="27" t="s">
        <v>13</v>
      </c>
      <c r="C189" s="39"/>
      <c r="D189" s="30">
        <v>46245</v>
      </c>
      <c r="E189" s="27" t="s">
        <v>423</v>
      </c>
      <c r="F189" s="27" t="s">
        <v>458</v>
      </c>
      <c r="G189" s="27" t="s">
        <v>103</v>
      </c>
      <c r="H189" s="27" t="s">
        <v>459</v>
      </c>
      <c r="I189" s="27" t="s">
        <v>419</v>
      </c>
      <c r="J189" s="27">
        <v>8</v>
      </c>
      <c r="K189" s="27" t="s">
        <v>49</v>
      </c>
      <c r="L189" s="27" t="s">
        <v>419</v>
      </c>
    </row>
    <row r="190" spans="1:12" customFormat="1" ht="15.8" customHeight="1" x14ac:dyDescent="0.25">
      <c r="A190" s="26" t="s">
        <v>40</v>
      </c>
      <c r="B190" s="26" t="s">
        <v>13</v>
      </c>
      <c r="C190" s="39"/>
      <c r="D190" s="29">
        <v>46245</v>
      </c>
      <c r="E190" s="26" t="s">
        <v>460</v>
      </c>
      <c r="F190" s="26" t="s">
        <v>461</v>
      </c>
      <c r="G190" s="26" t="s">
        <v>103</v>
      </c>
      <c r="H190" s="26" t="s">
        <v>462</v>
      </c>
      <c r="I190" s="26" t="s">
        <v>419</v>
      </c>
      <c r="J190" s="26">
        <v>8</v>
      </c>
      <c r="K190" s="26" t="s">
        <v>49</v>
      </c>
      <c r="L190" s="26" t="s">
        <v>419</v>
      </c>
    </row>
    <row r="191" spans="1:12" customFormat="1" ht="15.8" customHeight="1" x14ac:dyDescent="0.25">
      <c r="A191" s="27" t="s">
        <v>40</v>
      </c>
      <c r="B191" s="27" t="s">
        <v>13</v>
      </c>
      <c r="C191" s="39"/>
      <c r="D191" s="30">
        <v>46245</v>
      </c>
      <c r="E191" s="27" t="s">
        <v>396</v>
      </c>
      <c r="F191" s="27" t="s">
        <v>463</v>
      </c>
      <c r="G191" s="27" t="s">
        <v>421</v>
      </c>
      <c r="H191" s="27" t="s">
        <v>464</v>
      </c>
      <c r="I191" s="31"/>
      <c r="J191" s="27">
        <v>4</v>
      </c>
      <c r="K191" s="27" t="s">
        <v>48</v>
      </c>
      <c r="L191" s="31"/>
    </row>
    <row r="192" spans="1:12" customFormat="1" ht="15.8" customHeight="1" x14ac:dyDescent="0.25">
      <c r="A192" s="26" t="s">
        <v>40</v>
      </c>
      <c r="B192" s="26" t="s">
        <v>13</v>
      </c>
      <c r="C192" s="39"/>
      <c r="D192" s="29">
        <v>46245</v>
      </c>
      <c r="E192" s="26" t="s">
        <v>465</v>
      </c>
      <c r="F192" s="26" t="s">
        <v>466</v>
      </c>
      <c r="G192" s="26" t="s">
        <v>103</v>
      </c>
      <c r="H192" s="26" t="s">
        <v>467</v>
      </c>
      <c r="I192" s="28"/>
      <c r="J192" s="26">
        <v>3</v>
      </c>
      <c r="K192" s="26" t="s">
        <v>52</v>
      </c>
      <c r="L192" s="28"/>
    </row>
    <row r="193" spans="1:12" customFormat="1" ht="15.8" customHeight="1" x14ac:dyDescent="0.25">
      <c r="A193" s="27" t="s">
        <v>40</v>
      </c>
      <c r="B193" s="27" t="s">
        <v>13</v>
      </c>
      <c r="C193" s="39"/>
      <c r="D193" s="30">
        <v>46245</v>
      </c>
      <c r="E193" s="27" t="s">
        <v>342</v>
      </c>
      <c r="F193" s="27" t="s">
        <v>468</v>
      </c>
      <c r="G193" s="27" t="s">
        <v>421</v>
      </c>
      <c r="H193" s="27" t="s">
        <v>469</v>
      </c>
      <c r="I193" s="31"/>
      <c r="J193" s="27">
        <v>4</v>
      </c>
      <c r="K193" s="27" t="s">
        <v>48</v>
      </c>
      <c r="L193" s="31"/>
    </row>
    <row r="194" spans="1:12" customFormat="1" ht="15.8" customHeight="1" x14ac:dyDescent="0.25">
      <c r="A194" s="26" t="s">
        <v>40</v>
      </c>
      <c r="B194" s="26" t="s">
        <v>13</v>
      </c>
      <c r="C194" s="39"/>
      <c r="D194" s="29">
        <v>46245</v>
      </c>
      <c r="E194" s="26" t="s">
        <v>470</v>
      </c>
      <c r="F194" s="26" t="s">
        <v>471</v>
      </c>
      <c r="G194" s="28"/>
      <c r="H194" s="26" t="s">
        <v>472</v>
      </c>
      <c r="I194" s="28"/>
      <c r="J194" s="26">
        <v>4</v>
      </c>
      <c r="K194" s="26" t="s">
        <v>48</v>
      </c>
      <c r="L194" s="28"/>
    </row>
    <row r="195" spans="1:12" customFormat="1" ht="15.8" customHeight="1" x14ac:dyDescent="0.25">
      <c r="A195" s="27" t="s">
        <v>40</v>
      </c>
      <c r="B195" s="27" t="s">
        <v>13</v>
      </c>
      <c r="C195" s="39"/>
      <c r="D195" s="30">
        <v>46245</v>
      </c>
      <c r="E195" s="27" t="s">
        <v>61</v>
      </c>
      <c r="F195" s="27" t="s">
        <v>473</v>
      </c>
      <c r="G195" s="27" t="s">
        <v>474</v>
      </c>
      <c r="H195" s="27" t="s">
        <v>475</v>
      </c>
      <c r="I195" s="31"/>
      <c r="J195" s="27">
        <v>4</v>
      </c>
      <c r="K195" s="27" t="s">
        <v>48</v>
      </c>
      <c r="L195" s="31"/>
    </row>
    <row r="196" spans="1:12" customFormat="1" ht="15.8" customHeight="1" x14ac:dyDescent="0.25">
      <c r="A196" s="26" t="s">
        <v>40</v>
      </c>
      <c r="B196" s="26" t="s">
        <v>13</v>
      </c>
      <c r="C196" s="39"/>
      <c r="D196" s="29">
        <v>46245</v>
      </c>
      <c r="E196" s="26" t="s">
        <v>470</v>
      </c>
      <c r="F196" s="26" t="s">
        <v>476</v>
      </c>
      <c r="G196" s="26" t="s">
        <v>103</v>
      </c>
      <c r="H196" s="26" t="s">
        <v>477</v>
      </c>
      <c r="I196" s="28"/>
      <c r="J196" s="26">
        <v>8</v>
      </c>
      <c r="K196" s="26" t="s">
        <v>49</v>
      </c>
      <c r="L196" s="28"/>
    </row>
    <row r="197" spans="1:12" customFormat="1" ht="15.8" customHeight="1" x14ac:dyDescent="0.25">
      <c r="A197" s="27" t="s">
        <v>40</v>
      </c>
      <c r="B197" s="27" t="s">
        <v>13</v>
      </c>
      <c r="C197" s="39"/>
      <c r="D197" s="30">
        <v>46245</v>
      </c>
      <c r="E197" s="27" t="s">
        <v>388</v>
      </c>
      <c r="F197" s="27" t="s">
        <v>478</v>
      </c>
      <c r="G197" s="27" t="s">
        <v>66</v>
      </c>
      <c r="H197" s="27" t="s">
        <v>479</v>
      </c>
      <c r="I197" s="31"/>
      <c r="J197" s="27">
        <v>4</v>
      </c>
      <c r="K197" s="27" t="s">
        <v>48</v>
      </c>
      <c r="L197" s="31"/>
    </row>
    <row r="198" spans="1:12" customFormat="1" ht="15.8" customHeight="1" x14ac:dyDescent="0.25">
      <c r="A198" s="26" t="s">
        <v>40</v>
      </c>
      <c r="B198" s="26" t="s">
        <v>13</v>
      </c>
      <c r="C198" s="39"/>
      <c r="D198" s="29">
        <v>46245</v>
      </c>
      <c r="E198" s="26" t="s">
        <v>61</v>
      </c>
      <c r="F198" s="26" t="s">
        <v>480</v>
      </c>
      <c r="G198" s="26" t="s">
        <v>103</v>
      </c>
      <c r="H198" s="26" t="s">
        <v>481</v>
      </c>
      <c r="I198" s="28"/>
      <c r="J198" s="26">
        <v>8</v>
      </c>
      <c r="K198" s="26" t="s">
        <v>49</v>
      </c>
      <c r="L198" s="28"/>
    </row>
    <row r="199" spans="1:12" customFormat="1" ht="15.8" customHeight="1" x14ac:dyDescent="0.25">
      <c r="A199" s="27" t="s">
        <v>40</v>
      </c>
      <c r="B199" s="27" t="s">
        <v>13</v>
      </c>
      <c r="C199" s="39"/>
      <c r="D199" s="30">
        <v>46245</v>
      </c>
      <c r="E199" s="27" t="s">
        <v>61</v>
      </c>
      <c r="F199" s="27" t="s">
        <v>482</v>
      </c>
      <c r="G199" s="31"/>
      <c r="H199" s="27" t="s">
        <v>483</v>
      </c>
      <c r="I199" s="31"/>
      <c r="J199" s="27">
        <v>4</v>
      </c>
      <c r="K199" s="27" t="s">
        <v>48</v>
      </c>
      <c r="L199" s="31"/>
    </row>
    <row r="200" spans="1:12" customFormat="1" ht="15.8" customHeight="1" x14ac:dyDescent="0.25">
      <c r="A200" s="26" t="s">
        <v>40</v>
      </c>
      <c r="B200" s="26" t="s">
        <v>13</v>
      </c>
      <c r="C200" s="39"/>
      <c r="D200" s="29">
        <v>46245</v>
      </c>
      <c r="E200" s="26" t="s">
        <v>342</v>
      </c>
      <c r="F200" s="26" t="s">
        <v>484</v>
      </c>
      <c r="G200" s="26" t="s">
        <v>103</v>
      </c>
      <c r="H200" s="26" t="s">
        <v>485</v>
      </c>
      <c r="I200" s="28"/>
      <c r="J200" s="26">
        <v>8</v>
      </c>
      <c r="K200" s="26" t="s">
        <v>49</v>
      </c>
      <c r="L200" s="28"/>
    </row>
    <row r="201" spans="1:12" customFormat="1" ht="15.8" customHeight="1" x14ac:dyDescent="0.25">
      <c r="A201" s="27" t="s">
        <v>40</v>
      </c>
      <c r="B201" s="27" t="s">
        <v>13</v>
      </c>
      <c r="C201" s="39"/>
      <c r="D201" s="30">
        <v>46245</v>
      </c>
      <c r="E201" s="27" t="s">
        <v>342</v>
      </c>
      <c r="F201" s="27" t="s">
        <v>486</v>
      </c>
      <c r="G201" s="27" t="s">
        <v>103</v>
      </c>
      <c r="H201" s="27" t="s">
        <v>487</v>
      </c>
      <c r="I201" s="31"/>
      <c r="J201" s="27">
        <v>8</v>
      </c>
      <c r="K201" s="27" t="s">
        <v>49</v>
      </c>
      <c r="L201" s="31"/>
    </row>
    <row r="202" spans="1:12" customFormat="1" ht="15.8" customHeight="1" x14ac:dyDescent="0.25">
      <c r="A202" s="26" t="s">
        <v>40</v>
      </c>
      <c r="B202" s="26" t="s">
        <v>13</v>
      </c>
      <c r="C202" s="39"/>
      <c r="D202" s="29">
        <v>46245</v>
      </c>
      <c r="E202" s="26" t="s">
        <v>470</v>
      </c>
      <c r="F202" s="26" t="s">
        <v>288</v>
      </c>
      <c r="G202" s="28"/>
      <c r="H202" s="26" t="s">
        <v>488</v>
      </c>
      <c r="I202" s="28"/>
      <c r="J202" s="26">
        <v>4</v>
      </c>
      <c r="K202" s="26" t="s">
        <v>48</v>
      </c>
      <c r="L202" s="28"/>
    </row>
    <row r="203" spans="1:12" customFormat="1" ht="15.8" customHeight="1" x14ac:dyDescent="0.25">
      <c r="A203" s="27" t="s">
        <v>40</v>
      </c>
      <c r="B203" s="27" t="s">
        <v>13</v>
      </c>
      <c r="C203" s="39"/>
      <c r="D203" s="30">
        <v>46245</v>
      </c>
      <c r="E203" s="27" t="s">
        <v>470</v>
      </c>
      <c r="F203" s="27" t="s">
        <v>489</v>
      </c>
      <c r="G203" s="31"/>
      <c r="H203" s="27" t="s">
        <v>490</v>
      </c>
      <c r="I203" s="31"/>
      <c r="J203" s="27">
        <v>8</v>
      </c>
      <c r="K203" s="27" t="s">
        <v>49</v>
      </c>
      <c r="L203" s="31"/>
    </row>
    <row r="204" spans="1:12" customFormat="1" ht="15.8" customHeight="1" x14ac:dyDescent="0.25">
      <c r="A204" s="26" t="s">
        <v>40</v>
      </c>
      <c r="B204" s="26" t="s">
        <v>13</v>
      </c>
      <c r="C204" s="39"/>
      <c r="D204" s="29">
        <v>46245</v>
      </c>
      <c r="E204" s="26" t="s">
        <v>61</v>
      </c>
      <c r="F204" s="26" t="s">
        <v>491</v>
      </c>
      <c r="G204" s="28"/>
      <c r="H204" s="26" t="s">
        <v>492</v>
      </c>
      <c r="I204" s="28"/>
      <c r="J204" s="26">
        <v>4</v>
      </c>
      <c r="K204" s="26" t="s">
        <v>49</v>
      </c>
      <c r="L204" s="28"/>
    </row>
    <row r="205" spans="1:12" customFormat="1" ht="15.8" customHeight="1" x14ac:dyDescent="0.25">
      <c r="A205" s="27" t="s">
        <v>40</v>
      </c>
      <c r="B205" s="27" t="s">
        <v>13</v>
      </c>
      <c r="C205" s="39"/>
      <c r="D205" s="30">
        <v>46245</v>
      </c>
      <c r="E205" s="27" t="s">
        <v>470</v>
      </c>
      <c r="F205" s="27" t="s">
        <v>493</v>
      </c>
      <c r="G205" s="31"/>
      <c r="H205" s="27" t="s">
        <v>494</v>
      </c>
      <c r="I205" s="31"/>
      <c r="J205" s="27">
        <v>4</v>
      </c>
      <c r="K205" s="27" t="s">
        <v>48</v>
      </c>
      <c r="L205" s="31"/>
    </row>
    <row r="206" spans="1:12" customFormat="1" ht="15.8" customHeight="1" x14ac:dyDescent="0.25">
      <c r="A206" s="26" t="s">
        <v>40</v>
      </c>
      <c r="B206" s="26" t="s">
        <v>13</v>
      </c>
      <c r="C206" s="39"/>
      <c r="D206" s="29">
        <v>46245</v>
      </c>
      <c r="E206" s="26" t="s">
        <v>342</v>
      </c>
      <c r="F206" s="26" t="s">
        <v>495</v>
      </c>
      <c r="G206" s="26" t="s">
        <v>103</v>
      </c>
      <c r="H206" s="26" t="s">
        <v>496</v>
      </c>
      <c r="I206" s="28"/>
      <c r="J206" s="26">
        <v>8</v>
      </c>
      <c r="K206" s="26" t="s">
        <v>49</v>
      </c>
      <c r="L206" s="28"/>
    </row>
    <row r="207" spans="1:12" customFormat="1" ht="15.8" customHeight="1" x14ac:dyDescent="0.25">
      <c r="A207" s="27" t="s">
        <v>40</v>
      </c>
      <c r="B207" s="27" t="s">
        <v>13</v>
      </c>
      <c r="C207" s="39"/>
      <c r="D207" s="30">
        <v>46245</v>
      </c>
      <c r="E207" s="27" t="s">
        <v>342</v>
      </c>
      <c r="F207" s="27" t="s">
        <v>497</v>
      </c>
      <c r="G207" s="27" t="s">
        <v>103</v>
      </c>
      <c r="H207" s="27" t="s">
        <v>498</v>
      </c>
      <c r="I207" s="31"/>
      <c r="J207" s="27">
        <v>8</v>
      </c>
      <c r="K207" s="27" t="s">
        <v>49</v>
      </c>
      <c r="L207" s="31"/>
    </row>
    <row r="208" spans="1:12" customFormat="1" ht="15.8" customHeight="1" x14ac:dyDescent="0.25">
      <c r="A208" s="26" t="s">
        <v>40</v>
      </c>
      <c r="B208" s="26" t="s">
        <v>13</v>
      </c>
      <c r="C208" s="39"/>
      <c r="D208" s="29">
        <v>46245</v>
      </c>
      <c r="E208" s="26" t="s">
        <v>396</v>
      </c>
      <c r="F208" s="26" t="s">
        <v>499</v>
      </c>
      <c r="G208" s="28"/>
      <c r="H208" s="26" t="s">
        <v>500</v>
      </c>
      <c r="I208" s="28"/>
      <c r="J208" s="26">
        <v>4</v>
      </c>
      <c r="K208" s="26" t="s">
        <v>48</v>
      </c>
      <c r="L208" s="28"/>
    </row>
    <row r="209" spans="1:12" customFormat="1" ht="15.8" customHeight="1" x14ac:dyDescent="0.25">
      <c r="A209" s="27" t="s">
        <v>40</v>
      </c>
      <c r="B209" s="27" t="s">
        <v>13</v>
      </c>
      <c r="C209" s="39"/>
      <c r="D209" s="30">
        <v>46245</v>
      </c>
      <c r="E209" s="27" t="s">
        <v>61</v>
      </c>
      <c r="F209" s="27" t="s">
        <v>306</v>
      </c>
      <c r="G209" s="31"/>
      <c r="H209" s="27" t="s">
        <v>501</v>
      </c>
      <c r="I209" s="31"/>
      <c r="J209" s="27">
        <v>4</v>
      </c>
      <c r="K209" s="27" t="s">
        <v>48</v>
      </c>
      <c r="L209" s="31"/>
    </row>
    <row r="210" spans="1:12" customFormat="1" ht="15.8" customHeight="1" x14ac:dyDescent="0.25">
      <c r="A210" s="26" t="s">
        <v>40</v>
      </c>
      <c r="B210" s="26" t="s">
        <v>13</v>
      </c>
      <c r="C210" s="39"/>
      <c r="D210" s="29">
        <v>46245</v>
      </c>
      <c r="E210" s="26" t="s">
        <v>61</v>
      </c>
      <c r="F210" s="26" t="s">
        <v>502</v>
      </c>
      <c r="G210" s="28"/>
      <c r="H210" s="26" t="s">
        <v>503</v>
      </c>
      <c r="I210" s="28"/>
      <c r="J210" s="26">
        <v>3</v>
      </c>
      <c r="K210" s="26" t="s">
        <v>52</v>
      </c>
      <c r="L210" s="28"/>
    </row>
    <row r="211" spans="1:12" customFormat="1" ht="15.8" customHeight="1" x14ac:dyDescent="0.25">
      <c r="A211" s="27" t="s">
        <v>40</v>
      </c>
      <c r="B211" s="27" t="s">
        <v>13</v>
      </c>
      <c r="C211" s="39"/>
      <c r="D211" s="30">
        <v>46245</v>
      </c>
      <c r="E211" s="27" t="s">
        <v>470</v>
      </c>
      <c r="F211" s="27" t="s">
        <v>306</v>
      </c>
      <c r="G211" s="31"/>
      <c r="H211" s="27" t="s">
        <v>504</v>
      </c>
      <c r="I211" s="31"/>
      <c r="J211" s="27">
        <v>4</v>
      </c>
      <c r="K211" s="27" t="s">
        <v>48</v>
      </c>
      <c r="L211" s="31"/>
    </row>
    <row r="212" spans="1:12" customFormat="1" ht="15.8" customHeight="1" x14ac:dyDescent="0.25">
      <c r="A212" s="26" t="s">
        <v>40</v>
      </c>
      <c r="B212" s="26" t="s">
        <v>13</v>
      </c>
      <c r="C212" s="39"/>
      <c r="D212" s="29">
        <v>46245</v>
      </c>
      <c r="E212" s="26" t="s">
        <v>61</v>
      </c>
      <c r="F212" s="26" t="s">
        <v>505</v>
      </c>
      <c r="G212" s="28"/>
      <c r="H212" s="26" t="s">
        <v>506</v>
      </c>
      <c r="I212" s="28"/>
      <c r="J212" s="26">
        <v>3</v>
      </c>
      <c r="K212" s="26" t="s">
        <v>52</v>
      </c>
      <c r="L212" s="28"/>
    </row>
    <row r="213" spans="1:12" customFormat="1" ht="15.8" customHeight="1" x14ac:dyDescent="0.25">
      <c r="A213" s="27" t="s">
        <v>40</v>
      </c>
      <c r="B213" s="27" t="s">
        <v>13</v>
      </c>
      <c r="C213" s="39"/>
      <c r="D213" s="30">
        <v>46245</v>
      </c>
      <c r="E213" s="27" t="s">
        <v>470</v>
      </c>
      <c r="F213" s="27" t="s">
        <v>507</v>
      </c>
      <c r="G213" s="31"/>
      <c r="H213" s="27" t="s">
        <v>508</v>
      </c>
      <c r="I213" s="31"/>
      <c r="J213" s="27">
        <v>3</v>
      </c>
      <c r="K213" s="27" t="s">
        <v>52</v>
      </c>
      <c r="L213" s="31"/>
    </row>
    <row r="214" spans="1:12" customFormat="1" ht="15.8" customHeight="1" x14ac:dyDescent="0.25">
      <c r="A214" s="26" t="s">
        <v>40</v>
      </c>
      <c r="B214" s="26" t="s">
        <v>13</v>
      </c>
      <c r="C214" s="39"/>
      <c r="D214" s="29">
        <v>46245</v>
      </c>
      <c r="E214" s="26" t="s">
        <v>61</v>
      </c>
      <c r="F214" s="26" t="s">
        <v>509</v>
      </c>
      <c r="G214" s="28"/>
      <c r="H214" s="26" t="s">
        <v>510</v>
      </c>
      <c r="I214" s="28"/>
      <c r="J214" s="26">
        <v>3</v>
      </c>
      <c r="K214" s="26" t="s">
        <v>52</v>
      </c>
      <c r="L214" s="28"/>
    </row>
    <row r="215" spans="1:12" customFormat="1" ht="15.8" customHeight="1" x14ac:dyDescent="0.25">
      <c r="A215" s="27" t="s">
        <v>40</v>
      </c>
      <c r="B215" s="27" t="s">
        <v>13</v>
      </c>
      <c r="C215" s="39"/>
      <c r="D215" s="30">
        <v>46245</v>
      </c>
      <c r="E215" s="27" t="s">
        <v>61</v>
      </c>
      <c r="F215" s="27" t="s">
        <v>511</v>
      </c>
      <c r="G215" s="31"/>
      <c r="H215" s="27" t="s">
        <v>512</v>
      </c>
      <c r="I215" s="31"/>
      <c r="J215" s="27">
        <v>3</v>
      </c>
      <c r="K215" s="27" t="s">
        <v>52</v>
      </c>
      <c r="L215" s="31"/>
    </row>
    <row r="216" spans="1:12" customFormat="1" ht="15.8" customHeight="1" x14ac:dyDescent="0.25">
      <c r="A216" s="26" t="s">
        <v>40</v>
      </c>
      <c r="B216" s="26" t="s">
        <v>13</v>
      </c>
      <c r="C216" s="39"/>
      <c r="D216" s="29">
        <v>46245</v>
      </c>
      <c r="E216" s="26" t="s">
        <v>470</v>
      </c>
      <c r="F216" s="26" t="s">
        <v>513</v>
      </c>
      <c r="G216" s="28"/>
      <c r="H216" s="26" t="s">
        <v>514</v>
      </c>
      <c r="I216" s="28"/>
      <c r="J216" s="26">
        <v>3</v>
      </c>
      <c r="K216" s="26" t="s">
        <v>52</v>
      </c>
      <c r="L216" s="28"/>
    </row>
    <row r="217" spans="1:12" customFormat="1" ht="15.8" customHeight="1" x14ac:dyDescent="0.25">
      <c r="A217" s="27" t="s">
        <v>40</v>
      </c>
      <c r="B217" s="27" t="s">
        <v>13</v>
      </c>
      <c r="C217" s="39"/>
      <c r="D217" s="30">
        <v>46245</v>
      </c>
      <c r="E217" s="27" t="s">
        <v>342</v>
      </c>
      <c r="F217" s="27" t="s">
        <v>515</v>
      </c>
      <c r="G217" s="31"/>
      <c r="H217" s="27" t="s">
        <v>516</v>
      </c>
      <c r="I217" s="31"/>
      <c r="J217" s="27">
        <v>3</v>
      </c>
      <c r="K217" s="27" t="s">
        <v>52</v>
      </c>
      <c r="L217" s="31"/>
    </row>
    <row r="218" spans="1:12" customFormat="1" ht="15.8" customHeight="1" x14ac:dyDescent="0.25">
      <c r="A218" s="26" t="s">
        <v>40</v>
      </c>
      <c r="B218" s="26" t="s">
        <v>13</v>
      </c>
      <c r="C218" s="39"/>
      <c r="D218" s="29">
        <v>46245</v>
      </c>
      <c r="E218" s="26" t="s">
        <v>342</v>
      </c>
      <c r="F218" s="26" t="s">
        <v>517</v>
      </c>
      <c r="G218" s="28"/>
      <c r="H218" s="26" t="s">
        <v>518</v>
      </c>
      <c r="I218" s="28"/>
      <c r="J218" s="26">
        <v>4</v>
      </c>
      <c r="K218" s="26" t="s">
        <v>48</v>
      </c>
      <c r="L218" s="28"/>
    </row>
    <row r="219" spans="1:12" customFormat="1" ht="15.8" customHeight="1" x14ac:dyDescent="0.25">
      <c r="A219" s="27" t="s">
        <v>40</v>
      </c>
      <c r="B219" s="27" t="s">
        <v>13</v>
      </c>
      <c r="C219" s="39"/>
      <c r="D219" s="30">
        <v>46245</v>
      </c>
      <c r="E219" s="27" t="s">
        <v>61</v>
      </c>
      <c r="F219" s="27" t="s">
        <v>519</v>
      </c>
      <c r="G219" s="31"/>
      <c r="H219" s="27" t="s">
        <v>520</v>
      </c>
      <c r="I219" s="31"/>
      <c r="J219" s="27">
        <v>3</v>
      </c>
      <c r="K219" s="27" t="s">
        <v>52</v>
      </c>
      <c r="L219" s="31"/>
    </row>
    <row r="220" spans="1:12" customFormat="1" ht="15.8" customHeight="1" x14ac:dyDescent="0.25">
      <c r="A220" s="26" t="s">
        <v>40</v>
      </c>
      <c r="B220" s="26" t="s">
        <v>13</v>
      </c>
      <c r="C220" s="39"/>
      <c r="D220" s="29">
        <v>46245</v>
      </c>
      <c r="E220" s="26" t="s">
        <v>470</v>
      </c>
      <c r="F220" s="26" t="s">
        <v>232</v>
      </c>
      <c r="G220" s="28"/>
      <c r="H220" s="26" t="s">
        <v>521</v>
      </c>
      <c r="I220" s="28"/>
      <c r="J220" s="26">
        <v>4</v>
      </c>
      <c r="K220" s="26" t="s">
        <v>48</v>
      </c>
      <c r="L220" s="28"/>
    </row>
    <row r="221" spans="1:12" customFormat="1" ht="15.8" customHeight="1" x14ac:dyDescent="0.25">
      <c r="A221" s="27" t="s">
        <v>40</v>
      </c>
      <c r="B221" s="27" t="s">
        <v>13</v>
      </c>
      <c r="C221" s="39"/>
      <c r="D221" s="30">
        <v>46245</v>
      </c>
      <c r="E221" s="27" t="s">
        <v>470</v>
      </c>
      <c r="F221" s="27" t="s">
        <v>522</v>
      </c>
      <c r="G221" s="31"/>
      <c r="H221" s="27" t="s">
        <v>523</v>
      </c>
      <c r="I221" s="31"/>
      <c r="J221" s="27">
        <v>4</v>
      </c>
      <c r="K221" s="27" t="s">
        <v>48</v>
      </c>
      <c r="L221" s="31"/>
    </row>
    <row r="222" spans="1:12" customFormat="1" ht="15.8" customHeight="1" x14ac:dyDescent="0.25">
      <c r="A222" s="26" t="s">
        <v>40</v>
      </c>
      <c r="B222" s="26" t="s">
        <v>13</v>
      </c>
      <c r="C222" s="39"/>
      <c r="D222" s="29">
        <v>46245</v>
      </c>
      <c r="E222" s="26" t="s">
        <v>61</v>
      </c>
      <c r="F222" s="26" t="s">
        <v>524</v>
      </c>
      <c r="G222" s="28"/>
      <c r="H222" s="26" t="s">
        <v>525</v>
      </c>
      <c r="I222" s="28"/>
      <c r="J222" s="26">
        <v>3</v>
      </c>
      <c r="K222" s="26" t="s">
        <v>52</v>
      </c>
      <c r="L222" s="28"/>
    </row>
    <row r="223" spans="1:12" customFormat="1" ht="15.8" customHeight="1" x14ac:dyDescent="0.25">
      <c r="A223" s="27" t="s">
        <v>40</v>
      </c>
      <c r="B223" s="27" t="s">
        <v>13</v>
      </c>
      <c r="C223" s="39"/>
      <c r="D223" s="30">
        <v>46245</v>
      </c>
      <c r="E223" s="27" t="s">
        <v>61</v>
      </c>
      <c r="F223" s="27" t="s">
        <v>526</v>
      </c>
      <c r="G223" s="31"/>
      <c r="H223" s="27" t="s">
        <v>527</v>
      </c>
      <c r="I223" s="31"/>
      <c r="J223" s="27">
        <v>4</v>
      </c>
      <c r="K223" s="27" t="s">
        <v>48</v>
      </c>
      <c r="L223" s="31"/>
    </row>
    <row r="224" spans="1:12" customFormat="1" ht="15.8" customHeight="1" x14ac:dyDescent="0.25">
      <c r="A224" s="26" t="s">
        <v>40</v>
      </c>
      <c r="B224" s="26" t="s">
        <v>13</v>
      </c>
      <c r="C224" s="39"/>
      <c r="D224" s="29">
        <v>46245</v>
      </c>
      <c r="E224" s="26" t="s">
        <v>470</v>
      </c>
      <c r="F224" s="26" t="s">
        <v>528</v>
      </c>
      <c r="G224" s="28"/>
      <c r="H224" s="26" t="s">
        <v>514</v>
      </c>
      <c r="I224" s="28"/>
      <c r="J224" s="26">
        <v>3</v>
      </c>
      <c r="K224" s="26" t="s">
        <v>52</v>
      </c>
      <c r="L224" s="28"/>
    </row>
    <row r="225" spans="1:12" customFormat="1" ht="15.8" customHeight="1" x14ac:dyDescent="0.25">
      <c r="A225" s="27" t="s">
        <v>40</v>
      </c>
      <c r="B225" s="27" t="s">
        <v>13</v>
      </c>
      <c r="C225" s="39"/>
      <c r="D225" s="30">
        <v>46245</v>
      </c>
      <c r="E225" s="27" t="s">
        <v>470</v>
      </c>
      <c r="F225" s="27" t="s">
        <v>529</v>
      </c>
      <c r="G225" s="31"/>
      <c r="H225" s="27" t="s">
        <v>530</v>
      </c>
      <c r="I225" s="31"/>
      <c r="J225" s="27">
        <v>3</v>
      </c>
      <c r="K225" s="27" t="s">
        <v>52</v>
      </c>
      <c r="L225" s="31"/>
    </row>
    <row r="226" spans="1:12" customFormat="1" ht="15.8" customHeight="1" x14ac:dyDescent="0.25">
      <c r="A226" s="26" t="s">
        <v>40</v>
      </c>
      <c r="B226" s="26" t="s">
        <v>13</v>
      </c>
      <c r="C226" s="39"/>
      <c r="D226" s="29">
        <v>46245</v>
      </c>
      <c r="E226" s="26" t="s">
        <v>61</v>
      </c>
      <c r="F226" s="26" t="s">
        <v>531</v>
      </c>
      <c r="G226" s="28"/>
      <c r="H226" s="26" t="s">
        <v>532</v>
      </c>
      <c r="I226" s="28"/>
      <c r="J226" s="26">
        <v>3</v>
      </c>
      <c r="K226" s="26" t="s">
        <v>56</v>
      </c>
      <c r="L226" s="28"/>
    </row>
    <row r="227" spans="1:12" customFormat="1" ht="15.8" customHeight="1" x14ac:dyDescent="0.25">
      <c r="A227" s="27" t="s">
        <v>40</v>
      </c>
      <c r="B227" s="27" t="s">
        <v>13</v>
      </c>
      <c r="C227" s="39"/>
      <c r="D227" s="30">
        <v>46245</v>
      </c>
      <c r="E227" s="27" t="s">
        <v>470</v>
      </c>
      <c r="F227" s="27" t="s">
        <v>533</v>
      </c>
      <c r="G227" s="31"/>
      <c r="H227" s="27" t="s">
        <v>534</v>
      </c>
      <c r="I227" s="31"/>
      <c r="J227" s="27">
        <v>3</v>
      </c>
      <c r="K227" s="27" t="s">
        <v>52</v>
      </c>
      <c r="L227" s="31"/>
    </row>
    <row r="228" spans="1:12" customFormat="1" ht="15.8" customHeight="1" x14ac:dyDescent="0.25">
      <c r="A228" s="26" t="s">
        <v>40</v>
      </c>
      <c r="B228" s="26" t="s">
        <v>13</v>
      </c>
      <c r="C228" s="39"/>
      <c r="D228" s="29">
        <v>46245</v>
      </c>
      <c r="E228" s="26" t="s">
        <v>61</v>
      </c>
      <c r="F228" s="26" t="s">
        <v>535</v>
      </c>
      <c r="G228" s="28"/>
      <c r="H228" s="26" t="s">
        <v>441</v>
      </c>
      <c r="I228" s="28"/>
      <c r="J228" s="26">
        <v>3</v>
      </c>
      <c r="K228" s="26" t="s">
        <v>56</v>
      </c>
      <c r="L228" s="28"/>
    </row>
    <row r="229" spans="1:12" customFormat="1" ht="15.8" customHeight="1" x14ac:dyDescent="0.25">
      <c r="A229" s="27" t="s">
        <v>40</v>
      </c>
      <c r="B229" s="27" t="s">
        <v>13</v>
      </c>
      <c r="C229" s="39"/>
      <c r="D229" s="30">
        <v>46245</v>
      </c>
      <c r="E229" s="27" t="s">
        <v>470</v>
      </c>
      <c r="F229" s="27" t="s">
        <v>170</v>
      </c>
      <c r="G229" s="31"/>
      <c r="H229" s="27" t="s">
        <v>536</v>
      </c>
      <c r="I229" s="31"/>
      <c r="J229" s="27">
        <v>3</v>
      </c>
      <c r="K229" s="27" t="s">
        <v>56</v>
      </c>
      <c r="L229" s="31"/>
    </row>
    <row r="230" spans="1:12" customFormat="1" ht="15.8" customHeight="1" x14ac:dyDescent="0.25">
      <c r="A230" s="26" t="s">
        <v>40</v>
      </c>
      <c r="B230" s="26" t="s">
        <v>13</v>
      </c>
      <c r="C230" s="39"/>
      <c r="D230" s="29">
        <v>46245</v>
      </c>
      <c r="E230" s="26" t="s">
        <v>61</v>
      </c>
      <c r="F230" s="26" t="s">
        <v>537</v>
      </c>
      <c r="G230" s="26" t="s">
        <v>68</v>
      </c>
      <c r="H230" s="26" t="s">
        <v>538</v>
      </c>
      <c r="I230" s="28"/>
      <c r="J230" s="26">
        <v>3</v>
      </c>
      <c r="K230" s="26" t="s">
        <v>52</v>
      </c>
      <c r="L230" s="28"/>
    </row>
    <row r="231" spans="1:12" customFormat="1" ht="15.8" customHeight="1" x14ac:dyDescent="0.25">
      <c r="A231" s="27" t="s">
        <v>40</v>
      </c>
      <c r="B231" s="27" t="s">
        <v>13</v>
      </c>
      <c r="C231" s="39"/>
      <c r="D231" s="30">
        <v>46245</v>
      </c>
      <c r="E231" s="27" t="s">
        <v>61</v>
      </c>
      <c r="F231" s="27" t="s">
        <v>539</v>
      </c>
      <c r="G231" s="31"/>
      <c r="H231" s="27" t="s">
        <v>540</v>
      </c>
      <c r="I231" s="31"/>
      <c r="J231" s="27">
        <v>3</v>
      </c>
      <c r="K231" s="27" t="s">
        <v>56</v>
      </c>
      <c r="L231" s="31"/>
    </row>
    <row r="232" spans="1:12" customFormat="1" ht="15.8" customHeight="1" x14ac:dyDescent="0.25">
      <c r="A232" s="26" t="s">
        <v>40</v>
      </c>
      <c r="B232" s="26" t="s">
        <v>13</v>
      </c>
      <c r="C232" s="39"/>
      <c r="D232" s="29">
        <v>46245</v>
      </c>
      <c r="E232" s="26" t="s">
        <v>67</v>
      </c>
      <c r="F232" s="26" t="s">
        <v>541</v>
      </c>
      <c r="G232" s="26" t="s">
        <v>68</v>
      </c>
      <c r="H232" s="26" t="s">
        <v>542</v>
      </c>
      <c r="I232" s="28"/>
      <c r="J232" s="26">
        <v>3</v>
      </c>
      <c r="K232" s="26" t="s">
        <v>52</v>
      </c>
      <c r="L232" s="28"/>
    </row>
    <row r="233" spans="1:12" customFormat="1" ht="15.8" customHeight="1" x14ac:dyDescent="0.25">
      <c r="A233" s="27" t="s">
        <v>40</v>
      </c>
      <c r="B233" s="27" t="s">
        <v>13</v>
      </c>
      <c r="C233" s="39"/>
      <c r="D233" s="30">
        <v>46245</v>
      </c>
      <c r="E233" s="27" t="s">
        <v>470</v>
      </c>
      <c r="F233" s="27" t="s">
        <v>173</v>
      </c>
      <c r="G233" s="31"/>
      <c r="H233" s="27" t="s">
        <v>540</v>
      </c>
      <c r="I233" s="31"/>
      <c r="J233" s="27">
        <v>3</v>
      </c>
      <c r="K233" s="27" t="s">
        <v>56</v>
      </c>
      <c r="L233" s="31"/>
    </row>
    <row r="234" spans="1:12" customFormat="1" ht="15.8" customHeight="1" x14ac:dyDescent="0.25">
      <c r="A234" s="26" t="s">
        <v>40</v>
      </c>
      <c r="B234" s="26" t="s">
        <v>13</v>
      </c>
      <c r="C234" s="39"/>
      <c r="D234" s="29">
        <v>46245</v>
      </c>
      <c r="E234" s="26" t="s">
        <v>470</v>
      </c>
      <c r="F234" s="26" t="s">
        <v>543</v>
      </c>
      <c r="G234" s="26" t="s">
        <v>68</v>
      </c>
      <c r="H234" s="26" t="s">
        <v>544</v>
      </c>
      <c r="I234" s="28"/>
      <c r="J234" s="26">
        <v>3</v>
      </c>
      <c r="K234" s="26" t="s">
        <v>52</v>
      </c>
      <c r="L234" s="28"/>
    </row>
    <row r="235" spans="1:12" customFormat="1" ht="15.8" customHeight="1" x14ac:dyDescent="0.25">
      <c r="A235" s="27" t="s">
        <v>40</v>
      </c>
      <c r="B235" s="27" t="s">
        <v>13</v>
      </c>
      <c r="C235" s="39"/>
      <c r="D235" s="30">
        <v>46245</v>
      </c>
      <c r="E235" s="27" t="s">
        <v>470</v>
      </c>
      <c r="F235" s="27" t="s">
        <v>545</v>
      </c>
      <c r="G235" s="31"/>
      <c r="H235" s="27" t="s">
        <v>546</v>
      </c>
      <c r="I235" s="31"/>
      <c r="J235" s="27">
        <v>3</v>
      </c>
      <c r="K235" s="27" t="s">
        <v>56</v>
      </c>
      <c r="L235" s="31"/>
    </row>
    <row r="236" spans="1:12" customFormat="1" ht="15.8" customHeight="1" x14ac:dyDescent="0.25">
      <c r="A236" s="26" t="s">
        <v>40</v>
      </c>
      <c r="B236" s="26" t="s">
        <v>13</v>
      </c>
      <c r="C236" s="39"/>
      <c r="D236" s="29">
        <v>46245</v>
      </c>
      <c r="E236" s="26" t="s">
        <v>470</v>
      </c>
      <c r="F236" s="26" t="s">
        <v>547</v>
      </c>
      <c r="G236" s="26" t="s">
        <v>68</v>
      </c>
      <c r="H236" s="26" t="s">
        <v>548</v>
      </c>
      <c r="I236" s="28"/>
      <c r="J236" s="26">
        <v>3</v>
      </c>
      <c r="K236" s="26" t="s">
        <v>52</v>
      </c>
      <c r="L236" s="28"/>
    </row>
    <row r="237" spans="1:12" customFormat="1" ht="15.8" customHeight="1" x14ac:dyDescent="0.25">
      <c r="A237" s="27" t="s">
        <v>40</v>
      </c>
      <c r="B237" s="27" t="s">
        <v>13</v>
      </c>
      <c r="C237" s="39"/>
      <c r="D237" s="30">
        <v>46245</v>
      </c>
      <c r="E237" s="27" t="s">
        <v>396</v>
      </c>
      <c r="F237" s="27" t="s">
        <v>549</v>
      </c>
      <c r="G237" s="31"/>
      <c r="H237" s="27" t="s">
        <v>550</v>
      </c>
      <c r="I237" s="31"/>
      <c r="J237" s="27">
        <v>3</v>
      </c>
      <c r="K237" s="27" t="s">
        <v>49</v>
      </c>
      <c r="L237" s="31"/>
    </row>
    <row r="238" spans="1:12" customFormat="1" ht="15.8" customHeight="1" x14ac:dyDescent="0.25">
      <c r="A238" s="26" t="s">
        <v>40</v>
      </c>
      <c r="B238" s="26" t="s">
        <v>13</v>
      </c>
      <c r="C238" s="39"/>
      <c r="D238" s="29">
        <v>46245</v>
      </c>
      <c r="E238" s="26" t="s">
        <v>388</v>
      </c>
      <c r="F238" s="26" t="s">
        <v>178</v>
      </c>
      <c r="G238" s="28"/>
      <c r="H238" s="26" t="s">
        <v>550</v>
      </c>
      <c r="I238" s="28"/>
      <c r="J238" s="26">
        <v>3</v>
      </c>
      <c r="K238" s="26" t="s">
        <v>49</v>
      </c>
      <c r="L238" s="28"/>
    </row>
    <row r="239" spans="1:12" customFormat="1" ht="15.8" customHeight="1" x14ac:dyDescent="0.25">
      <c r="A239" s="27" t="s">
        <v>40</v>
      </c>
      <c r="B239" s="27" t="s">
        <v>13</v>
      </c>
      <c r="C239" s="39"/>
      <c r="D239" s="30">
        <v>46245</v>
      </c>
      <c r="E239" s="27" t="s">
        <v>388</v>
      </c>
      <c r="F239" s="27" t="s">
        <v>551</v>
      </c>
      <c r="G239" s="31"/>
      <c r="H239" s="27" t="s">
        <v>550</v>
      </c>
      <c r="I239" s="31"/>
      <c r="J239" s="27">
        <v>3</v>
      </c>
      <c r="K239" s="27" t="s">
        <v>56</v>
      </c>
      <c r="L239" s="31"/>
    </row>
    <row r="240" spans="1:12" customFormat="1" ht="15.8" customHeight="1" x14ac:dyDescent="0.25">
      <c r="A240" s="26" t="s">
        <v>40</v>
      </c>
      <c r="B240" s="26" t="s">
        <v>13</v>
      </c>
      <c r="C240" s="39"/>
      <c r="D240" s="29">
        <v>46245</v>
      </c>
      <c r="E240" s="26" t="s">
        <v>342</v>
      </c>
      <c r="F240" s="26" t="s">
        <v>552</v>
      </c>
      <c r="G240" s="26" t="s">
        <v>68</v>
      </c>
      <c r="H240" s="26" t="s">
        <v>553</v>
      </c>
      <c r="I240" s="28"/>
      <c r="J240" s="26">
        <v>3</v>
      </c>
      <c r="K240" s="26" t="s">
        <v>56</v>
      </c>
      <c r="L240" s="28"/>
    </row>
    <row r="241" spans="1:12" customFormat="1" ht="15.8" customHeight="1" x14ac:dyDescent="0.25">
      <c r="A241" s="27" t="s">
        <v>40</v>
      </c>
      <c r="B241" s="27" t="s">
        <v>13</v>
      </c>
      <c r="C241" s="39"/>
      <c r="D241" s="30">
        <v>46245</v>
      </c>
      <c r="E241" s="27" t="s">
        <v>61</v>
      </c>
      <c r="F241" s="27" t="s">
        <v>182</v>
      </c>
      <c r="G241" s="27" t="s">
        <v>68</v>
      </c>
      <c r="H241" s="27" t="s">
        <v>554</v>
      </c>
      <c r="I241" s="31"/>
      <c r="J241" s="27">
        <v>3</v>
      </c>
      <c r="K241" s="27" t="s">
        <v>56</v>
      </c>
      <c r="L241" s="31"/>
    </row>
    <row r="242" spans="1:12" customFormat="1" ht="15.8" customHeight="1" x14ac:dyDescent="0.25">
      <c r="A242" s="26" t="s">
        <v>40</v>
      </c>
      <c r="B242" s="26" t="s">
        <v>13</v>
      </c>
      <c r="C242" s="39"/>
      <c r="D242" s="29">
        <v>46245</v>
      </c>
      <c r="E242" s="26" t="s">
        <v>396</v>
      </c>
      <c r="F242" s="26" t="s">
        <v>555</v>
      </c>
      <c r="G242" s="26" t="s">
        <v>68</v>
      </c>
      <c r="H242" s="26" t="s">
        <v>556</v>
      </c>
      <c r="I242" s="28"/>
      <c r="J242" s="26">
        <v>3</v>
      </c>
      <c r="K242" s="26" t="s">
        <v>56</v>
      </c>
      <c r="L242" s="28"/>
    </row>
    <row r="243" spans="1:12" customFormat="1" ht="15.8" customHeight="1" x14ac:dyDescent="0.25">
      <c r="A243" s="27" t="s">
        <v>40</v>
      </c>
      <c r="B243" s="27" t="s">
        <v>13</v>
      </c>
      <c r="C243" s="39"/>
      <c r="D243" s="30">
        <v>46245</v>
      </c>
      <c r="E243" s="27" t="s">
        <v>388</v>
      </c>
      <c r="F243" s="27" t="s">
        <v>557</v>
      </c>
      <c r="G243" s="31"/>
      <c r="H243" s="27" t="s">
        <v>558</v>
      </c>
      <c r="I243" s="31"/>
      <c r="J243" s="27">
        <v>3</v>
      </c>
      <c r="K243" s="27" t="s">
        <v>56</v>
      </c>
      <c r="L243" s="31"/>
    </row>
    <row r="244" spans="1:12" customFormat="1" ht="15.8" customHeight="1" x14ac:dyDescent="0.25">
      <c r="A244" s="26" t="s">
        <v>40</v>
      </c>
      <c r="B244" s="26" t="s">
        <v>13</v>
      </c>
      <c r="C244" s="39"/>
      <c r="D244" s="29">
        <v>46245</v>
      </c>
      <c r="E244" s="26" t="s">
        <v>342</v>
      </c>
      <c r="F244" s="26" t="s">
        <v>559</v>
      </c>
      <c r="G244" s="28"/>
      <c r="H244" s="26" t="s">
        <v>560</v>
      </c>
      <c r="I244" s="28"/>
      <c r="J244" s="26">
        <v>3</v>
      </c>
      <c r="K244" s="26" t="s">
        <v>56</v>
      </c>
      <c r="L244" s="28"/>
    </row>
    <row r="245" spans="1:12" customFormat="1" ht="15.8" customHeight="1" x14ac:dyDescent="0.25">
      <c r="A245" s="27" t="s">
        <v>40</v>
      </c>
      <c r="B245" s="27" t="s">
        <v>13</v>
      </c>
      <c r="C245" s="39"/>
      <c r="D245" s="30">
        <v>46245</v>
      </c>
      <c r="E245" s="27" t="s">
        <v>388</v>
      </c>
      <c r="F245" s="27" t="s">
        <v>561</v>
      </c>
      <c r="G245" s="31"/>
      <c r="H245" s="27" t="s">
        <v>562</v>
      </c>
      <c r="I245" s="31"/>
      <c r="J245" s="27">
        <v>3</v>
      </c>
      <c r="K245" s="27" t="s">
        <v>56</v>
      </c>
      <c r="L245" s="31"/>
    </row>
    <row r="246" spans="1:12" customFormat="1" ht="15.8" customHeight="1" x14ac:dyDescent="0.25">
      <c r="A246" s="26" t="s">
        <v>40</v>
      </c>
      <c r="B246" s="26" t="s">
        <v>13</v>
      </c>
      <c r="C246" s="39"/>
      <c r="D246" s="29">
        <v>46245</v>
      </c>
      <c r="E246" s="26" t="s">
        <v>470</v>
      </c>
      <c r="F246" s="26" t="s">
        <v>561</v>
      </c>
      <c r="G246" s="28"/>
      <c r="H246" s="26" t="s">
        <v>563</v>
      </c>
      <c r="I246" s="28"/>
      <c r="J246" s="26">
        <v>3</v>
      </c>
      <c r="K246" s="26" t="s">
        <v>56</v>
      </c>
      <c r="L246" s="28"/>
    </row>
    <row r="247" spans="1:12" customFormat="1" ht="15.8" customHeight="1" x14ac:dyDescent="0.25">
      <c r="A247" s="27" t="s">
        <v>40</v>
      </c>
      <c r="B247" s="27" t="s">
        <v>13</v>
      </c>
      <c r="C247" s="39"/>
      <c r="D247" s="30">
        <v>46245</v>
      </c>
      <c r="E247" s="27" t="s">
        <v>61</v>
      </c>
      <c r="F247" s="27" t="s">
        <v>564</v>
      </c>
      <c r="G247" s="31"/>
      <c r="H247" s="27" t="s">
        <v>565</v>
      </c>
      <c r="I247" s="31"/>
      <c r="J247" s="27">
        <v>3</v>
      </c>
      <c r="K247" s="27" t="s">
        <v>56</v>
      </c>
      <c r="L247" s="31"/>
    </row>
    <row r="248" spans="1:12" customFormat="1" ht="15.8" customHeight="1" x14ac:dyDescent="0.25">
      <c r="A248" s="26" t="s">
        <v>40</v>
      </c>
      <c r="B248" s="26" t="s">
        <v>13</v>
      </c>
      <c r="C248" s="39"/>
      <c r="D248" s="29">
        <v>46245</v>
      </c>
      <c r="E248" s="26" t="s">
        <v>388</v>
      </c>
      <c r="F248" s="26" t="s">
        <v>566</v>
      </c>
      <c r="G248" s="28"/>
      <c r="H248" s="26" t="s">
        <v>567</v>
      </c>
      <c r="I248" s="28"/>
      <c r="J248" s="26">
        <v>3</v>
      </c>
      <c r="K248" s="26" t="s">
        <v>56</v>
      </c>
      <c r="L248" s="28"/>
    </row>
    <row r="249" spans="1:12" customFormat="1" ht="15.8" customHeight="1" x14ac:dyDescent="0.25">
      <c r="A249" s="27" t="s">
        <v>40</v>
      </c>
      <c r="B249" s="27" t="s">
        <v>13</v>
      </c>
      <c r="C249" s="39"/>
      <c r="D249" s="30">
        <v>46245</v>
      </c>
      <c r="E249" s="27" t="s">
        <v>61</v>
      </c>
      <c r="F249" s="27" t="s">
        <v>568</v>
      </c>
      <c r="G249" s="31"/>
      <c r="H249" s="27" t="s">
        <v>556</v>
      </c>
      <c r="I249" s="31"/>
      <c r="J249" s="27">
        <v>3</v>
      </c>
      <c r="K249" s="27" t="s">
        <v>56</v>
      </c>
      <c r="L249" s="31"/>
    </row>
    <row r="250" spans="1:12" customFormat="1" ht="15.8" customHeight="1" x14ac:dyDescent="0.25">
      <c r="A250" s="26" t="s">
        <v>40</v>
      </c>
      <c r="B250" s="26" t="s">
        <v>13</v>
      </c>
      <c r="C250" s="39"/>
      <c r="D250" s="29">
        <v>46245</v>
      </c>
      <c r="E250" s="26" t="s">
        <v>470</v>
      </c>
      <c r="F250" s="26" t="s">
        <v>511</v>
      </c>
      <c r="G250" s="28"/>
      <c r="H250" s="26" t="s">
        <v>556</v>
      </c>
      <c r="I250" s="28"/>
      <c r="J250" s="26">
        <v>3</v>
      </c>
      <c r="K250" s="26" t="s">
        <v>56</v>
      </c>
      <c r="L250" s="28"/>
    </row>
    <row r="251" spans="1:12" customFormat="1" ht="15.8" customHeight="1" x14ac:dyDescent="0.25">
      <c r="A251" s="27" t="s">
        <v>40</v>
      </c>
      <c r="B251" s="27" t="s">
        <v>13</v>
      </c>
      <c r="C251" s="39"/>
      <c r="D251" s="30">
        <v>46245</v>
      </c>
      <c r="E251" s="27" t="s">
        <v>470</v>
      </c>
      <c r="F251" s="27" t="s">
        <v>569</v>
      </c>
      <c r="G251" s="31"/>
      <c r="H251" s="27" t="s">
        <v>570</v>
      </c>
      <c r="I251" s="31"/>
      <c r="J251" s="27">
        <v>3</v>
      </c>
      <c r="K251" s="27" t="s">
        <v>56</v>
      </c>
      <c r="L251" s="31"/>
    </row>
    <row r="252" spans="1:12" customFormat="1" ht="15.8" customHeight="1" x14ac:dyDescent="0.25">
      <c r="A252" s="26" t="s">
        <v>40</v>
      </c>
      <c r="B252" s="26" t="s">
        <v>13</v>
      </c>
      <c r="C252" s="39"/>
      <c r="D252" s="29">
        <v>46245</v>
      </c>
      <c r="E252" s="26" t="s">
        <v>571</v>
      </c>
      <c r="F252" s="26" t="s">
        <v>513</v>
      </c>
      <c r="G252" s="28"/>
      <c r="H252" s="26" t="s">
        <v>556</v>
      </c>
      <c r="I252" s="28"/>
      <c r="J252" s="26">
        <v>3</v>
      </c>
      <c r="K252" s="26" t="s">
        <v>56</v>
      </c>
      <c r="L252" s="28"/>
    </row>
    <row r="253" spans="1:12" customFormat="1" ht="15.8" customHeight="1" x14ac:dyDescent="0.25">
      <c r="A253" s="27" t="s">
        <v>40</v>
      </c>
      <c r="B253" s="27" t="s">
        <v>13</v>
      </c>
      <c r="C253" s="39"/>
      <c r="D253" s="30">
        <v>46245</v>
      </c>
      <c r="E253" s="27" t="s">
        <v>470</v>
      </c>
      <c r="F253" s="27" t="s">
        <v>515</v>
      </c>
      <c r="G253" s="31"/>
      <c r="H253" s="27" t="s">
        <v>536</v>
      </c>
      <c r="I253" s="31"/>
      <c r="J253" s="27">
        <v>3</v>
      </c>
      <c r="K253" s="27" t="s">
        <v>56</v>
      </c>
      <c r="L253" s="31"/>
    </row>
    <row r="254" spans="1:12" customFormat="1" ht="15.8" customHeight="1" x14ac:dyDescent="0.25">
      <c r="A254" s="26" t="s">
        <v>40</v>
      </c>
      <c r="B254" s="26" t="s">
        <v>13</v>
      </c>
      <c r="C254" s="39"/>
      <c r="D254" s="29">
        <v>46245</v>
      </c>
      <c r="E254" s="26" t="s">
        <v>572</v>
      </c>
      <c r="F254" s="26" t="s">
        <v>573</v>
      </c>
      <c r="G254" s="28"/>
      <c r="H254" s="26" t="s">
        <v>574</v>
      </c>
      <c r="I254" s="28"/>
      <c r="J254" s="26">
        <v>4</v>
      </c>
      <c r="K254" s="26" t="s">
        <v>49</v>
      </c>
      <c r="L254" s="28"/>
    </row>
    <row r="255" spans="1:12" customFormat="1" ht="15.8" customHeight="1" x14ac:dyDescent="0.25">
      <c r="A255" s="27" t="s">
        <v>40</v>
      </c>
      <c r="B255" s="27" t="s">
        <v>13</v>
      </c>
      <c r="C255" s="39"/>
      <c r="D255" s="30">
        <v>46245</v>
      </c>
      <c r="E255" s="27" t="s">
        <v>572</v>
      </c>
      <c r="F255" s="27" t="s">
        <v>575</v>
      </c>
      <c r="G255" s="31"/>
      <c r="H255" s="27" t="s">
        <v>576</v>
      </c>
      <c r="I255" s="31"/>
      <c r="J255" s="27">
        <v>4</v>
      </c>
      <c r="K255" s="27" t="s">
        <v>49</v>
      </c>
      <c r="L255" s="31"/>
    </row>
    <row r="256" spans="1:12" customFormat="1" ht="15.8" customHeight="1" x14ac:dyDescent="0.25">
      <c r="A256" s="26" t="s">
        <v>40</v>
      </c>
      <c r="B256" s="26" t="s">
        <v>13</v>
      </c>
      <c r="C256" s="39"/>
      <c r="D256" s="29">
        <v>46245</v>
      </c>
      <c r="E256" s="26" t="s">
        <v>470</v>
      </c>
      <c r="F256" s="26" t="s">
        <v>577</v>
      </c>
      <c r="G256" s="28"/>
      <c r="H256" s="26" t="s">
        <v>578</v>
      </c>
      <c r="I256" s="28"/>
      <c r="J256" s="26">
        <v>3</v>
      </c>
      <c r="K256" s="26" t="s">
        <v>56</v>
      </c>
      <c r="L256" s="28"/>
    </row>
    <row r="257" spans="1:12" customFormat="1" ht="15.8" customHeight="1" x14ac:dyDescent="0.25">
      <c r="A257" s="27" t="s">
        <v>40</v>
      </c>
      <c r="B257" s="27" t="s">
        <v>13</v>
      </c>
      <c r="C257" s="39"/>
      <c r="D257" s="30">
        <v>46245</v>
      </c>
      <c r="E257" s="27" t="s">
        <v>67</v>
      </c>
      <c r="F257" s="27" t="s">
        <v>579</v>
      </c>
      <c r="G257" s="31"/>
      <c r="H257" s="27" t="s">
        <v>514</v>
      </c>
      <c r="I257" s="31"/>
      <c r="J257" s="27">
        <v>4</v>
      </c>
      <c r="K257" s="27" t="s">
        <v>49</v>
      </c>
      <c r="L257" s="31"/>
    </row>
    <row r="258" spans="1:12" customFormat="1" ht="15.8" customHeight="1" x14ac:dyDescent="0.25">
      <c r="A258" s="26" t="s">
        <v>40</v>
      </c>
      <c r="B258" s="26" t="s">
        <v>13</v>
      </c>
      <c r="C258" s="39"/>
      <c r="D258" s="29">
        <v>46245</v>
      </c>
      <c r="E258" s="26" t="s">
        <v>470</v>
      </c>
      <c r="F258" s="26" t="s">
        <v>227</v>
      </c>
      <c r="G258" s="26" t="s">
        <v>580</v>
      </c>
      <c r="H258" s="26" t="s">
        <v>581</v>
      </c>
      <c r="I258" s="28"/>
      <c r="J258" s="26">
        <v>3</v>
      </c>
      <c r="K258" s="26" t="s">
        <v>48</v>
      </c>
      <c r="L258" s="28"/>
    </row>
    <row r="259" spans="1:12" customFormat="1" ht="15.8" customHeight="1" x14ac:dyDescent="0.25">
      <c r="A259" s="27" t="s">
        <v>40</v>
      </c>
      <c r="B259" s="27" t="s">
        <v>13</v>
      </c>
      <c r="C259" s="39"/>
      <c r="D259" s="30">
        <v>46245</v>
      </c>
      <c r="E259" s="27" t="s">
        <v>342</v>
      </c>
      <c r="F259" s="27" t="s">
        <v>582</v>
      </c>
      <c r="G259" s="27" t="s">
        <v>580</v>
      </c>
      <c r="H259" s="27" t="s">
        <v>583</v>
      </c>
      <c r="I259" s="31"/>
      <c r="J259" s="27">
        <v>3</v>
      </c>
      <c r="K259" s="27" t="s">
        <v>48</v>
      </c>
      <c r="L259" s="31"/>
    </row>
    <row r="260" spans="1:12" customFormat="1" ht="15.8" customHeight="1" x14ac:dyDescent="0.25">
      <c r="A260" s="26" t="s">
        <v>40</v>
      </c>
      <c r="B260" s="26" t="s">
        <v>13</v>
      </c>
      <c r="C260" s="39"/>
      <c r="D260" s="29">
        <v>46245</v>
      </c>
      <c r="E260" s="26" t="s">
        <v>61</v>
      </c>
      <c r="F260" s="26" t="s">
        <v>584</v>
      </c>
      <c r="G260" s="28"/>
      <c r="H260" s="26" t="s">
        <v>585</v>
      </c>
      <c r="I260" s="28"/>
      <c r="J260" s="26">
        <v>4</v>
      </c>
      <c r="K260" s="26" t="s">
        <v>49</v>
      </c>
      <c r="L260" s="28"/>
    </row>
    <row r="261" spans="1:12" customFormat="1" ht="15.8" customHeight="1" x14ac:dyDescent="0.25">
      <c r="A261" s="27" t="s">
        <v>40</v>
      </c>
      <c r="B261" s="27" t="s">
        <v>13</v>
      </c>
      <c r="C261" s="39"/>
      <c r="D261" s="30">
        <v>46245</v>
      </c>
      <c r="E261" s="27" t="s">
        <v>396</v>
      </c>
      <c r="F261" s="27" t="s">
        <v>586</v>
      </c>
      <c r="G261" s="27" t="s">
        <v>57</v>
      </c>
      <c r="H261" s="27" t="s">
        <v>587</v>
      </c>
      <c r="I261" s="31"/>
      <c r="J261" s="27">
        <v>3</v>
      </c>
      <c r="K261" s="27" t="s">
        <v>48</v>
      </c>
      <c r="L261" s="31"/>
    </row>
    <row r="262" spans="1:12" customFormat="1" ht="15.8" customHeight="1" x14ac:dyDescent="0.25">
      <c r="A262" s="26" t="s">
        <v>40</v>
      </c>
      <c r="B262" s="26" t="s">
        <v>13</v>
      </c>
      <c r="C262" s="39"/>
      <c r="D262" s="29">
        <v>46245</v>
      </c>
      <c r="E262" s="26" t="s">
        <v>67</v>
      </c>
      <c r="F262" s="26" t="s">
        <v>588</v>
      </c>
      <c r="G262" s="26" t="s">
        <v>103</v>
      </c>
      <c r="H262" s="26" t="s">
        <v>589</v>
      </c>
      <c r="I262" s="28"/>
      <c r="J262" s="26">
        <v>4</v>
      </c>
      <c r="K262" s="26" t="s">
        <v>49</v>
      </c>
      <c r="L262" s="26" t="s">
        <v>540</v>
      </c>
    </row>
    <row r="263" spans="1:12" customFormat="1" ht="15.8" customHeight="1" x14ac:dyDescent="0.25">
      <c r="A263" s="27" t="s">
        <v>40</v>
      </c>
      <c r="B263" s="27" t="s">
        <v>13</v>
      </c>
      <c r="C263" s="39"/>
      <c r="D263" s="30">
        <v>46245</v>
      </c>
      <c r="E263" s="27" t="s">
        <v>342</v>
      </c>
      <c r="F263" s="27" t="s">
        <v>590</v>
      </c>
      <c r="G263" s="31"/>
      <c r="H263" s="27" t="s">
        <v>591</v>
      </c>
      <c r="I263" s="31"/>
      <c r="J263" s="27">
        <v>3</v>
      </c>
      <c r="K263" s="27" t="s">
        <v>48</v>
      </c>
      <c r="L263" s="31"/>
    </row>
    <row r="264" spans="1:12" customFormat="1" ht="15.8" customHeight="1" x14ac:dyDescent="0.25">
      <c r="A264" s="26" t="s">
        <v>40</v>
      </c>
      <c r="B264" s="26" t="s">
        <v>13</v>
      </c>
      <c r="C264" s="39"/>
      <c r="D264" s="29">
        <v>46245</v>
      </c>
      <c r="E264" s="26" t="s">
        <v>61</v>
      </c>
      <c r="F264" s="26" t="s">
        <v>592</v>
      </c>
      <c r="G264" s="28"/>
      <c r="H264" s="26" t="s">
        <v>593</v>
      </c>
      <c r="I264" s="28"/>
      <c r="J264" s="26">
        <v>4</v>
      </c>
      <c r="K264" s="26" t="s">
        <v>49</v>
      </c>
      <c r="L264" s="28"/>
    </row>
    <row r="265" spans="1:12" customFormat="1" ht="15.8" customHeight="1" x14ac:dyDescent="0.25">
      <c r="A265" s="27" t="s">
        <v>40</v>
      </c>
      <c r="B265" s="27" t="s">
        <v>13</v>
      </c>
      <c r="C265" s="39"/>
      <c r="D265" s="30">
        <v>46245</v>
      </c>
      <c r="E265" s="27" t="s">
        <v>342</v>
      </c>
      <c r="F265" s="27" t="s">
        <v>594</v>
      </c>
      <c r="G265" s="27" t="s">
        <v>66</v>
      </c>
      <c r="H265" s="27" t="s">
        <v>595</v>
      </c>
      <c r="I265" s="31"/>
      <c r="J265" s="27">
        <v>3</v>
      </c>
      <c r="K265" s="27" t="s">
        <v>48</v>
      </c>
      <c r="L265" s="31"/>
    </row>
    <row r="266" spans="1:12" customFormat="1" ht="15.8" customHeight="1" x14ac:dyDescent="0.25">
      <c r="A266" s="26" t="s">
        <v>40</v>
      </c>
      <c r="B266" s="26" t="s">
        <v>13</v>
      </c>
      <c r="C266" s="39"/>
      <c r="D266" s="29">
        <v>46245</v>
      </c>
      <c r="E266" s="26" t="s">
        <v>572</v>
      </c>
      <c r="F266" s="26" t="s">
        <v>596</v>
      </c>
      <c r="G266" s="28"/>
      <c r="H266" s="26" t="s">
        <v>540</v>
      </c>
      <c r="I266" s="28"/>
      <c r="J266" s="26">
        <v>4</v>
      </c>
      <c r="K266" s="26" t="s">
        <v>49</v>
      </c>
      <c r="L266" s="28"/>
    </row>
    <row r="267" spans="1:12" customFormat="1" ht="15.8" customHeight="1" x14ac:dyDescent="0.25">
      <c r="A267" s="27" t="s">
        <v>40</v>
      </c>
      <c r="B267" s="27" t="s">
        <v>13</v>
      </c>
      <c r="C267" s="39"/>
      <c r="D267" s="30">
        <v>46245</v>
      </c>
      <c r="E267" s="27" t="s">
        <v>342</v>
      </c>
      <c r="F267" s="27" t="s">
        <v>597</v>
      </c>
      <c r="G267" s="27" t="s">
        <v>62</v>
      </c>
      <c r="H267" s="27" t="s">
        <v>598</v>
      </c>
      <c r="I267" s="31"/>
      <c r="J267" s="27">
        <v>3</v>
      </c>
      <c r="K267" s="27" t="s">
        <v>48</v>
      </c>
      <c r="L267" s="31"/>
    </row>
    <row r="268" spans="1:12" customFormat="1" ht="15.8" customHeight="1" x14ac:dyDescent="0.25">
      <c r="A268" s="26" t="s">
        <v>40</v>
      </c>
      <c r="B268" s="26" t="s">
        <v>13</v>
      </c>
      <c r="C268" s="39"/>
      <c r="D268" s="29">
        <v>46245</v>
      </c>
      <c r="E268" s="26" t="s">
        <v>342</v>
      </c>
      <c r="F268" s="26" t="s">
        <v>599</v>
      </c>
      <c r="G268" s="26" t="s">
        <v>600</v>
      </c>
      <c r="H268" s="26" t="s">
        <v>601</v>
      </c>
      <c r="I268" s="28"/>
      <c r="J268" s="26">
        <v>3</v>
      </c>
      <c r="K268" s="26" t="s">
        <v>48</v>
      </c>
      <c r="L268" s="28"/>
    </row>
    <row r="269" spans="1:12" customFormat="1" ht="15.8" customHeight="1" x14ac:dyDescent="0.25">
      <c r="A269" s="27" t="s">
        <v>40</v>
      </c>
      <c r="B269" s="27" t="s">
        <v>13</v>
      </c>
      <c r="C269" s="39"/>
      <c r="D269" s="30">
        <v>46245</v>
      </c>
      <c r="E269" s="27" t="s">
        <v>342</v>
      </c>
      <c r="F269" s="27" t="s">
        <v>602</v>
      </c>
      <c r="G269" s="31"/>
      <c r="H269" s="27" t="s">
        <v>603</v>
      </c>
      <c r="I269" s="31"/>
      <c r="J269" s="27">
        <v>3</v>
      </c>
      <c r="K269" s="27" t="s">
        <v>48</v>
      </c>
      <c r="L269" s="31"/>
    </row>
    <row r="270" spans="1:12" customFormat="1" ht="15.8" customHeight="1" x14ac:dyDescent="0.25">
      <c r="A270" s="26" t="s">
        <v>40</v>
      </c>
      <c r="B270" s="26" t="s">
        <v>13</v>
      </c>
      <c r="C270" s="39"/>
      <c r="D270" s="29">
        <v>46245</v>
      </c>
      <c r="E270" s="26" t="s">
        <v>67</v>
      </c>
      <c r="F270" s="26" t="s">
        <v>604</v>
      </c>
      <c r="G270" s="26" t="s">
        <v>605</v>
      </c>
      <c r="H270" s="26" t="s">
        <v>606</v>
      </c>
      <c r="I270" s="28"/>
      <c r="J270" s="26">
        <v>4</v>
      </c>
      <c r="K270" s="26" t="s">
        <v>49</v>
      </c>
      <c r="L270" s="28"/>
    </row>
    <row r="271" spans="1:12" customFormat="1" ht="15.8" customHeight="1" x14ac:dyDescent="0.25">
      <c r="A271" s="27" t="s">
        <v>40</v>
      </c>
      <c r="B271" s="27" t="s">
        <v>13</v>
      </c>
      <c r="C271" s="39"/>
      <c r="D271" s="30">
        <v>46245</v>
      </c>
      <c r="E271" s="27" t="s">
        <v>342</v>
      </c>
      <c r="F271" s="27" t="s">
        <v>607</v>
      </c>
      <c r="G271" s="27" t="s">
        <v>608</v>
      </c>
      <c r="H271" s="27" t="s">
        <v>609</v>
      </c>
      <c r="I271" s="31"/>
      <c r="J271" s="27">
        <v>3</v>
      </c>
      <c r="K271" s="27" t="s">
        <v>48</v>
      </c>
      <c r="L271" s="31"/>
    </row>
    <row r="272" spans="1:12" customFormat="1" ht="15.8" customHeight="1" x14ac:dyDescent="0.25">
      <c r="A272" s="26" t="s">
        <v>40</v>
      </c>
      <c r="B272" s="26" t="s">
        <v>13</v>
      </c>
      <c r="C272" s="39"/>
      <c r="D272" s="29">
        <v>46245</v>
      </c>
      <c r="E272" s="26" t="s">
        <v>572</v>
      </c>
      <c r="F272" s="26" t="s">
        <v>610</v>
      </c>
      <c r="G272" s="26" t="s">
        <v>605</v>
      </c>
      <c r="H272" s="26" t="s">
        <v>611</v>
      </c>
      <c r="I272" s="28"/>
      <c r="J272" s="26">
        <v>4</v>
      </c>
      <c r="K272" s="26" t="s">
        <v>49</v>
      </c>
      <c r="L272" s="28"/>
    </row>
    <row r="273" spans="1:12" customFormat="1" ht="15.8" customHeight="1" x14ac:dyDescent="0.25">
      <c r="A273" s="27" t="s">
        <v>40</v>
      </c>
      <c r="B273" s="27" t="s">
        <v>13</v>
      </c>
      <c r="C273" s="39"/>
      <c r="D273" s="30">
        <v>46245</v>
      </c>
      <c r="E273" s="27" t="s">
        <v>342</v>
      </c>
      <c r="F273" s="27" t="s">
        <v>612</v>
      </c>
      <c r="G273" s="27" t="s">
        <v>103</v>
      </c>
      <c r="H273" s="27" t="s">
        <v>613</v>
      </c>
      <c r="I273" s="31"/>
      <c r="J273" s="27">
        <v>3</v>
      </c>
      <c r="K273" s="27" t="s">
        <v>48</v>
      </c>
      <c r="L273" s="31"/>
    </row>
    <row r="274" spans="1:12" customFormat="1" ht="15.8" customHeight="1" x14ac:dyDescent="0.25">
      <c r="A274" s="26" t="s">
        <v>40</v>
      </c>
      <c r="B274" s="26" t="s">
        <v>13</v>
      </c>
      <c r="C274" s="39"/>
      <c r="D274" s="29">
        <v>46245</v>
      </c>
      <c r="E274" s="26" t="s">
        <v>63</v>
      </c>
      <c r="F274" s="26" t="s">
        <v>614</v>
      </c>
      <c r="G274" s="28"/>
      <c r="H274" s="26" t="s">
        <v>615</v>
      </c>
      <c r="I274" s="28"/>
      <c r="J274" s="26">
        <v>4</v>
      </c>
      <c r="K274" s="26" t="s">
        <v>49</v>
      </c>
      <c r="L274" s="28"/>
    </row>
    <row r="275" spans="1:12" customFormat="1" ht="15.8" customHeight="1" x14ac:dyDescent="0.25">
      <c r="A275" s="27" t="s">
        <v>40</v>
      </c>
      <c r="B275" s="27" t="s">
        <v>13</v>
      </c>
      <c r="C275" s="39"/>
      <c r="D275" s="30">
        <v>46245</v>
      </c>
      <c r="E275" s="27" t="s">
        <v>64</v>
      </c>
      <c r="F275" s="27" t="s">
        <v>616</v>
      </c>
      <c r="G275" s="27" t="s">
        <v>103</v>
      </c>
      <c r="H275" s="27" t="s">
        <v>617</v>
      </c>
      <c r="I275" s="31"/>
      <c r="J275" s="27">
        <v>4</v>
      </c>
      <c r="K275" s="27" t="s">
        <v>49</v>
      </c>
      <c r="L275" s="31"/>
    </row>
    <row r="276" spans="1:12" customFormat="1" ht="15.8" customHeight="1" x14ac:dyDescent="0.25">
      <c r="A276" s="26" t="s">
        <v>40</v>
      </c>
      <c r="B276" s="26" t="s">
        <v>13</v>
      </c>
      <c r="C276" s="39"/>
      <c r="D276" s="29">
        <v>46245</v>
      </c>
      <c r="E276" s="26" t="s">
        <v>572</v>
      </c>
      <c r="F276" s="26" t="s">
        <v>616</v>
      </c>
      <c r="G276" s="26" t="s">
        <v>103</v>
      </c>
      <c r="H276" s="26" t="s">
        <v>618</v>
      </c>
      <c r="I276" s="28"/>
      <c r="J276" s="26">
        <v>4</v>
      </c>
      <c r="K276" s="26" t="s">
        <v>49</v>
      </c>
      <c r="L276" s="28"/>
    </row>
    <row r="277" spans="1:12" customFormat="1" ht="15.8" customHeight="1" x14ac:dyDescent="0.25">
      <c r="A277" s="27" t="s">
        <v>50</v>
      </c>
      <c r="B277" s="27" t="s">
        <v>7</v>
      </c>
      <c r="C277" s="39"/>
      <c r="D277" s="30">
        <v>46245</v>
      </c>
      <c r="E277" s="27" t="s">
        <v>61</v>
      </c>
      <c r="F277" s="27" t="s">
        <v>221</v>
      </c>
      <c r="G277" s="31"/>
      <c r="H277" s="27" t="s">
        <v>619</v>
      </c>
      <c r="I277" s="31"/>
      <c r="J277" s="27">
        <v>3</v>
      </c>
      <c r="K277" s="27" t="s">
        <v>56</v>
      </c>
      <c r="L277" s="31"/>
    </row>
    <row r="278" spans="1:12" customFormat="1" ht="15.8" customHeight="1" x14ac:dyDescent="0.25">
      <c r="A278" s="26" t="s">
        <v>40</v>
      </c>
      <c r="B278" s="26" t="s">
        <v>13</v>
      </c>
      <c r="C278" s="39"/>
      <c r="D278" s="29">
        <v>46245</v>
      </c>
      <c r="E278" s="26" t="s">
        <v>423</v>
      </c>
      <c r="F278" s="26" t="s">
        <v>620</v>
      </c>
      <c r="G278" s="28"/>
      <c r="H278" s="26" t="s">
        <v>621</v>
      </c>
      <c r="I278" s="26" t="s">
        <v>419</v>
      </c>
      <c r="J278" s="26">
        <v>4</v>
      </c>
      <c r="K278" s="26" t="s">
        <v>49</v>
      </c>
      <c r="L278" s="26" t="s">
        <v>419</v>
      </c>
    </row>
    <row r="279" spans="1:12" customFormat="1" ht="15.8" customHeight="1" x14ac:dyDescent="0.25">
      <c r="A279" s="27" t="s">
        <v>40</v>
      </c>
      <c r="B279" s="27" t="s">
        <v>13</v>
      </c>
      <c r="C279" s="39"/>
      <c r="D279" s="30">
        <v>46245</v>
      </c>
      <c r="E279" s="27" t="s">
        <v>622</v>
      </c>
      <c r="F279" s="27" t="s">
        <v>557</v>
      </c>
      <c r="G279" s="31"/>
      <c r="H279" s="27" t="s">
        <v>623</v>
      </c>
      <c r="I279" s="27" t="s">
        <v>419</v>
      </c>
      <c r="J279" s="27">
        <v>4</v>
      </c>
      <c r="K279" s="27" t="s">
        <v>49</v>
      </c>
      <c r="L279" s="27" t="s">
        <v>419</v>
      </c>
    </row>
    <row r="280" spans="1:12" customFormat="1" ht="15.8" customHeight="1" x14ac:dyDescent="0.25">
      <c r="A280" s="26" t="s">
        <v>40</v>
      </c>
      <c r="B280" s="26" t="s">
        <v>13</v>
      </c>
      <c r="C280" s="39"/>
      <c r="D280" s="29">
        <v>46245</v>
      </c>
      <c r="E280" s="26" t="s">
        <v>624</v>
      </c>
      <c r="F280" s="26" t="s">
        <v>625</v>
      </c>
      <c r="G280" s="28"/>
      <c r="H280" s="26" t="s">
        <v>626</v>
      </c>
      <c r="I280" s="28"/>
      <c r="J280" s="26">
        <v>3</v>
      </c>
      <c r="K280" s="26" t="s">
        <v>49</v>
      </c>
      <c r="L280" s="28"/>
    </row>
    <row r="281" spans="1:12" customFormat="1" ht="15.8" customHeight="1" x14ac:dyDescent="0.25">
      <c r="A281" s="27" t="s">
        <v>40</v>
      </c>
      <c r="B281" s="27" t="s">
        <v>13</v>
      </c>
      <c r="C281" s="39"/>
      <c r="D281" s="30">
        <v>46245</v>
      </c>
      <c r="E281" s="27" t="s">
        <v>64</v>
      </c>
      <c r="F281" s="27" t="s">
        <v>627</v>
      </c>
      <c r="G281" s="27" t="s">
        <v>103</v>
      </c>
      <c r="H281" s="27" t="s">
        <v>628</v>
      </c>
      <c r="I281" s="31"/>
      <c r="J281" s="27">
        <v>4</v>
      </c>
      <c r="K281" s="27" t="s">
        <v>49</v>
      </c>
      <c r="L281" s="31"/>
    </row>
    <row r="282" spans="1:12" customFormat="1" ht="15.8" customHeight="1" x14ac:dyDescent="0.25">
      <c r="A282" s="26" t="s">
        <v>40</v>
      </c>
      <c r="B282" s="26" t="s">
        <v>13</v>
      </c>
      <c r="C282" s="39"/>
      <c r="D282" s="29">
        <v>46245</v>
      </c>
      <c r="E282" s="26" t="s">
        <v>629</v>
      </c>
      <c r="F282" s="26" t="s">
        <v>630</v>
      </c>
      <c r="G282" s="28"/>
      <c r="H282" s="26" t="s">
        <v>631</v>
      </c>
      <c r="I282" s="28"/>
      <c r="J282" s="26">
        <v>3</v>
      </c>
      <c r="K282" s="26" t="s">
        <v>49</v>
      </c>
      <c r="L282" s="28"/>
    </row>
    <row r="283" spans="1:12" customFormat="1" ht="15.8" customHeight="1" x14ac:dyDescent="0.25">
      <c r="A283" s="27" t="s">
        <v>40</v>
      </c>
      <c r="B283" s="27" t="s">
        <v>13</v>
      </c>
      <c r="C283" s="39"/>
      <c r="D283" s="30">
        <v>46245</v>
      </c>
      <c r="E283" s="27" t="s">
        <v>423</v>
      </c>
      <c r="F283" s="27" t="s">
        <v>632</v>
      </c>
      <c r="G283" s="31"/>
      <c r="H283" s="27" t="s">
        <v>633</v>
      </c>
      <c r="I283" s="31"/>
      <c r="J283" s="27">
        <v>4</v>
      </c>
      <c r="K283" s="27" t="s">
        <v>49</v>
      </c>
      <c r="L283" s="31"/>
    </row>
    <row r="284" spans="1:12" customFormat="1" ht="15.8" customHeight="1" x14ac:dyDescent="0.25">
      <c r="A284" s="26" t="s">
        <v>40</v>
      </c>
      <c r="B284" s="26" t="s">
        <v>13</v>
      </c>
      <c r="C284" s="39"/>
      <c r="D284" s="29">
        <v>46245</v>
      </c>
      <c r="E284" s="26" t="s">
        <v>342</v>
      </c>
      <c r="F284" s="26" t="s">
        <v>634</v>
      </c>
      <c r="G284" s="28"/>
      <c r="H284" s="26" t="s">
        <v>635</v>
      </c>
      <c r="I284" s="28"/>
      <c r="J284" s="26">
        <v>3</v>
      </c>
      <c r="K284" s="26" t="s">
        <v>56</v>
      </c>
      <c r="L284" s="28"/>
    </row>
    <row r="285" spans="1:12" customFormat="1" ht="15.8" customHeight="1" x14ac:dyDescent="0.25">
      <c r="A285" s="27" t="s">
        <v>40</v>
      </c>
      <c r="B285" s="27" t="s">
        <v>13</v>
      </c>
      <c r="C285" s="39"/>
      <c r="D285" s="30">
        <v>46245</v>
      </c>
      <c r="E285" s="27" t="s">
        <v>67</v>
      </c>
      <c r="F285" s="27" t="s">
        <v>636</v>
      </c>
      <c r="G285" s="31"/>
      <c r="H285" s="27" t="s">
        <v>637</v>
      </c>
      <c r="I285" s="31"/>
      <c r="J285" s="27">
        <v>4</v>
      </c>
      <c r="K285" s="27" t="s">
        <v>49</v>
      </c>
      <c r="L285" s="31"/>
    </row>
    <row r="286" spans="1:12" customFormat="1" ht="15.8" customHeight="1" x14ac:dyDescent="0.25">
      <c r="A286" s="26" t="s">
        <v>40</v>
      </c>
      <c r="B286" s="26" t="s">
        <v>13</v>
      </c>
      <c r="C286" s="39"/>
      <c r="D286" s="29">
        <v>46245</v>
      </c>
      <c r="E286" s="26" t="s">
        <v>638</v>
      </c>
      <c r="F286" s="26" t="s">
        <v>639</v>
      </c>
      <c r="G286" s="28"/>
      <c r="H286" s="26" t="s">
        <v>640</v>
      </c>
      <c r="I286" s="28"/>
      <c r="J286" s="26">
        <v>5</v>
      </c>
      <c r="K286" s="26" t="s">
        <v>52</v>
      </c>
      <c r="L286" s="28"/>
    </row>
    <row r="287" spans="1:12" customFormat="1" ht="15.8" customHeight="1" x14ac:dyDescent="0.25">
      <c r="A287" s="27" t="s">
        <v>40</v>
      </c>
      <c r="B287" s="27" t="s">
        <v>13</v>
      </c>
      <c r="C287" s="39"/>
      <c r="D287" s="30">
        <v>46245</v>
      </c>
      <c r="E287" s="27" t="s">
        <v>342</v>
      </c>
      <c r="F287" s="27" t="s">
        <v>641</v>
      </c>
      <c r="G287" s="27" t="s">
        <v>642</v>
      </c>
      <c r="H287" s="27" t="s">
        <v>516</v>
      </c>
      <c r="I287" s="31"/>
      <c r="J287" s="27">
        <v>3</v>
      </c>
      <c r="K287" s="27" t="s">
        <v>56</v>
      </c>
      <c r="L287" s="31"/>
    </row>
    <row r="288" spans="1:12" customFormat="1" ht="15.8" customHeight="1" x14ac:dyDescent="0.25">
      <c r="A288" s="26" t="s">
        <v>40</v>
      </c>
      <c r="B288" s="26" t="s">
        <v>13</v>
      </c>
      <c r="C288" s="39"/>
      <c r="D288" s="29">
        <v>46245</v>
      </c>
      <c r="E288" s="26" t="s">
        <v>643</v>
      </c>
      <c r="F288" s="26" t="s">
        <v>644</v>
      </c>
      <c r="G288" s="28"/>
      <c r="H288" s="26" t="s">
        <v>645</v>
      </c>
      <c r="I288" s="28"/>
      <c r="J288" s="26">
        <v>4</v>
      </c>
      <c r="K288" s="26" t="s">
        <v>56</v>
      </c>
      <c r="L288" s="28"/>
    </row>
    <row r="289" spans="1:12" customFormat="1" ht="15.8" customHeight="1" x14ac:dyDescent="0.25">
      <c r="A289" s="27" t="s">
        <v>40</v>
      </c>
      <c r="B289" s="27" t="s">
        <v>13</v>
      </c>
      <c r="C289" s="39"/>
      <c r="D289" s="30">
        <v>46245</v>
      </c>
      <c r="E289" s="27" t="s">
        <v>61</v>
      </c>
      <c r="F289" s="27" t="s">
        <v>646</v>
      </c>
      <c r="G289" s="31"/>
      <c r="H289" s="27" t="s">
        <v>516</v>
      </c>
      <c r="I289" s="31"/>
      <c r="J289" s="27">
        <v>3</v>
      </c>
      <c r="K289" s="27" t="s">
        <v>56</v>
      </c>
      <c r="L289" s="31"/>
    </row>
    <row r="290" spans="1:12" customFormat="1" ht="15.8" customHeight="1" x14ac:dyDescent="0.25">
      <c r="A290" s="26" t="s">
        <v>40</v>
      </c>
      <c r="B290" s="26" t="s">
        <v>13</v>
      </c>
      <c r="C290" s="39"/>
      <c r="D290" s="29">
        <v>46245</v>
      </c>
      <c r="E290" s="26" t="s">
        <v>572</v>
      </c>
      <c r="F290" s="26" t="s">
        <v>647</v>
      </c>
      <c r="G290" s="28"/>
      <c r="H290" s="26" t="s">
        <v>648</v>
      </c>
      <c r="I290" s="28"/>
      <c r="J290" s="26">
        <v>4</v>
      </c>
      <c r="K290" s="26" t="s">
        <v>49</v>
      </c>
      <c r="L290" s="28"/>
    </row>
    <row r="291" spans="1:12" customFormat="1" ht="15.8" customHeight="1" x14ac:dyDescent="0.25">
      <c r="A291" s="27" t="s">
        <v>40</v>
      </c>
      <c r="B291" s="27" t="s">
        <v>13</v>
      </c>
      <c r="C291" s="39"/>
      <c r="D291" s="30">
        <v>46245</v>
      </c>
      <c r="E291" s="27" t="s">
        <v>423</v>
      </c>
      <c r="F291" s="27" t="s">
        <v>649</v>
      </c>
      <c r="G291" s="31"/>
      <c r="H291" s="27" t="s">
        <v>650</v>
      </c>
      <c r="I291" s="31"/>
      <c r="J291" s="27">
        <v>4</v>
      </c>
      <c r="K291" s="27" t="s">
        <v>56</v>
      </c>
      <c r="L291" s="31"/>
    </row>
    <row r="292" spans="1:12" customFormat="1" ht="15.8" customHeight="1" x14ac:dyDescent="0.25">
      <c r="A292" s="26" t="s">
        <v>40</v>
      </c>
      <c r="B292" s="26" t="s">
        <v>13</v>
      </c>
      <c r="C292" s="39"/>
      <c r="D292" s="29">
        <v>46245</v>
      </c>
      <c r="E292" s="26" t="s">
        <v>342</v>
      </c>
      <c r="F292" s="26" t="s">
        <v>651</v>
      </c>
      <c r="G292" s="28"/>
      <c r="H292" s="26" t="s">
        <v>652</v>
      </c>
      <c r="I292" s="28"/>
      <c r="J292" s="26">
        <v>3</v>
      </c>
      <c r="K292" s="26" t="s">
        <v>56</v>
      </c>
      <c r="L292" s="28"/>
    </row>
    <row r="293" spans="1:12" customFormat="1" ht="15.8" customHeight="1" x14ac:dyDescent="0.25">
      <c r="A293" s="27" t="s">
        <v>40</v>
      </c>
      <c r="B293" s="27" t="s">
        <v>13</v>
      </c>
      <c r="C293" s="39"/>
      <c r="D293" s="30">
        <v>46245</v>
      </c>
      <c r="E293" s="27" t="s">
        <v>653</v>
      </c>
      <c r="F293" s="27" t="s">
        <v>654</v>
      </c>
      <c r="G293" s="27" t="s">
        <v>68</v>
      </c>
      <c r="H293" s="27" t="s">
        <v>655</v>
      </c>
      <c r="I293" s="31"/>
      <c r="J293" s="27">
        <v>5</v>
      </c>
      <c r="K293" s="27" t="s">
        <v>49</v>
      </c>
      <c r="L293" s="31"/>
    </row>
    <row r="294" spans="1:12" customFormat="1" ht="15.8" customHeight="1" x14ac:dyDescent="0.25">
      <c r="A294" s="26" t="s">
        <v>40</v>
      </c>
      <c r="B294" s="26" t="s">
        <v>13</v>
      </c>
      <c r="C294" s="39"/>
      <c r="D294" s="29">
        <v>46245</v>
      </c>
      <c r="E294" s="26" t="s">
        <v>64</v>
      </c>
      <c r="F294" s="26" t="s">
        <v>656</v>
      </c>
      <c r="G294" s="28"/>
      <c r="H294" s="26" t="s">
        <v>657</v>
      </c>
      <c r="I294" s="28"/>
      <c r="J294" s="26">
        <v>4</v>
      </c>
      <c r="K294" s="26" t="s">
        <v>49</v>
      </c>
      <c r="L294" s="28"/>
    </row>
    <row r="295" spans="1:12" customFormat="1" ht="15.8" customHeight="1" x14ac:dyDescent="0.25">
      <c r="A295" s="27" t="s">
        <v>40</v>
      </c>
      <c r="B295" s="27" t="s">
        <v>13</v>
      </c>
      <c r="C295" s="39"/>
      <c r="D295" s="30">
        <v>46245</v>
      </c>
      <c r="E295" s="27" t="s">
        <v>658</v>
      </c>
      <c r="F295" s="27" t="s">
        <v>659</v>
      </c>
      <c r="G295" s="31"/>
      <c r="H295" s="27" t="s">
        <v>660</v>
      </c>
      <c r="I295" s="31"/>
      <c r="J295" s="27">
        <v>3</v>
      </c>
      <c r="K295" s="27" t="s">
        <v>56</v>
      </c>
      <c r="L295" s="31"/>
    </row>
    <row r="296" spans="1:12" customFormat="1" ht="15.8" customHeight="1" x14ac:dyDescent="0.25">
      <c r="A296" s="26" t="s">
        <v>40</v>
      </c>
      <c r="B296" s="26" t="s">
        <v>13</v>
      </c>
      <c r="C296" s="39"/>
      <c r="D296" s="29">
        <v>46245</v>
      </c>
      <c r="E296" s="26" t="s">
        <v>61</v>
      </c>
      <c r="F296" s="26" t="s">
        <v>661</v>
      </c>
      <c r="G296" s="28"/>
      <c r="H296" s="26" t="s">
        <v>662</v>
      </c>
      <c r="I296" s="28"/>
      <c r="J296" s="26">
        <v>4</v>
      </c>
      <c r="K296" s="26" t="s">
        <v>49</v>
      </c>
      <c r="L296" s="28"/>
    </row>
    <row r="297" spans="1:12" customFormat="1" ht="15.8" customHeight="1" x14ac:dyDescent="0.25">
      <c r="A297" s="27" t="s">
        <v>40</v>
      </c>
      <c r="B297" s="27" t="s">
        <v>13</v>
      </c>
      <c r="C297" s="39"/>
      <c r="D297" s="30">
        <v>46245</v>
      </c>
      <c r="E297" s="27" t="s">
        <v>423</v>
      </c>
      <c r="F297" s="27" t="s">
        <v>663</v>
      </c>
      <c r="G297" s="27" t="s">
        <v>608</v>
      </c>
      <c r="H297" s="27" t="s">
        <v>664</v>
      </c>
      <c r="I297" s="31"/>
      <c r="J297" s="27">
        <v>4</v>
      </c>
      <c r="K297" s="27" t="s">
        <v>49</v>
      </c>
      <c r="L297" s="31"/>
    </row>
    <row r="298" spans="1:12" customFormat="1" ht="15.8" customHeight="1" x14ac:dyDescent="0.25">
      <c r="A298" s="26" t="s">
        <v>40</v>
      </c>
      <c r="B298" s="26" t="s">
        <v>13</v>
      </c>
      <c r="C298" s="39"/>
      <c r="D298" s="29">
        <v>46245</v>
      </c>
      <c r="E298" s="26" t="s">
        <v>572</v>
      </c>
      <c r="F298" s="26" t="s">
        <v>665</v>
      </c>
      <c r="G298" s="26" t="s">
        <v>666</v>
      </c>
      <c r="H298" s="26" t="s">
        <v>667</v>
      </c>
      <c r="I298" s="28"/>
      <c r="J298" s="26">
        <v>4</v>
      </c>
      <c r="K298" s="26" t="s">
        <v>49</v>
      </c>
      <c r="L298" s="28"/>
    </row>
    <row r="299" spans="1:12" customFormat="1" ht="15.8" customHeight="1" x14ac:dyDescent="0.25">
      <c r="A299" s="27" t="s">
        <v>40</v>
      </c>
      <c r="B299" s="27" t="s">
        <v>13</v>
      </c>
      <c r="C299" s="39"/>
      <c r="D299" s="30">
        <v>46245</v>
      </c>
      <c r="E299" s="27" t="s">
        <v>572</v>
      </c>
      <c r="F299" s="27" t="s">
        <v>668</v>
      </c>
      <c r="G299" s="27" t="s">
        <v>103</v>
      </c>
      <c r="H299" s="27" t="s">
        <v>669</v>
      </c>
      <c r="I299" s="31"/>
      <c r="J299" s="27">
        <v>4</v>
      </c>
      <c r="K299" s="27" t="s">
        <v>49</v>
      </c>
      <c r="L299" s="31"/>
    </row>
    <row r="300" spans="1:12" customFormat="1" ht="15.8" customHeight="1" x14ac:dyDescent="0.25">
      <c r="A300" s="26" t="s">
        <v>40</v>
      </c>
      <c r="B300" s="26" t="s">
        <v>13</v>
      </c>
      <c r="C300" s="39"/>
      <c r="D300" s="29">
        <v>46247</v>
      </c>
      <c r="E300" s="26" t="s">
        <v>59</v>
      </c>
      <c r="F300" s="26" t="s">
        <v>670</v>
      </c>
      <c r="G300" s="26" t="s">
        <v>51</v>
      </c>
      <c r="H300" s="26" t="s">
        <v>671</v>
      </c>
      <c r="I300" s="26" t="s">
        <v>51</v>
      </c>
      <c r="J300" s="26">
        <v>2</v>
      </c>
      <c r="K300" s="26" t="s">
        <v>48</v>
      </c>
      <c r="L300" s="26" t="s">
        <v>51</v>
      </c>
    </row>
    <row r="301" spans="1:12" customFormat="1" ht="15.8" customHeight="1" x14ac:dyDescent="0.25">
      <c r="A301" s="27" t="s">
        <v>40</v>
      </c>
      <c r="B301" s="27" t="s">
        <v>26</v>
      </c>
      <c r="C301" s="39"/>
      <c r="D301" s="30">
        <v>46246</v>
      </c>
      <c r="E301" s="27" t="s">
        <v>44</v>
      </c>
      <c r="F301" s="27" t="s">
        <v>672</v>
      </c>
      <c r="G301" s="31"/>
      <c r="H301" s="27" t="s">
        <v>673</v>
      </c>
      <c r="I301" s="27" t="s">
        <v>51</v>
      </c>
      <c r="J301" s="27">
        <v>2</v>
      </c>
      <c r="K301" s="27" t="s">
        <v>56</v>
      </c>
      <c r="L301" s="27" t="s">
        <v>51</v>
      </c>
    </row>
    <row r="302" spans="1:12" customFormat="1" ht="15.8" customHeight="1" x14ac:dyDescent="0.25">
      <c r="A302" s="26" t="s">
        <v>40</v>
      </c>
      <c r="B302" s="26" t="s">
        <v>26</v>
      </c>
      <c r="C302" s="39"/>
      <c r="D302" s="29">
        <v>46245</v>
      </c>
      <c r="E302" s="26" t="s">
        <v>45</v>
      </c>
      <c r="F302" s="26" t="s">
        <v>674</v>
      </c>
      <c r="G302" s="28"/>
      <c r="H302" s="26" t="s">
        <v>675</v>
      </c>
      <c r="I302" s="26" t="s">
        <v>51</v>
      </c>
      <c r="J302" s="26">
        <v>2</v>
      </c>
      <c r="K302" s="26" t="s">
        <v>676</v>
      </c>
      <c r="L302" s="26" t="s">
        <v>51</v>
      </c>
    </row>
    <row r="303" spans="1:12" customFormat="1" ht="15.8" customHeight="1" x14ac:dyDescent="0.25">
      <c r="A303" s="27" t="s">
        <v>40</v>
      </c>
      <c r="B303" s="27" t="s">
        <v>26</v>
      </c>
      <c r="C303" s="39"/>
      <c r="D303" s="30">
        <v>46247</v>
      </c>
      <c r="E303" s="27" t="s">
        <v>44</v>
      </c>
      <c r="F303" s="27" t="s">
        <v>93</v>
      </c>
      <c r="G303" s="31"/>
      <c r="H303" s="27" t="s">
        <v>677</v>
      </c>
      <c r="I303" s="27" t="s">
        <v>51</v>
      </c>
      <c r="J303" s="27">
        <v>2</v>
      </c>
      <c r="K303" s="27" t="s">
        <v>676</v>
      </c>
      <c r="L303" s="27" t="s">
        <v>51</v>
      </c>
    </row>
    <row r="304" spans="1:12" customFormat="1" ht="15.8" customHeight="1" x14ac:dyDescent="0.25">
      <c r="A304" s="26" t="s">
        <v>40</v>
      </c>
      <c r="B304" s="26" t="s">
        <v>13</v>
      </c>
      <c r="C304" s="39"/>
      <c r="D304" s="29">
        <v>46247</v>
      </c>
      <c r="E304" s="26" t="s">
        <v>678</v>
      </c>
      <c r="F304" s="26" t="s">
        <v>679</v>
      </c>
      <c r="G304" s="28"/>
      <c r="H304" s="26" t="s">
        <v>680</v>
      </c>
      <c r="I304" s="26" t="s">
        <v>51</v>
      </c>
      <c r="J304" s="26">
        <v>3</v>
      </c>
      <c r="K304" s="26" t="s">
        <v>676</v>
      </c>
      <c r="L304" s="26" t="s">
        <v>51</v>
      </c>
    </row>
    <row r="305" spans="1:12" customFormat="1" ht="15.8" customHeight="1" x14ac:dyDescent="0.25">
      <c r="A305" s="27" t="s">
        <v>40</v>
      </c>
      <c r="B305" s="27" t="s">
        <v>26</v>
      </c>
      <c r="C305" s="39"/>
      <c r="D305" s="30">
        <v>46245</v>
      </c>
      <c r="E305" s="27" t="s">
        <v>681</v>
      </c>
      <c r="F305" s="27" t="s">
        <v>682</v>
      </c>
      <c r="G305" s="31"/>
      <c r="H305" s="27" t="s">
        <v>683</v>
      </c>
      <c r="I305" s="27" t="s">
        <v>51</v>
      </c>
      <c r="J305" s="27">
        <v>2</v>
      </c>
      <c r="K305" s="27" t="s">
        <v>52</v>
      </c>
      <c r="L305" s="27" t="s">
        <v>51</v>
      </c>
    </row>
    <row r="306" spans="1:12" customFormat="1" ht="15.8" customHeight="1" x14ac:dyDescent="0.25">
      <c r="A306" s="26" t="s">
        <v>40</v>
      </c>
      <c r="B306" s="26" t="s">
        <v>26</v>
      </c>
      <c r="C306" s="39"/>
      <c r="D306" s="29">
        <v>46246</v>
      </c>
      <c r="E306" s="26" t="s">
        <v>45</v>
      </c>
      <c r="F306" s="26" t="s">
        <v>684</v>
      </c>
      <c r="G306" s="28"/>
      <c r="H306" s="26" t="s">
        <v>685</v>
      </c>
      <c r="I306" s="26" t="s">
        <v>51</v>
      </c>
      <c r="J306" s="26">
        <v>2</v>
      </c>
      <c r="K306" s="26" t="s">
        <v>52</v>
      </c>
      <c r="L306" s="26" t="s">
        <v>51</v>
      </c>
    </row>
    <row r="307" spans="1:12" customFormat="1" ht="15.8" customHeight="1" x14ac:dyDescent="0.25">
      <c r="A307" s="27" t="s">
        <v>40</v>
      </c>
      <c r="B307" s="27" t="s">
        <v>26</v>
      </c>
      <c r="C307" s="39"/>
      <c r="D307" s="30">
        <v>46246</v>
      </c>
      <c r="E307" s="27" t="s">
        <v>678</v>
      </c>
      <c r="F307" s="27" t="s">
        <v>684</v>
      </c>
      <c r="G307" s="31"/>
      <c r="H307" s="27" t="s">
        <v>686</v>
      </c>
      <c r="I307" s="27" t="s">
        <v>51</v>
      </c>
      <c r="J307" s="27">
        <v>2</v>
      </c>
      <c r="K307" s="27" t="s">
        <v>52</v>
      </c>
      <c r="L307" s="27" t="s">
        <v>51</v>
      </c>
    </row>
    <row r="308" spans="1:12" customFormat="1" ht="15.8" customHeight="1" x14ac:dyDescent="0.25">
      <c r="A308" s="26" t="s">
        <v>40</v>
      </c>
      <c r="B308" s="26" t="s">
        <v>26</v>
      </c>
      <c r="C308" s="39"/>
      <c r="D308" s="29">
        <v>46246</v>
      </c>
      <c r="E308" s="26" t="s">
        <v>44</v>
      </c>
      <c r="F308" s="26" t="s">
        <v>684</v>
      </c>
      <c r="G308" s="28"/>
      <c r="H308" s="26" t="s">
        <v>687</v>
      </c>
      <c r="I308" s="26" t="s">
        <v>51</v>
      </c>
      <c r="J308" s="26">
        <v>2</v>
      </c>
      <c r="K308" s="26" t="s">
        <v>52</v>
      </c>
      <c r="L308" s="26" t="s">
        <v>51</v>
      </c>
    </row>
    <row r="309" spans="1:12" customFormat="1" ht="15.8" customHeight="1" x14ac:dyDescent="0.25">
      <c r="A309" s="27" t="s">
        <v>40</v>
      </c>
      <c r="B309" s="27" t="s">
        <v>26</v>
      </c>
      <c r="C309" s="39"/>
      <c r="D309" s="30">
        <v>46246</v>
      </c>
      <c r="E309" s="27" t="s">
        <v>45</v>
      </c>
      <c r="F309" s="27" t="s">
        <v>688</v>
      </c>
      <c r="G309" s="31"/>
      <c r="H309" s="27" t="s">
        <v>689</v>
      </c>
      <c r="I309" s="27" t="s">
        <v>51</v>
      </c>
      <c r="J309" s="27">
        <v>3</v>
      </c>
      <c r="K309" s="27" t="s">
        <v>56</v>
      </c>
      <c r="L309" s="27" t="s">
        <v>51</v>
      </c>
    </row>
    <row r="310" spans="1:12" customFormat="1" ht="15.8" customHeight="1" x14ac:dyDescent="0.25">
      <c r="A310" s="26" t="s">
        <v>40</v>
      </c>
      <c r="B310" s="26" t="s">
        <v>26</v>
      </c>
      <c r="C310" s="39"/>
      <c r="D310" s="29">
        <v>46246</v>
      </c>
      <c r="E310" s="26" t="s">
        <v>45</v>
      </c>
      <c r="F310" s="26" t="s">
        <v>690</v>
      </c>
      <c r="G310" s="28"/>
      <c r="H310" s="26" t="s">
        <v>691</v>
      </c>
      <c r="I310" s="26" t="s">
        <v>51</v>
      </c>
      <c r="J310" s="26">
        <v>2</v>
      </c>
      <c r="K310" s="26" t="s">
        <v>56</v>
      </c>
      <c r="L310" s="26" t="s">
        <v>51</v>
      </c>
    </row>
    <row r="311" spans="1:12" customFormat="1" ht="15.8" customHeight="1" x14ac:dyDescent="0.25">
      <c r="A311" s="27" t="s">
        <v>40</v>
      </c>
      <c r="B311" s="27" t="s">
        <v>26</v>
      </c>
      <c r="C311" s="39"/>
      <c r="D311" s="30">
        <v>46246</v>
      </c>
      <c r="E311" s="27" t="s">
        <v>44</v>
      </c>
      <c r="F311" s="27" t="s">
        <v>692</v>
      </c>
      <c r="G311" s="31"/>
      <c r="H311" s="27" t="s">
        <v>693</v>
      </c>
      <c r="I311" s="27" t="s">
        <v>51</v>
      </c>
      <c r="J311" s="27">
        <v>2</v>
      </c>
      <c r="K311" s="27" t="s">
        <v>56</v>
      </c>
      <c r="L311" s="27" t="s">
        <v>51</v>
      </c>
    </row>
    <row r="312" spans="1:12" customFormat="1" ht="15.8" customHeight="1" x14ac:dyDescent="0.25">
      <c r="A312" s="26" t="s">
        <v>50</v>
      </c>
      <c r="B312" s="26" t="s">
        <v>7</v>
      </c>
      <c r="C312" s="39"/>
      <c r="D312" s="29">
        <v>46247</v>
      </c>
      <c r="E312" s="26" t="s">
        <v>45</v>
      </c>
      <c r="F312" s="26" t="s">
        <v>694</v>
      </c>
      <c r="G312" s="26" t="s">
        <v>53</v>
      </c>
      <c r="H312" s="26" t="s">
        <v>695</v>
      </c>
      <c r="I312" s="26" t="s">
        <v>51</v>
      </c>
      <c r="J312" s="26">
        <v>2</v>
      </c>
      <c r="K312" s="26" t="s">
        <v>56</v>
      </c>
      <c r="L312" s="26" t="s">
        <v>51</v>
      </c>
    </row>
    <row r="313" spans="1:12" customFormat="1" ht="15.8" customHeight="1" x14ac:dyDescent="0.25">
      <c r="A313" s="27" t="s">
        <v>40</v>
      </c>
      <c r="B313" s="27" t="s">
        <v>26</v>
      </c>
      <c r="C313" s="39"/>
      <c r="D313" s="30">
        <v>46247</v>
      </c>
      <c r="E313" s="27" t="s">
        <v>45</v>
      </c>
      <c r="F313" s="27" t="s">
        <v>684</v>
      </c>
      <c r="G313" s="31"/>
      <c r="H313" s="27" t="s">
        <v>696</v>
      </c>
      <c r="I313" s="27" t="s">
        <v>54</v>
      </c>
      <c r="J313" s="27">
        <v>2</v>
      </c>
      <c r="K313" s="27" t="s">
        <v>56</v>
      </c>
      <c r="L313" s="27" t="s">
        <v>54</v>
      </c>
    </row>
    <row r="314" spans="1:12" customFormat="1" ht="15.8" customHeight="1" x14ac:dyDescent="0.25">
      <c r="A314" s="26" t="s">
        <v>40</v>
      </c>
      <c r="B314" s="26" t="s">
        <v>1</v>
      </c>
      <c r="C314" s="39"/>
      <c r="D314" s="29">
        <v>46246</v>
      </c>
      <c r="E314" s="26" t="s">
        <v>44</v>
      </c>
      <c r="F314" s="26" t="s">
        <v>57</v>
      </c>
      <c r="G314" s="28"/>
      <c r="H314" s="26" t="s">
        <v>697</v>
      </c>
      <c r="I314" s="28"/>
      <c r="J314" s="26">
        <v>2</v>
      </c>
      <c r="K314" s="26" t="s">
        <v>48</v>
      </c>
      <c r="L314" s="28"/>
    </row>
    <row r="315" spans="1:12" customFormat="1" ht="15.8" customHeight="1" x14ac:dyDescent="0.25">
      <c r="A315" s="27" t="s">
        <v>40</v>
      </c>
      <c r="B315" s="27" t="s">
        <v>3</v>
      </c>
      <c r="C315" s="39"/>
      <c r="D315" s="30">
        <v>46246</v>
      </c>
      <c r="E315" s="27" t="s">
        <v>45</v>
      </c>
      <c r="F315" s="27" t="s">
        <v>698</v>
      </c>
      <c r="G315" s="27" t="s">
        <v>53</v>
      </c>
      <c r="H315" s="27" t="s">
        <v>699</v>
      </c>
      <c r="I315" s="31"/>
      <c r="J315" s="27">
        <v>2</v>
      </c>
      <c r="K315" s="27" t="s">
        <v>700</v>
      </c>
      <c r="L315" s="31"/>
    </row>
    <row r="316" spans="1:12" customFormat="1" ht="15.8" customHeight="1" x14ac:dyDescent="0.25">
      <c r="A316" s="27" t="s">
        <v>40</v>
      </c>
      <c r="B316" s="26" t="s">
        <v>13</v>
      </c>
      <c r="C316" s="39"/>
      <c r="D316" s="29">
        <v>46245</v>
      </c>
      <c r="E316" s="27" t="s">
        <v>45</v>
      </c>
      <c r="F316" s="27" t="s">
        <v>701</v>
      </c>
      <c r="G316" s="31"/>
      <c r="H316" s="27" t="s">
        <v>702</v>
      </c>
      <c r="I316" s="31"/>
      <c r="J316" s="26">
        <v>2</v>
      </c>
      <c r="K316" s="27" t="s">
        <v>48</v>
      </c>
      <c r="L316" s="31"/>
    </row>
    <row r="317" spans="1:12" customFormat="1" ht="15.8" customHeight="1" x14ac:dyDescent="0.25">
      <c r="A317" s="26" t="s">
        <v>40</v>
      </c>
      <c r="B317" s="26" t="s">
        <v>13</v>
      </c>
      <c r="C317" s="39"/>
      <c r="D317" s="30">
        <v>46246</v>
      </c>
      <c r="E317" s="26" t="s">
        <v>45</v>
      </c>
      <c r="F317" s="26" t="s">
        <v>703</v>
      </c>
      <c r="G317" s="28"/>
      <c r="H317" s="26" t="s">
        <v>702</v>
      </c>
      <c r="I317" s="28"/>
      <c r="J317" s="27">
        <v>2</v>
      </c>
      <c r="K317" s="26" t="s">
        <v>48</v>
      </c>
      <c r="L317" s="28"/>
    </row>
    <row r="318" spans="1:12" customFormat="1" ht="15.8" customHeight="1" x14ac:dyDescent="0.25">
      <c r="A318" s="27" t="s">
        <v>40</v>
      </c>
      <c r="B318" s="26" t="s">
        <v>13</v>
      </c>
      <c r="C318" s="39"/>
      <c r="D318" s="29">
        <v>46245</v>
      </c>
      <c r="E318" s="27" t="s">
        <v>45</v>
      </c>
      <c r="F318" s="27" t="s">
        <v>704</v>
      </c>
      <c r="G318" s="31"/>
      <c r="H318" s="27" t="s">
        <v>702</v>
      </c>
      <c r="I318" s="31"/>
      <c r="J318" s="26">
        <v>2</v>
      </c>
      <c r="K318" s="27" t="s">
        <v>48</v>
      </c>
      <c r="L318" s="31"/>
    </row>
    <row r="319" spans="1:12" customFormat="1" ht="15.8" customHeight="1" x14ac:dyDescent="0.25">
      <c r="A319" s="26" t="s">
        <v>40</v>
      </c>
      <c r="B319" s="26" t="s">
        <v>13</v>
      </c>
      <c r="C319" s="39"/>
      <c r="D319" s="30">
        <v>46246</v>
      </c>
      <c r="E319" s="26" t="s">
        <v>45</v>
      </c>
      <c r="F319" s="26" t="s">
        <v>705</v>
      </c>
      <c r="G319" s="28"/>
      <c r="H319" s="26" t="s">
        <v>702</v>
      </c>
      <c r="I319" s="28"/>
      <c r="J319" s="27">
        <v>2</v>
      </c>
      <c r="K319" s="26" t="s">
        <v>48</v>
      </c>
      <c r="L319" s="28"/>
    </row>
    <row r="320" spans="1:12" customFormat="1" ht="15.8" customHeight="1" x14ac:dyDescent="0.25">
      <c r="A320" s="27" t="s">
        <v>40</v>
      </c>
      <c r="B320" s="26" t="s">
        <v>13</v>
      </c>
      <c r="C320" s="39"/>
      <c r="D320" s="29">
        <v>46245</v>
      </c>
      <c r="E320" s="27" t="s">
        <v>45</v>
      </c>
      <c r="F320" s="27" t="s">
        <v>706</v>
      </c>
      <c r="G320" s="31"/>
      <c r="H320" s="27" t="s">
        <v>702</v>
      </c>
      <c r="I320" s="31"/>
      <c r="J320" s="26">
        <v>2</v>
      </c>
      <c r="K320" s="27" t="s">
        <v>48</v>
      </c>
      <c r="L320" s="31"/>
    </row>
    <row r="321" spans="1:12" customFormat="1" ht="15.8" customHeight="1" x14ac:dyDescent="0.25">
      <c r="A321" s="26" t="s">
        <v>40</v>
      </c>
      <c r="B321" s="26" t="s">
        <v>13</v>
      </c>
      <c r="C321" s="39"/>
      <c r="D321" s="30">
        <v>46246</v>
      </c>
      <c r="E321" s="26" t="s">
        <v>45</v>
      </c>
      <c r="F321" s="26" t="s">
        <v>707</v>
      </c>
      <c r="G321" s="28"/>
      <c r="H321" s="26" t="s">
        <v>702</v>
      </c>
      <c r="I321" s="28"/>
      <c r="J321" s="27">
        <v>2</v>
      </c>
      <c r="K321" s="26" t="s">
        <v>48</v>
      </c>
      <c r="L321" s="28"/>
    </row>
    <row r="322" spans="1:12" customFormat="1" ht="15.8" customHeight="1" x14ac:dyDescent="0.25">
      <c r="A322" s="27" t="s">
        <v>40</v>
      </c>
      <c r="B322" s="26" t="s">
        <v>13</v>
      </c>
      <c r="C322" s="39"/>
      <c r="D322" s="29">
        <v>46245</v>
      </c>
      <c r="E322" s="27" t="s">
        <v>45</v>
      </c>
      <c r="F322" s="27" t="s">
        <v>708</v>
      </c>
      <c r="G322" s="31"/>
      <c r="H322" s="27" t="s">
        <v>702</v>
      </c>
      <c r="I322" s="31"/>
      <c r="J322" s="26">
        <v>2</v>
      </c>
      <c r="K322" s="27" t="s">
        <v>48</v>
      </c>
      <c r="L322" s="31"/>
    </row>
    <row r="323" spans="1:12" customFormat="1" ht="15.8" customHeight="1" x14ac:dyDescent="0.25">
      <c r="A323" s="26" t="s">
        <v>40</v>
      </c>
      <c r="B323" s="26" t="s">
        <v>13</v>
      </c>
      <c r="C323" s="39"/>
      <c r="D323" s="30">
        <v>46246</v>
      </c>
      <c r="E323" s="26" t="s">
        <v>45</v>
      </c>
      <c r="F323" s="26" t="s">
        <v>709</v>
      </c>
      <c r="G323" s="28"/>
      <c r="H323" s="26" t="s">
        <v>702</v>
      </c>
      <c r="I323" s="28"/>
      <c r="J323" s="27">
        <v>2</v>
      </c>
      <c r="K323" s="26" t="s">
        <v>48</v>
      </c>
      <c r="L323" s="28"/>
    </row>
    <row r="324" spans="1:12" customFormat="1" ht="15.8" customHeight="1" x14ac:dyDescent="0.25">
      <c r="A324" s="27" t="s">
        <v>40</v>
      </c>
      <c r="B324" s="26" t="s">
        <v>13</v>
      </c>
      <c r="C324" s="39"/>
      <c r="D324" s="29">
        <v>46245</v>
      </c>
      <c r="E324" s="27" t="s">
        <v>45</v>
      </c>
      <c r="F324" s="27" t="s">
        <v>710</v>
      </c>
      <c r="G324" s="31"/>
      <c r="H324" s="27" t="s">
        <v>702</v>
      </c>
      <c r="I324" s="31"/>
      <c r="J324" s="26">
        <v>2</v>
      </c>
      <c r="K324" s="27" t="s">
        <v>48</v>
      </c>
      <c r="L324" s="31"/>
    </row>
    <row r="325" spans="1:12" customFormat="1" ht="15.8" customHeight="1" x14ac:dyDescent="0.25">
      <c r="A325" s="26" t="s">
        <v>40</v>
      </c>
      <c r="B325" s="26" t="s">
        <v>13</v>
      </c>
      <c r="C325" s="39"/>
      <c r="D325" s="30">
        <v>46246</v>
      </c>
      <c r="E325" s="26" t="s">
        <v>45</v>
      </c>
      <c r="F325" s="26" t="s">
        <v>711</v>
      </c>
      <c r="G325" s="28"/>
      <c r="H325" s="26" t="s">
        <v>702</v>
      </c>
      <c r="I325" s="28"/>
      <c r="J325" s="27">
        <v>2</v>
      </c>
      <c r="K325" s="26" t="s">
        <v>48</v>
      </c>
      <c r="L325" s="28"/>
    </row>
    <row r="326" spans="1:12" customFormat="1" ht="15.8" customHeight="1" x14ac:dyDescent="0.25">
      <c r="A326" s="27" t="s">
        <v>40</v>
      </c>
      <c r="B326" s="26" t="s">
        <v>13</v>
      </c>
      <c r="C326" s="39"/>
      <c r="D326" s="29">
        <v>46245</v>
      </c>
      <c r="E326" s="27" t="s">
        <v>45</v>
      </c>
      <c r="F326" s="27" t="s">
        <v>712</v>
      </c>
      <c r="G326" s="31"/>
      <c r="H326" s="27" t="s">
        <v>702</v>
      </c>
      <c r="I326" s="31"/>
      <c r="J326" s="26">
        <v>2</v>
      </c>
      <c r="K326" s="27" t="s">
        <v>48</v>
      </c>
      <c r="L326" s="31"/>
    </row>
    <row r="327" spans="1:12" customFormat="1" ht="15.8" customHeight="1" x14ac:dyDescent="0.25">
      <c r="A327" s="26" t="s">
        <v>40</v>
      </c>
      <c r="B327" s="26" t="s">
        <v>13</v>
      </c>
      <c r="C327" s="39"/>
      <c r="D327" s="30">
        <v>46246</v>
      </c>
      <c r="E327" s="26" t="s">
        <v>45</v>
      </c>
      <c r="F327" s="26" t="s">
        <v>713</v>
      </c>
      <c r="G327" s="28"/>
      <c r="H327" s="26" t="s">
        <v>702</v>
      </c>
      <c r="I327" s="28"/>
      <c r="J327" s="27">
        <v>2</v>
      </c>
      <c r="K327" s="26" t="s">
        <v>48</v>
      </c>
      <c r="L327" s="28"/>
    </row>
    <row r="328" spans="1:12" customFormat="1" ht="15.8" customHeight="1" x14ac:dyDescent="0.25">
      <c r="A328" s="27" t="s">
        <v>40</v>
      </c>
      <c r="B328" s="26" t="s">
        <v>13</v>
      </c>
      <c r="C328" s="39"/>
      <c r="D328" s="29">
        <v>46245</v>
      </c>
      <c r="E328" s="27" t="s">
        <v>45</v>
      </c>
      <c r="F328" s="27" t="s">
        <v>714</v>
      </c>
      <c r="G328" s="31"/>
      <c r="H328" s="27" t="s">
        <v>702</v>
      </c>
      <c r="I328" s="31"/>
      <c r="J328" s="26">
        <v>2</v>
      </c>
      <c r="K328" s="27" t="s">
        <v>48</v>
      </c>
      <c r="L328" s="31"/>
    </row>
    <row r="329" spans="1:12" customFormat="1" ht="15.8" customHeight="1" x14ac:dyDescent="0.25">
      <c r="A329" s="26" t="s">
        <v>40</v>
      </c>
      <c r="B329" s="26" t="s">
        <v>13</v>
      </c>
      <c r="C329" s="39"/>
      <c r="D329" s="30">
        <v>46246</v>
      </c>
      <c r="E329" s="26" t="s">
        <v>45</v>
      </c>
      <c r="F329" s="26" t="s">
        <v>715</v>
      </c>
      <c r="G329" s="28"/>
      <c r="H329" s="26" t="s">
        <v>702</v>
      </c>
      <c r="I329" s="28"/>
      <c r="J329" s="27">
        <v>2</v>
      </c>
      <c r="K329" s="26" t="s">
        <v>48</v>
      </c>
      <c r="L329" s="28"/>
    </row>
    <row r="330" spans="1:12" customFormat="1" ht="15.8" customHeight="1" x14ac:dyDescent="0.25">
      <c r="A330" s="27" t="s">
        <v>40</v>
      </c>
      <c r="B330" s="26" t="s">
        <v>13</v>
      </c>
      <c r="C330" s="39"/>
      <c r="D330" s="29">
        <v>46245</v>
      </c>
      <c r="E330" s="27" t="s">
        <v>45</v>
      </c>
      <c r="F330" s="27" t="s">
        <v>716</v>
      </c>
      <c r="G330" s="31"/>
      <c r="H330" s="27" t="s">
        <v>702</v>
      </c>
      <c r="I330" s="31"/>
      <c r="J330" s="26">
        <v>2</v>
      </c>
      <c r="K330" s="27" t="s">
        <v>48</v>
      </c>
      <c r="L330" s="31"/>
    </row>
    <row r="331" spans="1:12" customFormat="1" ht="15.8" customHeight="1" x14ac:dyDescent="0.25">
      <c r="A331" s="26" t="s">
        <v>40</v>
      </c>
      <c r="B331" s="26" t="s">
        <v>13</v>
      </c>
      <c r="C331" s="39"/>
      <c r="D331" s="30">
        <v>46246</v>
      </c>
      <c r="E331" s="26" t="s">
        <v>45</v>
      </c>
      <c r="F331" s="26" t="s">
        <v>717</v>
      </c>
      <c r="G331" s="28"/>
      <c r="H331" s="26" t="s">
        <v>702</v>
      </c>
      <c r="I331" s="28"/>
      <c r="J331" s="27">
        <v>2</v>
      </c>
      <c r="K331" s="26" t="s">
        <v>48</v>
      </c>
      <c r="L331" s="28"/>
    </row>
    <row r="332" spans="1:12" customFormat="1" ht="15.8" customHeight="1" x14ac:dyDescent="0.25">
      <c r="A332" s="27" t="s">
        <v>40</v>
      </c>
      <c r="B332" s="26" t="s">
        <v>13</v>
      </c>
      <c r="C332" s="39"/>
      <c r="D332" s="29">
        <v>46245</v>
      </c>
      <c r="E332" s="27" t="s">
        <v>45</v>
      </c>
      <c r="F332" s="27" t="s">
        <v>718</v>
      </c>
      <c r="G332" s="31"/>
      <c r="H332" s="27" t="s">
        <v>702</v>
      </c>
      <c r="I332" s="31"/>
      <c r="J332" s="26">
        <v>2</v>
      </c>
      <c r="K332" s="27" t="s">
        <v>48</v>
      </c>
      <c r="L332" s="31"/>
    </row>
    <row r="333" spans="1:12" customFormat="1" ht="15.8" customHeight="1" x14ac:dyDescent="0.25">
      <c r="A333" s="26" t="s">
        <v>40</v>
      </c>
      <c r="B333" s="26" t="s">
        <v>13</v>
      </c>
      <c r="C333" s="39"/>
      <c r="D333" s="30">
        <v>46247</v>
      </c>
      <c r="E333" s="26" t="s">
        <v>45</v>
      </c>
      <c r="F333" s="26" t="s">
        <v>719</v>
      </c>
      <c r="G333" s="28"/>
      <c r="H333" s="26" t="s">
        <v>702</v>
      </c>
      <c r="I333" s="28"/>
      <c r="J333" s="27">
        <v>2</v>
      </c>
      <c r="K333" s="26" t="s">
        <v>48</v>
      </c>
      <c r="L333" s="28"/>
    </row>
    <row r="334" spans="1:12" customFormat="1" ht="15.8" customHeight="1" x14ac:dyDescent="0.25">
      <c r="A334" s="27" t="s">
        <v>40</v>
      </c>
      <c r="B334" s="26" t="s">
        <v>13</v>
      </c>
      <c r="C334" s="39"/>
      <c r="D334" s="29">
        <v>46247</v>
      </c>
      <c r="E334" s="27" t="s">
        <v>45</v>
      </c>
      <c r="F334" s="27" t="s">
        <v>720</v>
      </c>
      <c r="G334" s="31"/>
      <c r="H334" s="27" t="s">
        <v>702</v>
      </c>
      <c r="I334" s="31"/>
      <c r="J334" s="26">
        <v>2</v>
      </c>
      <c r="K334" s="27" t="s">
        <v>48</v>
      </c>
      <c r="L334" s="31"/>
    </row>
    <row r="335" spans="1:12" customFormat="1" ht="15.8" customHeight="1" x14ac:dyDescent="0.25">
      <c r="A335" s="26" t="s">
        <v>40</v>
      </c>
      <c r="B335" s="26" t="s">
        <v>13</v>
      </c>
      <c r="C335" s="39"/>
      <c r="D335" s="30">
        <v>46247</v>
      </c>
      <c r="E335" s="26" t="s">
        <v>45</v>
      </c>
      <c r="F335" s="26" t="s">
        <v>721</v>
      </c>
      <c r="G335" s="28"/>
      <c r="H335" s="26" t="s">
        <v>702</v>
      </c>
      <c r="I335" s="28"/>
      <c r="J335" s="27">
        <v>2</v>
      </c>
      <c r="K335" s="26" t="s">
        <v>48</v>
      </c>
      <c r="L335" s="28"/>
    </row>
    <row r="336" spans="1:12" customFormat="1" ht="15.8" customHeight="1" x14ac:dyDescent="0.25">
      <c r="A336" s="27" t="s">
        <v>40</v>
      </c>
      <c r="B336" s="26" t="s">
        <v>13</v>
      </c>
      <c r="C336" s="39"/>
      <c r="D336" s="29">
        <v>46247</v>
      </c>
      <c r="E336" s="27" t="s">
        <v>45</v>
      </c>
      <c r="F336" s="27" t="s">
        <v>722</v>
      </c>
      <c r="G336" s="31"/>
      <c r="H336" s="27" t="s">
        <v>702</v>
      </c>
      <c r="I336" s="31"/>
      <c r="J336" s="26">
        <v>2</v>
      </c>
      <c r="K336" s="27" t="s">
        <v>48</v>
      </c>
      <c r="L336" s="31"/>
    </row>
    <row r="337" spans="1:12" customFormat="1" ht="15.8" customHeight="1" x14ac:dyDescent="0.25">
      <c r="A337" s="27" t="s">
        <v>40</v>
      </c>
      <c r="B337" s="27" t="s">
        <v>26</v>
      </c>
      <c r="C337" s="39"/>
      <c r="D337" s="30">
        <v>46248</v>
      </c>
      <c r="E337" s="27" t="s">
        <v>723</v>
      </c>
      <c r="F337" s="27" t="s">
        <v>688</v>
      </c>
      <c r="G337" s="31"/>
      <c r="H337" s="27" t="s">
        <v>724</v>
      </c>
      <c r="I337" s="27" t="s">
        <v>51</v>
      </c>
      <c r="J337" s="27">
        <v>3</v>
      </c>
      <c r="K337" s="27" t="s">
        <v>676</v>
      </c>
      <c r="L337" s="27" t="s">
        <v>51</v>
      </c>
    </row>
    <row r="338" spans="1:12" customFormat="1" ht="15.8" customHeight="1" x14ac:dyDescent="0.25">
      <c r="A338" s="26" t="s">
        <v>41</v>
      </c>
      <c r="B338" s="26" t="s">
        <v>9</v>
      </c>
      <c r="C338" s="39"/>
      <c r="D338" s="29">
        <v>46249</v>
      </c>
      <c r="E338" s="26" t="s">
        <v>45</v>
      </c>
      <c r="F338" s="26" t="s">
        <v>725</v>
      </c>
      <c r="G338" s="26" t="s">
        <v>725</v>
      </c>
      <c r="H338" s="26" t="s">
        <v>726</v>
      </c>
      <c r="I338" s="26" t="s">
        <v>54</v>
      </c>
      <c r="J338" s="26">
        <v>4</v>
      </c>
      <c r="K338" s="26" t="s">
        <v>56</v>
      </c>
      <c r="L338" s="26" t="s">
        <v>54</v>
      </c>
    </row>
    <row r="339" spans="1:12" customFormat="1" ht="15.8" customHeight="1" x14ac:dyDescent="0.25">
      <c r="A339" s="27" t="s">
        <v>47</v>
      </c>
      <c r="B339" s="27" t="s">
        <v>16</v>
      </c>
      <c r="C339" s="39"/>
      <c r="D339" s="30">
        <v>46249</v>
      </c>
      <c r="E339" s="27" t="s">
        <v>45</v>
      </c>
      <c r="F339" s="27" t="s">
        <v>727</v>
      </c>
      <c r="G339" s="27" t="s">
        <v>427</v>
      </c>
      <c r="H339" s="27" t="s">
        <v>728</v>
      </c>
      <c r="I339" s="27" t="s">
        <v>54</v>
      </c>
      <c r="J339" s="27">
        <v>5</v>
      </c>
      <c r="K339" s="27" t="s">
        <v>729</v>
      </c>
      <c r="L339" s="31"/>
    </row>
    <row r="340" spans="1:12" customFormat="1" ht="15.8" customHeight="1" x14ac:dyDescent="0.25">
      <c r="A340" s="26" t="s">
        <v>40</v>
      </c>
      <c r="B340" s="26" t="s">
        <v>13</v>
      </c>
      <c r="C340" s="39"/>
      <c r="D340" s="29">
        <v>46249</v>
      </c>
      <c r="E340" s="26" t="s">
        <v>730</v>
      </c>
      <c r="F340" s="26" t="s">
        <v>731</v>
      </c>
      <c r="G340" s="28"/>
      <c r="H340" s="26" t="s">
        <v>732</v>
      </c>
      <c r="I340" s="26" t="s">
        <v>51</v>
      </c>
      <c r="J340" s="26">
        <v>4</v>
      </c>
      <c r="K340" s="26" t="s">
        <v>55</v>
      </c>
      <c r="L340" s="26" t="s">
        <v>51</v>
      </c>
    </row>
    <row r="341" spans="1:12" customFormat="1" ht="15.8" customHeight="1" x14ac:dyDescent="0.25">
      <c r="A341" s="27" t="s">
        <v>40</v>
      </c>
      <c r="B341" s="27" t="s">
        <v>4</v>
      </c>
      <c r="C341" s="39"/>
      <c r="D341" s="30">
        <v>46249</v>
      </c>
      <c r="E341" s="27" t="s">
        <v>733</v>
      </c>
      <c r="F341" s="27" t="s">
        <v>734</v>
      </c>
      <c r="G341" s="27" t="s">
        <v>53</v>
      </c>
      <c r="H341" s="27" t="s">
        <v>735</v>
      </c>
      <c r="I341" s="27" t="s">
        <v>51</v>
      </c>
      <c r="J341" s="27">
        <v>4</v>
      </c>
      <c r="K341" s="27" t="s">
        <v>55</v>
      </c>
      <c r="L341" s="27" t="s">
        <v>51</v>
      </c>
    </row>
    <row r="342" spans="1:12" customFormat="1" ht="15.8" customHeight="1" x14ac:dyDescent="0.25">
      <c r="A342" s="26" t="s">
        <v>40</v>
      </c>
      <c r="B342" s="26" t="s">
        <v>13</v>
      </c>
      <c r="C342" s="39"/>
      <c r="D342" s="29">
        <v>46250</v>
      </c>
      <c r="E342" s="26" t="s">
        <v>736</v>
      </c>
      <c r="F342" s="26" t="s">
        <v>737</v>
      </c>
      <c r="G342" s="26" t="s">
        <v>738</v>
      </c>
      <c r="H342" s="26" t="s">
        <v>739</v>
      </c>
      <c r="I342" s="28"/>
      <c r="J342" s="26">
        <v>7</v>
      </c>
      <c r="K342" s="26" t="s">
        <v>740</v>
      </c>
      <c r="L342" s="28"/>
    </row>
    <row r="343" spans="1:12" customFormat="1" ht="15.8" customHeight="1" x14ac:dyDescent="0.25">
      <c r="A343" s="27" t="s">
        <v>47</v>
      </c>
      <c r="B343" s="27" t="s">
        <v>17</v>
      </c>
      <c r="C343" s="39"/>
      <c r="D343" s="30">
        <v>46252</v>
      </c>
      <c r="E343" s="27" t="s">
        <v>45</v>
      </c>
      <c r="F343" s="27" t="s">
        <v>741</v>
      </c>
      <c r="G343" s="27" t="s">
        <v>742</v>
      </c>
      <c r="H343" s="27" t="s">
        <v>743</v>
      </c>
      <c r="I343" s="31"/>
      <c r="J343" s="27">
        <v>2</v>
      </c>
      <c r="K343" s="27" t="s">
        <v>55</v>
      </c>
      <c r="L343" s="31"/>
    </row>
    <row r="344" spans="1:12" customFormat="1" ht="15.8" customHeight="1" x14ac:dyDescent="0.25">
      <c r="A344" s="26" t="s">
        <v>40</v>
      </c>
      <c r="B344" s="26" t="s">
        <v>2</v>
      </c>
      <c r="C344" s="39"/>
      <c r="D344" s="29">
        <v>46253</v>
      </c>
      <c r="E344" s="26" t="s">
        <v>65</v>
      </c>
      <c r="F344" s="26" t="s">
        <v>744</v>
      </c>
      <c r="G344" s="26" t="s">
        <v>744</v>
      </c>
      <c r="H344" s="26" t="s">
        <v>2</v>
      </c>
      <c r="I344" s="28"/>
      <c r="J344" s="26">
        <v>2</v>
      </c>
      <c r="K344" s="26" t="s">
        <v>48</v>
      </c>
      <c r="L344" s="28"/>
    </row>
    <row r="345" spans="1:12" customFormat="1" ht="15.8" customHeight="1" x14ac:dyDescent="0.25">
      <c r="A345" s="27" t="s">
        <v>41</v>
      </c>
      <c r="B345" s="27" t="s">
        <v>9</v>
      </c>
      <c r="C345" s="39"/>
      <c r="D345" s="30">
        <v>46254</v>
      </c>
      <c r="E345" s="27" t="s">
        <v>745</v>
      </c>
      <c r="F345" s="27" t="s">
        <v>746</v>
      </c>
      <c r="G345" s="27" t="s">
        <v>66</v>
      </c>
      <c r="H345" s="27" t="s">
        <v>747</v>
      </c>
      <c r="I345" s="27" t="s">
        <v>748</v>
      </c>
      <c r="J345" s="27">
        <v>4</v>
      </c>
      <c r="K345" s="27" t="s">
        <v>749</v>
      </c>
      <c r="L345" s="27" t="s">
        <v>46</v>
      </c>
    </row>
    <row r="346" spans="1:12" customFormat="1" ht="15.8" customHeight="1" x14ac:dyDescent="0.25">
      <c r="A346" s="26" t="s">
        <v>41</v>
      </c>
      <c r="B346" s="26" t="s">
        <v>10</v>
      </c>
      <c r="C346" s="39"/>
      <c r="D346" s="29">
        <v>46255</v>
      </c>
      <c r="E346" s="26" t="s">
        <v>750</v>
      </c>
      <c r="F346" s="26" t="s">
        <v>746</v>
      </c>
      <c r="G346" s="26" t="s">
        <v>66</v>
      </c>
      <c r="H346" s="26" t="s">
        <v>751</v>
      </c>
      <c r="I346" s="26" t="s">
        <v>748</v>
      </c>
      <c r="J346" s="26">
        <v>3</v>
      </c>
      <c r="K346" s="26" t="s">
        <v>56</v>
      </c>
      <c r="L346" s="26" t="s">
        <v>46</v>
      </c>
    </row>
    <row r="347" spans="1:12" customFormat="1" ht="15.8" customHeight="1" x14ac:dyDescent="0.25">
      <c r="A347" s="27" t="s">
        <v>40</v>
      </c>
      <c r="B347" s="27" t="s">
        <v>0</v>
      </c>
      <c r="C347" s="39"/>
      <c r="D347" s="30">
        <v>46257</v>
      </c>
      <c r="E347" s="27" t="s">
        <v>752</v>
      </c>
      <c r="F347" s="27" t="s">
        <v>753</v>
      </c>
      <c r="G347" s="27" t="s">
        <v>754</v>
      </c>
      <c r="H347" s="27" t="s">
        <v>755</v>
      </c>
      <c r="I347" s="27" t="s">
        <v>51</v>
      </c>
      <c r="J347" s="27">
        <v>3</v>
      </c>
      <c r="K347" s="27" t="s">
        <v>55</v>
      </c>
      <c r="L347" s="27" t="s">
        <v>51</v>
      </c>
    </row>
    <row r="348" spans="1:12" customFormat="1" ht="15.8" customHeight="1" x14ac:dyDescent="0.25">
      <c r="A348" s="26" t="s">
        <v>40</v>
      </c>
      <c r="B348" s="26" t="s">
        <v>13</v>
      </c>
      <c r="C348" s="39"/>
      <c r="D348" s="29">
        <v>46257</v>
      </c>
      <c r="E348" s="26" t="s">
        <v>423</v>
      </c>
      <c r="F348" s="26" t="s">
        <v>756</v>
      </c>
      <c r="G348" s="28"/>
      <c r="H348" s="26" t="s">
        <v>757</v>
      </c>
      <c r="I348" s="28"/>
      <c r="J348" s="26">
        <v>3</v>
      </c>
      <c r="K348" s="26" t="s">
        <v>55</v>
      </c>
      <c r="L348" s="28"/>
    </row>
    <row r="349" spans="1:12" customFormat="1" ht="15.8" customHeight="1" x14ac:dyDescent="0.25">
      <c r="A349" s="27" t="s">
        <v>40</v>
      </c>
      <c r="B349" s="27" t="s">
        <v>13</v>
      </c>
      <c r="C349" s="39"/>
      <c r="D349" s="30">
        <v>46257</v>
      </c>
      <c r="E349" s="27" t="s">
        <v>423</v>
      </c>
      <c r="F349" s="27" t="s">
        <v>758</v>
      </c>
      <c r="G349" s="31"/>
      <c r="H349" s="27" t="s">
        <v>757</v>
      </c>
      <c r="I349" s="31"/>
      <c r="J349" s="27">
        <v>3</v>
      </c>
      <c r="K349" s="27" t="s">
        <v>55</v>
      </c>
      <c r="L349" s="31"/>
    </row>
    <row r="350" spans="1:12" customFormat="1" ht="15.8" customHeight="1" x14ac:dyDescent="0.25">
      <c r="A350" s="26" t="s">
        <v>40</v>
      </c>
      <c r="B350" s="26" t="s">
        <v>13</v>
      </c>
      <c r="C350" s="39"/>
      <c r="D350" s="29">
        <v>46257</v>
      </c>
      <c r="E350" s="26" t="s">
        <v>423</v>
      </c>
      <c r="F350" s="26" t="s">
        <v>759</v>
      </c>
      <c r="G350" s="28"/>
      <c r="H350" s="26" t="s">
        <v>757</v>
      </c>
      <c r="I350" s="28"/>
      <c r="J350" s="26">
        <v>3</v>
      </c>
      <c r="K350" s="26" t="s">
        <v>55</v>
      </c>
      <c r="L350" s="28"/>
    </row>
    <row r="351" spans="1:12" customFormat="1" ht="15.8" customHeight="1" x14ac:dyDescent="0.25">
      <c r="A351" s="27" t="s">
        <v>40</v>
      </c>
      <c r="B351" s="27" t="s">
        <v>13</v>
      </c>
      <c r="C351" s="39"/>
      <c r="D351" s="30">
        <v>46257</v>
      </c>
      <c r="E351" s="27" t="s">
        <v>423</v>
      </c>
      <c r="F351" s="27" t="s">
        <v>760</v>
      </c>
      <c r="G351" s="31"/>
      <c r="H351" s="27" t="s">
        <v>757</v>
      </c>
      <c r="I351" s="31"/>
      <c r="J351" s="27">
        <v>3</v>
      </c>
      <c r="K351" s="27" t="s">
        <v>55</v>
      </c>
      <c r="L351" s="31"/>
    </row>
    <row r="352" spans="1:12" customFormat="1" ht="15.8" customHeight="1" x14ac:dyDescent="0.25">
      <c r="A352" s="26" t="s">
        <v>40</v>
      </c>
      <c r="B352" s="26" t="s">
        <v>13</v>
      </c>
      <c r="C352" s="39"/>
      <c r="D352" s="29">
        <v>46257</v>
      </c>
      <c r="E352" s="26" t="s">
        <v>423</v>
      </c>
      <c r="F352" s="26" t="s">
        <v>761</v>
      </c>
      <c r="G352" s="28"/>
      <c r="H352" s="26" t="s">
        <v>757</v>
      </c>
      <c r="I352" s="28"/>
      <c r="J352" s="26">
        <v>3</v>
      </c>
      <c r="K352" s="26" t="s">
        <v>55</v>
      </c>
      <c r="L352" s="28"/>
    </row>
    <row r="353" spans="1:12" customFormat="1" ht="15.8" customHeight="1" x14ac:dyDescent="0.25">
      <c r="A353" s="27" t="s">
        <v>40</v>
      </c>
      <c r="B353" s="27" t="s">
        <v>13</v>
      </c>
      <c r="C353" s="39"/>
      <c r="D353" s="30">
        <v>46257</v>
      </c>
      <c r="E353" s="27" t="s">
        <v>423</v>
      </c>
      <c r="F353" s="27" t="s">
        <v>762</v>
      </c>
      <c r="G353" s="31"/>
      <c r="H353" s="27" t="s">
        <v>757</v>
      </c>
      <c r="I353" s="31"/>
      <c r="J353" s="27">
        <v>3</v>
      </c>
      <c r="K353" s="27" t="s">
        <v>55</v>
      </c>
      <c r="L353" s="31"/>
    </row>
    <row r="354" spans="1:12" customFormat="1" ht="15.8" customHeight="1" x14ac:dyDescent="0.25">
      <c r="A354" s="26" t="s">
        <v>40</v>
      </c>
      <c r="B354" s="26" t="s">
        <v>13</v>
      </c>
      <c r="C354" s="39"/>
      <c r="D354" s="29">
        <v>46258</v>
      </c>
      <c r="E354" s="26" t="s">
        <v>82</v>
      </c>
      <c r="F354" s="26" t="s">
        <v>763</v>
      </c>
      <c r="G354" s="26" t="s">
        <v>66</v>
      </c>
      <c r="H354" s="26" t="s">
        <v>764</v>
      </c>
      <c r="I354" s="26" t="s">
        <v>765</v>
      </c>
      <c r="J354" s="26">
        <v>2</v>
      </c>
      <c r="K354" s="26" t="s">
        <v>52</v>
      </c>
      <c r="L354" s="26" t="s">
        <v>46</v>
      </c>
    </row>
    <row r="355" spans="1:12" customFormat="1" ht="15.8" customHeight="1" x14ac:dyDescent="0.25">
      <c r="A355" s="27" t="s">
        <v>41</v>
      </c>
      <c r="B355" s="27" t="s">
        <v>9</v>
      </c>
      <c r="C355" s="39"/>
      <c r="D355" s="30">
        <v>46258</v>
      </c>
      <c r="E355" s="27" t="s">
        <v>45</v>
      </c>
      <c r="F355" s="27" t="s">
        <v>766</v>
      </c>
      <c r="G355" s="27" t="s">
        <v>474</v>
      </c>
      <c r="H355" s="27" t="s">
        <v>767</v>
      </c>
      <c r="I355" s="27" t="s">
        <v>768</v>
      </c>
      <c r="J355" s="27">
        <v>3</v>
      </c>
      <c r="K355" s="27" t="s">
        <v>56</v>
      </c>
      <c r="L355" s="27" t="s">
        <v>769</v>
      </c>
    </row>
    <row r="356" spans="1:12" customFormat="1" ht="15.8" customHeight="1" x14ac:dyDescent="0.25">
      <c r="A356" s="26" t="s">
        <v>47</v>
      </c>
      <c r="B356" s="26" t="s">
        <v>17</v>
      </c>
      <c r="C356" s="39"/>
      <c r="D356" s="29">
        <v>46260</v>
      </c>
      <c r="E356" s="26" t="s">
        <v>770</v>
      </c>
      <c r="F356" s="26" t="s">
        <v>771</v>
      </c>
      <c r="G356" s="26" t="s">
        <v>772</v>
      </c>
      <c r="H356" s="26" t="s">
        <v>773</v>
      </c>
      <c r="I356" s="26" t="s">
        <v>46</v>
      </c>
      <c r="J356" s="26">
        <v>2</v>
      </c>
      <c r="K356" s="26" t="s">
        <v>55</v>
      </c>
      <c r="L356" s="28"/>
    </row>
    <row r="357" spans="1:12" customFormat="1" ht="15.8" customHeight="1" x14ac:dyDescent="0.25">
      <c r="A357" s="27" t="s">
        <v>40</v>
      </c>
      <c r="B357" s="27" t="s">
        <v>26</v>
      </c>
      <c r="C357" s="39"/>
      <c r="D357" s="30">
        <v>46262</v>
      </c>
      <c r="E357" s="27" t="s">
        <v>45</v>
      </c>
      <c r="F357" s="27" t="s">
        <v>774</v>
      </c>
      <c r="G357" s="27" t="s">
        <v>427</v>
      </c>
      <c r="H357" s="27" t="s">
        <v>54</v>
      </c>
      <c r="I357" s="31"/>
      <c r="J357" s="27">
        <v>2</v>
      </c>
      <c r="K357" s="27" t="s">
        <v>56</v>
      </c>
      <c r="L357" s="31"/>
    </row>
    <row r="358" spans="1:12" customFormat="1" ht="15.8" customHeight="1" x14ac:dyDescent="0.25">
      <c r="A358" s="26" t="s">
        <v>41</v>
      </c>
      <c r="B358" s="26" t="s">
        <v>9</v>
      </c>
      <c r="C358" s="40"/>
      <c r="D358" s="29">
        <v>46264</v>
      </c>
      <c r="E358" s="26" t="s">
        <v>82</v>
      </c>
      <c r="F358" s="26" t="s">
        <v>775</v>
      </c>
      <c r="G358" s="26" t="s">
        <v>776</v>
      </c>
      <c r="H358" s="26" t="s">
        <v>777</v>
      </c>
      <c r="I358" s="26" t="s">
        <v>778</v>
      </c>
      <c r="J358" s="26">
        <v>3</v>
      </c>
      <c r="K358" s="26" t="s">
        <v>56</v>
      </c>
      <c r="L358" s="26" t="s">
        <v>46</v>
      </c>
    </row>
    <row r="359" spans="1:12" ht="41.45" thickBot="1" x14ac:dyDescent="0.3">
      <c r="A359" s="21" t="s">
        <v>42</v>
      </c>
      <c r="B359" s="22">
        <f>COUNTA(B3:B358)</f>
        <v>355</v>
      </c>
      <c r="C359" s="22">
        <f>SUM(C4)</f>
        <v>2</v>
      </c>
      <c r="D359" s="23"/>
      <c r="E359" s="23"/>
      <c r="F359" s="23"/>
      <c r="G359" s="24"/>
      <c r="H359" s="23"/>
      <c r="I359" s="23"/>
      <c r="J359" s="23"/>
      <c r="K359" s="23"/>
      <c r="L359" s="25"/>
    </row>
  </sheetData>
  <mergeCells count="12">
    <mergeCell ref="C4:C358"/>
    <mergeCell ref="K1:K2"/>
    <mergeCell ref="L1:L2"/>
    <mergeCell ref="A1:A2"/>
    <mergeCell ref="B1:B2"/>
    <mergeCell ref="D1:D2"/>
    <mergeCell ref="E1:E2"/>
    <mergeCell ref="F1:F2"/>
    <mergeCell ref="G1:G2"/>
    <mergeCell ref="H1:H2"/>
    <mergeCell ref="I1:I2"/>
    <mergeCell ref="J1:J2"/>
  </mergeCells>
  <conditionalFormatting sqref="B1:B2 B359:B1048576">
    <cfRule type="cellIs" dxfId="5" priority="20" operator="equal">
      <formula>$C$2</formula>
    </cfRule>
  </conditionalFormatting>
  <conditionalFormatting sqref="C2">
    <cfRule type="cellIs" dxfId="4" priority="19" operator="equal">
      <formula>$C$2</formula>
    </cfRule>
  </conditionalFormatting>
  <conditionalFormatting sqref="B1:B2">
    <cfRule type="cellIs" dxfId="3" priority="18" operator="equal">
      <formula>$C$2</formula>
    </cfRule>
  </conditionalFormatting>
  <conditionalFormatting sqref="B3:B358">
    <cfRule type="cellIs" dxfId="0" priority="1" operator="equal">
      <formula>$C$2</formula>
    </cfRule>
  </conditionalFormatting>
  <dataValidations count="2">
    <dataValidation type="list" errorStyle="warning" allowBlank="1" showInputMessage="1" showErrorMessage="1" sqref="C2" xr:uid="{00000000-0002-0000-0100-000001000000}">
      <formula1>$Q$1:$AN$1</formula1>
    </dataValidation>
    <dataValidation type="list" allowBlank="1" showInputMessage="1" sqref="C3:C358" xr:uid="{00000000-0002-0000-0100-000002000000}">
      <formula1>$Q$1:$AN$1</formula1>
    </dataValidation>
  </dataValidation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CONSOLIDADO</vt:lpstr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SECRETARIO</dc:creator>
  <cp:lastModifiedBy>Equipo</cp:lastModifiedBy>
  <dcterms:created xsi:type="dcterms:W3CDTF">2015-06-05T18:19:34Z</dcterms:created>
  <dcterms:modified xsi:type="dcterms:W3CDTF">2026-09-09T14:23:00Z</dcterms:modified>
</cp:coreProperties>
</file>