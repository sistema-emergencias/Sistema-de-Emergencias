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quipo\Documents\AÑO 2026\OFICINA 2026\10- ESTADISTICAS\"/>
    </mc:Choice>
  </mc:AlternateContent>
  <xr:revisionPtr revIDLastSave="0" documentId="13_ncr:1_{A4A236C3-1A2F-441A-9256-6543C1FE364C}" xr6:coauthVersionLast="47" xr6:coauthVersionMax="47" xr10:uidLastSave="{00000000-0000-0000-0000-000000000000}"/>
  <bookViews>
    <workbookView xWindow="-109" yWindow="-109" windowWidth="19780" windowHeight="11860" firstSheet="1" activeTab="3" xr2:uid="{00000000-000D-0000-FFFF-FFFF00000000}"/>
  </bookViews>
  <sheets>
    <sheet name="CONSOLIDADO 5 AÑOS" sheetId="15" r:id="rId1"/>
    <sheet name="CONSOLIDADO AÑO 2026" sheetId="17" r:id="rId2"/>
    <sheet name="DETALLADO X MES 2026" sheetId="4" r:id="rId3"/>
    <sheet name="2026" sheetId="19" r:id="rId4"/>
    <sheet name="2025" sheetId="18" r:id="rId5"/>
    <sheet name="2024" sheetId="5" r:id="rId6"/>
    <sheet name="2023" sheetId="1" r:id="rId7"/>
    <sheet name="2022" sheetId="2" r:id="rId8"/>
    <sheet name="2021" sheetId="3" r:id="rId9"/>
    <sheet name="2020" sheetId="6" r:id="rId10"/>
    <sheet name="2019" sheetId="7" r:id="rId11"/>
    <sheet name="2018" sheetId="8" r:id="rId12"/>
    <sheet name="2017" sheetId="9" r:id="rId13"/>
    <sheet name="2016" sheetId="10" r:id="rId14"/>
    <sheet name="2015" sheetId="11" r:id="rId15"/>
    <sheet name="2014" sheetId="12" r:id="rId16"/>
    <sheet name="2013" sheetId="13" r:id="rId17"/>
    <sheet name="FORESTALES 10 AÑOS" sheetId="14" r:id="rId18"/>
    <sheet name="GR DE INCENDIOS 10 AÑOS" sheetId="16" r:id="rId19"/>
  </sheets>
  <definedNames>
    <definedName name="_xlnm._FilterDatabase" localSheetId="6" hidden="1">'2023'!$A$1:$AS$1</definedName>
    <definedName name="_xlnm._FilterDatabase" localSheetId="5" hidden="1">'2024'!$A$1:$AS$1</definedName>
    <definedName name="_xlnm._FilterDatabase" localSheetId="4" hidden="1">'2025'!$A$1:$AR$1</definedName>
    <definedName name="_xlnm._FilterDatabase" localSheetId="3" hidden="1">'2026'!$A$1:$AR$1</definedName>
    <definedName name="_xlnm.Print_Area" localSheetId="0">'CONSOLIDADO 5 AÑOS'!$A$1:$R$166</definedName>
    <definedName name="_xlnm.Print_Area" localSheetId="1">'CONSOLIDADO AÑO 2026'!$A$1:$R$166</definedName>
    <definedName name="_xlnm.Print_Area" localSheetId="2">'DETALLADO X MES 2026'!$A$1:$R$170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59" i="19" l="1"/>
  <c r="C559" i="19"/>
  <c r="C529" i="19"/>
  <c r="B10" i="17" l="1"/>
  <c r="Z1" i="4"/>
  <c r="AB1" i="4"/>
  <c r="AA1" i="4"/>
  <c r="B6" i="17"/>
  <c r="B9" i="17"/>
  <c r="B13" i="17"/>
  <c r="B14" i="17"/>
  <c r="B17" i="17"/>
  <c r="B18" i="17"/>
  <c r="B21" i="17"/>
  <c r="B22" i="17"/>
  <c r="B25" i="17"/>
  <c r="B3" i="17"/>
  <c r="B7" i="17"/>
  <c r="B251" i="18"/>
  <c r="C2" i="19"/>
  <c r="C173" i="19" l="1"/>
  <c r="I10" i="4" s="1"/>
  <c r="I94" i="4" s="1"/>
  <c r="C153" i="19"/>
  <c r="H10" i="4" s="1"/>
  <c r="H94" i="4" s="1"/>
  <c r="C129" i="19"/>
  <c r="G10" i="4" s="1"/>
  <c r="G94" i="4" s="1"/>
  <c r="C4" i="19"/>
  <c r="C103" i="19"/>
  <c r="F10" i="4" s="1"/>
  <c r="F94" i="4" s="1"/>
  <c r="C80" i="19"/>
  <c r="E10" i="4" s="1"/>
  <c r="E94" i="4" s="1"/>
  <c r="C55" i="19"/>
  <c r="D10" i="4" s="1"/>
  <c r="D94" i="4" s="1"/>
  <c r="C20" i="19"/>
  <c r="C10" i="4" s="1"/>
  <c r="C94" i="4" s="1"/>
  <c r="B5" i="17"/>
  <c r="B24" i="17"/>
  <c r="B20" i="17"/>
  <c r="B16" i="17"/>
  <c r="B12" i="17"/>
  <c r="B8" i="17"/>
  <c r="B4" i="17"/>
  <c r="B23" i="17"/>
  <c r="B19" i="17"/>
  <c r="B15" i="17"/>
  <c r="B11" i="17"/>
  <c r="H45" i="15"/>
  <c r="C2" i="18"/>
  <c r="B413" i="5"/>
  <c r="B10" i="4" l="1"/>
  <c r="B94" i="4" s="1"/>
  <c r="N94" i="4" s="1"/>
  <c r="C240" i="18"/>
  <c r="M9" i="4" s="1"/>
  <c r="C225" i="18"/>
  <c r="L9" i="4" s="1"/>
  <c r="C206" i="18"/>
  <c r="K9" i="4" s="1"/>
  <c r="C184" i="18"/>
  <c r="J9" i="4" s="1"/>
  <c r="C171" i="18"/>
  <c r="I9" i="4" s="1"/>
  <c r="I93" i="4" s="1"/>
  <c r="C129" i="18"/>
  <c r="G9" i="4" s="1"/>
  <c r="G93" i="4" s="1"/>
  <c r="C144" i="18"/>
  <c r="H9" i="4" s="1"/>
  <c r="H93" i="4" s="1"/>
  <c r="C105" i="18"/>
  <c r="F9" i="4" s="1"/>
  <c r="F93" i="4" s="1"/>
  <c r="C77" i="18"/>
  <c r="C57" i="18"/>
  <c r="C34" i="18"/>
  <c r="C4" i="18"/>
  <c r="B14" i="16"/>
  <c r="D13" i="16"/>
  <c r="D12" i="16"/>
  <c r="D11" i="16"/>
  <c r="D10" i="16"/>
  <c r="D9" i="16"/>
  <c r="D8" i="16"/>
  <c r="D7" i="16"/>
  <c r="D6" i="16"/>
  <c r="D5" i="16"/>
  <c r="D4" i="16"/>
  <c r="C3" i="16"/>
  <c r="P94" i="4" l="1"/>
  <c r="C251" i="18"/>
  <c r="E9" i="4"/>
  <c r="E93" i="4" s="1"/>
  <c r="B9" i="4"/>
  <c r="D9" i="4"/>
  <c r="D93" i="4" s="1"/>
  <c r="C9" i="4"/>
  <c r="C93" i="4" s="1"/>
  <c r="C2" i="3"/>
  <c r="C321" i="3" s="1"/>
  <c r="C2" i="2"/>
  <c r="C326" i="2" s="1"/>
  <c r="C2" i="1"/>
  <c r="G45" i="15"/>
  <c r="C2" i="5"/>
  <c r="C265" i="5" s="1"/>
  <c r="H8" i="4" s="1"/>
  <c r="H92" i="4" s="1"/>
  <c r="B93" i="4" l="1"/>
  <c r="N93" i="4" s="1"/>
  <c r="P9" i="4"/>
  <c r="N9" i="4"/>
  <c r="P93" i="4"/>
  <c r="C51" i="5"/>
  <c r="C8" i="4" s="1"/>
  <c r="C92" i="4" s="1"/>
  <c r="C168" i="5"/>
  <c r="E8" i="4" s="1"/>
  <c r="E92" i="4" s="1"/>
  <c r="C344" i="5"/>
  <c r="K8" i="4" s="1"/>
  <c r="C392" i="5"/>
  <c r="M8" i="4" s="1"/>
  <c r="C372" i="5"/>
  <c r="L8" i="4" s="1"/>
  <c r="C326" i="5"/>
  <c r="J8" i="4" s="1"/>
  <c r="C292" i="5"/>
  <c r="I8" i="4" s="1"/>
  <c r="I92" i="4" s="1"/>
  <c r="C239" i="5"/>
  <c r="G8" i="4" s="1"/>
  <c r="G92" i="4" s="1"/>
  <c r="C209" i="5"/>
  <c r="F8" i="4" s="1"/>
  <c r="F92" i="4" s="1"/>
  <c r="C107" i="5"/>
  <c r="D8" i="4" s="1"/>
  <c r="D92" i="4" s="1"/>
  <c r="C4" i="3"/>
  <c r="C140" i="3"/>
  <c r="C366" i="2"/>
  <c r="C238" i="3"/>
  <c r="C24" i="2"/>
  <c r="C29" i="3"/>
  <c r="C269" i="3"/>
  <c r="C169" i="2"/>
  <c r="C116" i="3"/>
  <c r="C56" i="2"/>
  <c r="C212" i="2"/>
  <c r="C410" i="2"/>
  <c r="C89" i="2"/>
  <c r="C272" i="2"/>
  <c r="C454" i="2"/>
  <c r="M6" i="4" s="1"/>
  <c r="C67" i="3"/>
  <c r="C160" i="3"/>
  <c r="C296" i="3"/>
  <c r="C4" i="2"/>
  <c r="C130" i="2"/>
  <c r="C97" i="3"/>
  <c r="C192" i="3"/>
  <c r="C101" i="1"/>
  <c r="C227" i="1"/>
  <c r="C351" i="1"/>
  <c r="C40" i="1"/>
  <c r="C204" i="1"/>
  <c r="C330" i="1"/>
  <c r="C135" i="1"/>
  <c r="C257" i="1"/>
  <c r="C383" i="1"/>
  <c r="M7" i="4" s="1"/>
  <c r="C4" i="1"/>
  <c r="C179" i="1"/>
  <c r="C285" i="1"/>
  <c r="C4" i="5"/>
  <c r="B8" i="4" s="1"/>
  <c r="R94" i="4" l="1"/>
  <c r="C413" i="5"/>
  <c r="C485" i="2"/>
  <c r="C404" i="1"/>
  <c r="C3" i="14"/>
  <c r="D13" i="14"/>
  <c r="D5" i="14"/>
  <c r="D4" i="14"/>
  <c r="D6" i="14"/>
  <c r="D7" i="14"/>
  <c r="D8" i="14"/>
  <c r="D9" i="14"/>
  <c r="D10" i="14"/>
  <c r="D11" i="14"/>
  <c r="D12" i="14"/>
  <c r="B14" i="14"/>
  <c r="O93" i="6"/>
  <c r="N93" i="6"/>
  <c r="M93" i="6"/>
  <c r="L93" i="6"/>
  <c r="K93" i="6"/>
  <c r="J93" i="6"/>
  <c r="I93" i="6"/>
  <c r="H93" i="6"/>
  <c r="G93" i="6"/>
  <c r="F93" i="6"/>
  <c r="E93" i="6"/>
  <c r="D93" i="6"/>
  <c r="C93" i="6"/>
  <c r="O87" i="6"/>
  <c r="N87" i="6"/>
  <c r="M87" i="6"/>
  <c r="L87" i="6"/>
  <c r="K87" i="6"/>
  <c r="J87" i="6"/>
  <c r="I87" i="6"/>
  <c r="H87" i="6"/>
  <c r="G87" i="6"/>
  <c r="F87" i="6"/>
  <c r="E87" i="6"/>
  <c r="D87" i="6"/>
  <c r="C87" i="6"/>
  <c r="N77" i="6"/>
  <c r="M77" i="6"/>
  <c r="L77" i="6"/>
  <c r="K77" i="6"/>
  <c r="J77" i="6"/>
  <c r="I77" i="6"/>
  <c r="H77" i="6"/>
  <c r="G77" i="6"/>
  <c r="F77" i="6"/>
  <c r="E77" i="6"/>
  <c r="D77" i="6"/>
  <c r="C77" i="6"/>
  <c r="O76" i="6"/>
  <c r="O75" i="6"/>
  <c r="O74" i="6"/>
  <c r="O73" i="6"/>
  <c r="O72" i="6"/>
  <c r="O71" i="6"/>
  <c r="O70" i="6"/>
  <c r="O69" i="6"/>
  <c r="O68" i="6"/>
  <c r="N65" i="6"/>
  <c r="M65" i="6"/>
  <c r="L65" i="6"/>
  <c r="K65" i="6"/>
  <c r="J65" i="6"/>
  <c r="I65" i="6"/>
  <c r="H65" i="6"/>
  <c r="G65" i="6"/>
  <c r="F65" i="6"/>
  <c r="E65" i="6"/>
  <c r="D65" i="6"/>
  <c r="C65" i="6"/>
  <c r="O64" i="6"/>
  <c r="O63" i="6"/>
  <c r="O62" i="6"/>
  <c r="O61" i="6"/>
  <c r="O60" i="6"/>
  <c r="O59" i="6"/>
  <c r="N57" i="6"/>
  <c r="M57" i="6"/>
  <c r="L57" i="6"/>
  <c r="K57" i="6"/>
  <c r="J57" i="6"/>
  <c r="I57" i="6"/>
  <c r="H57" i="6"/>
  <c r="G57" i="6"/>
  <c r="F57" i="6"/>
  <c r="E57" i="6"/>
  <c r="D57" i="6"/>
  <c r="C57" i="6"/>
  <c r="O56" i="6"/>
  <c r="O55" i="6"/>
  <c r="O54" i="6"/>
  <c r="O53" i="6"/>
  <c r="O52" i="6"/>
  <c r="O51" i="6"/>
  <c r="O50" i="6"/>
  <c r="O49" i="6"/>
  <c r="O48" i="6"/>
  <c r="O47" i="6"/>
  <c r="O46" i="6"/>
  <c r="N44" i="6"/>
  <c r="M44" i="6"/>
  <c r="L44" i="6"/>
  <c r="K44" i="6"/>
  <c r="J44" i="6"/>
  <c r="I44" i="6"/>
  <c r="H44" i="6"/>
  <c r="G44" i="6"/>
  <c r="F44" i="6"/>
  <c r="E44" i="6"/>
  <c r="D44" i="6"/>
  <c r="C44" i="6"/>
  <c r="O43" i="6"/>
  <c r="O42" i="6"/>
  <c r="O41" i="6"/>
  <c r="O40" i="6"/>
  <c r="O39" i="6"/>
  <c r="N37" i="6"/>
  <c r="M37" i="6"/>
  <c r="L37" i="6"/>
  <c r="K37" i="6"/>
  <c r="J37" i="6"/>
  <c r="I37" i="6"/>
  <c r="H37" i="6"/>
  <c r="G37" i="6"/>
  <c r="F37" i="6"/>
  <c r="E37" i="6"/>
  <c r="D37" i="6"/>
  <c r="C37" i="6"/>
  <c r="O36" i="6"/>
  <c r="O35" i="6"/>
  <c r="O34" i="6"/>
  <c r="O33" i="6"/>
  <c r="O32" i="6"/>
  <c r="O31" i="6"/>
  <c r="O30" i="6"/>
  <c r="O29" i="6"/>
  <c r="O28" i="6"/>
  <c r="O27" i="6"/>
  <c r="O26" i="6"/>
  <c r="O25" i="6"/>
  <c r="O24" i="6"/>
  <c r="O23" i="6"/>
  <c r="O22" i="6"/>
  <c r="N20" i="6"/>
  <c r="M20" i="6"/>
  <c r="L20" i="6"/>
  <c r="K20" i="6"/>
  <c r="J20" i="6"/>
  <c r="I20" i="6"/>
  <c r="H20" i="6"/>
  <c r="G20" i="6"/>
  <c r="F20" i="6"/>
  <c r="E20" i="6"/>
  <c r="D20" i="6"/>
  <c r="C20" i="6"/>
  <c r="O19" i="6"/>
  <c r="O18" i="6"/>
  <c r="O17" i="6"/>
  <c r="O16" i="6"/>
  <c r="O15" i="6"/>
  <c r="O14" i="6"/>
  <c r="O13" i="6"/>
  <c r="O12" i="6"/>
  <c r="O11" i="6"/>
  <c r="O10" i="6"/>
  <c r="O9" i="6"/>
  <c r="O8" i="6"/>
  <c r="O37" i="6" l="1"/>
  <c r="O57" i="6"/>
  <c r="O20" i="6"/>
  <c r="O44" i="6"/>
  <c r="F66" i="6"/>
  <c r="F78" i="6" s="1"/>
  <c r="J66" i="6"/>
  <c r="J78" i="6" s="1"/>
  <c r="N66" i="6"/>
  <c r="N78" i="6" s="1"/>
  <c r="E66" i="6"/>
  <c r="E78" i="6" s="1"/>
  <c r="I66" i="6"/>
  <c r="I78" i="6" s="1"/>
  <c r="M66" i="6"/>
  <c r="M78" i="6" s="1"/>
  <c r="C66" i="6"/>
  <c r="G66" i="6"/>
  <c r="G78" i="6" s="1"/>
  <c r="K66" i="6"/>
  <c r="K78" i="6" s="1"/>
  <c r="D66" i="6"/>
  <c r="D78" i="6" s="1"/>
  <c r="H66" i="6"/>
  <c r="H78" i="6" s="1"/>
  <c r="L66" i="6"/>
  <c r="L78" i="6" s="1"/>
  <c r="O77" i="6"/>
  <c r="C78" i="6"/>
  <c r="O65" i="6"/>
  <c r="O66" i="6" l="1"/>
  <c r="O78" i="6"/>
  <c r="O93" i="7"/>
  <c r="N93" i="7"/>
  <c r="M93" i="7"/>
  <c r="L93" i="7"/>
  <c r="K93" i="7"/>
  <c r="J93" i="7"/>
  <c r="I93" i="7"/>
  <c r="H93" i="7"/>
  <c r="G93" i="7"/>
  <c r="F93" i="7"/>
  <c r="E93" i="7"/>
  <c r="D93" i="7"/>
  <c r="C93" i="7"/>
  <c r="O87" i="7"/>
  <c r="N87" i="7"/>
  <c r="M87" i="7"/>
  <c r="L87" i="7"/>
  <c r="K87" i="7"/>
  <c r="J87" i="7"/>
  <c r="I87" i="7"/>
  <c r="H87" i="7"/>
  <c r="G87" i="7"/>
  <c r="F87" i="7"/>
  <c r="E87" i="7"/>
  <c r="D87" i="7"/>
  <c r="C87" i="7"/>
  <c r="N77" i="7"/>
  <c r="M77" i="7"/>
  <c r="L77" i="7"/>
  <c r="K77" i="7"/>
  <c r="J77" i="7"/>
  <c r="I77" i="7"/>
  <c r="H77" i="7"/>
  <c r="G77" i="7"/>
  <c r="F77" i="7"/>
  <c r="E77" i="7"/>
  <c r="D77" i="7"/>
  <c r="C77" i="7"/>
  <c r="O77" i="7" s="1"/>
  <c r="O76" i="7"/>
  <c r="O75" i="7"/>
  <c r="O74" i="7"/>
  <c r="O73" i="7"/>
  <c r="O72" i="7"/>
  <c r="O71" i="7"/>
  <c r="O70" i="7"/>
  <c r="O69" i="7"/>
  <c r="O68" i="7"/>
  <c r="N65" i="7"/>
  <c r="M65" i="7"/>
  <c r="L65" i="7"/>
  <c r="L66" i="7" s="1"/>
  <c r="L78" i="7" s="1"/>
  <c r="K65" i="7"/>
  <c r="J65" i="7"/>
  <c r="I65" i="7"/>
  <c r="H65" i="7"/>
  <c r="H66" i="7" s="1"/>
  <c r="H78" i="7" s="1"/>
  <c r="G65" i="7"/>
  <c r="F65" i="7"/>
  <c r="E65" i="7"/>
  <c r="D65" i="7"/>
  <c r="D66" i="7" s="1"/>
  <c r="D78" i="7" s="1"/>
  <c r="C65" i="7"/>
  <c r="O64" i="7"/>
  <c r="O63" i="7"/>
  <c r="O62" i="7"/>
  <c r="O61" i="7"/>
  <c r="O60" i="7"/>
  <c r="O59" i="7"/>
  <c r="N57" i="7"/>
  <c r="M57" i="7"/>
  <c r="L57" i="7"/>
  <c r="K57" i="7"/>
  <c r="J57" i="7"/>
  <c r="I57" i="7"/>
  <c r="H57" i="7"/>
  <c r="G57" i="7"/>
  <c r="F57" i="7"/>
  <c r="E57" i="7"/>
  <c r="D57" i="7"/>
  <c r="C57" i="7"/>
  <c r="O56" i="7"/>
  <c r="O55" i="7"/>
  <c r="O54" i="7"/>
  <c r="O53" i="7"/>
  <c r="O52" i="7"/>
  <c r="O51" i="7"/>
  <c r="O50" i="7"/>
  <c r="O49" i="7"/>
  <c r="O48" i="7"/>
  <c r="O47" i="7"/>
  <c r="O46" i="7"/>
  <c r="N44" i="7"/>
  <c r="M44" i="7"/>
  <c r="L44" i="7"/>
  <c r="K44" i="7"/>
  <c r="J44" i="7"/>
  <c r="I44" i="7"/>
  <c r="H44" i="7"/>
  <c r="G44" i="7"/>
  <c r="F44" i="7"/>
  <c r="E44" i="7"/>
  <c r="D44" i="7"/>
  <c r="C44" i="7"/>
  <c r="O43" i="7"/>
  <c r="O42" i="7"/>
  <c r="O41" i="7"/>
  <c r="O40" i="7"/>
  <c r="O39" i="7"/>
  <c r="N37" i="7"/>
  <c r="M37" i="7"/>
  <c r="L37" i="7"/>
  <c r="K37" i="7"/>
  <c r="J37" i="7"/>
  <c r="I37" i="7"/>
  <c r="H37" i="7"/>
  <c r="G37" i="7"/>
  <c r="F37" i="7"/>
  <c r="E37" i="7"/>
  <c r="D37" i="7"/>
  <c r="C37" i="7"/>
  <c r="O36" i="7"/>
  <c r="O35" i="7"/>
  <c r="O34" i="7"/>
  <c r="O33" i="7"/>
  <c r="O32" i="7"/>
  <c r="O31" i="7"/>
  <c r="O30" i="7"/>
  <c r="O29" i="7"/>
  <c r="O28" i="7"/>
  <c r="O27" i="7"/>
  <c r="O26" i="7"/>
  <c r="O25" i="7"/>
  <c r="O24" i="7"/>
  <c r="O23" i="7"/>
  <c r="O22" i="7"/>
  <c r="N20" i="7"/>
  <c r="M20" i="7"/>
  <c r="L20" i="7"/>
  <c r="K20" i="7"/>
  <c r="J20" i="7"/>
  <c r="I20" i="7"/>
  <c r="H20" i="7"/>
  <c r="G20" i="7"/>
  <c r="F20" i="7"/>
  <c r="E20" i="7"/>
  <c r="D20" i="7"/>
  <c r="C20" i="7"/>
  <c r="O19" i="7"/>
  <c r="O18" i="7"/>
  <c r="O17" i="7"/>
  <c r="O16" i="7"/>
  <c r="O15" i="7"/>
  <c r="O14" i="7"/>
  <c r="O13" i="7"/>
  <c r="O12" i="7"/>
  <c r="O11" i="7"/>
  <c r="O10" i="7"/>
  <c r="O9" i="7"/>
  <c r="O8" i="7"/>
  <c r="O57" i="7" l="1"/>
  <c r="O37" i="7"/>
  <c r="O20" i="7"/>
  <c r="O44" i="7"/>
  <c r="F66" i="7"/>
  <c r="F78" i="7" s="1"/>
  <c r="J66" i="7"/>
  <c r="J78" i="7" s="1"/>
  <c r="N66" i="7"/>
  <c r="N78" i="7" s="1"/>
  <c r="E66" i="7"/>
  <c r="E78" i="7" s="1"/>
  <c r="I66" i="7"/>
  <c r="I78" i="7" s="1"/>
  <c r="M66" i="7"/>
  <c r="M78" i="7" s="1"/>
  <c r="C66" i="7"/>
  <c r="G66" i="7"/>
  <c r="G78" i="7" s="1"/>
  <c r="K66" i="7"/>
  <c r="K78" i="7" s="1"/>
  <c r="O65" i="7"/>
  <c r="O66" i="7" l="1"/>
  <c r="C78" i="7"/>
  <c r="O78" i="7" s="1"/>
  <c r="O93" i="8"/>
  <c r="N93" i="8"/>
  <c r="M93" i="8"/>
  <c r="L93" i="8"/>
  <c r="K93" i="8"/>
  <c r="J93" i="8"/>
  <c r="I93" i="8"/>
  <c r="H93" i="8"/>
  <c r="G93" i="8"/>
  <c r="F93" i="8"/>
  <c r="E93" i="8"/>
  <c r="D93" i="8"/>
  <c r="C93" i="8"/>
  <c r="O87" i="8"/>
  <c r="N87" i="8"/>
  <c r="M87" i="8"/>
  <c r="L87" i="8"/>
  <c r="K87" i="8"/>
  <c r="J87" i="8"/>
  <c r="I87" i="8"/>
  <c r="H87" i="8"/>
  <c r="G87" i="8"/>
  <c r="F87" i="8"/>
  <c r="E87" i="8"/>
  <c r="D87" i="8"/>
  <c r="C87" i="8"/>
  <c r="N77" i="8"/>
  <c r="M77" i="8"/>
  <c r="L77" i="8"/>
  <c r="K77" i="8"/>
  <c r="J77" i="8"/>
  <c r="I77" i="8"/>
  <c r="H77" i="8"/>
  <c r="G77" i="8"/>
  <c r="F77" i="8"/>
  <c r="E77" i="8"/>
  <c r="D77" i="8"/>
  <c r="C77" i="8"/>
  <c r="O76" i="8"/>
  <c r="O75" i="8"/>
  <c r="O74" i="8"/>
  <c r="O73" i="8"/>
  <c r="O72" i="8"/>
  <c r="O71" i="8"/>
  <c r="O70" i="8"/>
  <c r="O69" i="8"/>
  <c r="O68" i="8"/>
  <c r="N65" i="8"/>
  <c r="M65" i="8"/>
  <c r="L65" i="8"/>
  <c r="K65" i="8"/>
  <c r="J65" i="8"/>
  <c r="I65" i="8"/>
  <c r="H65" i="8"/>
  <c r="G65" i="8"/>
  <c r="F65" i="8"/>
  <c r="E65" i="8"/>
  <c r="D65" i="8"/>
  <c r="C65" i="8"/>
  <c r="O64" i="8"/>
  <c r="O63" i="8"/>
  <c r="O62" i="8"/>
  <c r="O61" i="8"/>
  <c r="O60" i="8"/>
  <c r="O59" i="8"/>
  <c r="N57" i="8"/>
  <c r="M57" i="8"/>
  <c r="L57" i="8"/>
  <c r="K57" i="8"/>
  <c r="J57" i="8"/>
  <c r="I57" i="8"/>
  <c r="H57" i="8"/>
  <c r="G57" i="8"/>
  <c r="F57" i="8"/>
  <c r="E57" i="8"/>
  <c r="D57" i="8"/>
  <c r="C57" i="8"/>
  <c r="O56" i="8"/>
  <c r="O55" i="8"/>
  <c r="O54" i="8"/>
  <c r="O53" i="8"/>
  <c r="O52" i="8"/>
  <c r="O51" i="8"/>
  <c r="O50" i="8"/>
  <c r="O49" i="8"/>
  <c r="O48" i="8"/>
  <c r="O47" i="8"/>
  <c r="O46" i="8"/>
  <c r="N44" i="8"/>
  <c r="M44" i="8"/>
  <c r="L44" i="8"/>
  <c r="K44" i="8"/>
  <c r="J44" i="8"/>
  <c r="I44" i="8"/>
  <c r="H44" i="8"/>
  <c r="G44" i="8"/>
  <c r="F44" i="8"/>
  <c r="E44" i="8"/>
  <c r="D44" i="8"/>
  <c r="C44" i="8"/>
  <c r="O43" i="8"/>
  <c r="O42" i="8"/>
  <c r="O41" i="8"/>
  <c r="O40" i="8"/>
  <c r="O39" i="8"/>
  <c r="N37" i="8"/>
  <c r="M37" i="8"/>
  <c r="L37" i="8"/>
  <c r="K37" i="8"/>
  <c r="J37" i="8"/>
  <c r="I37" i="8"/>
  <c r="H37" i="8"/>
  <c r="G37" i="8"/>
  <c r="F37" i="8"/>
  <c r="E37" i="8"/>
  <c r="D37" i="8"/>
  <c r="C37" i="8"/>
  <c r="O36" i="8"/>
  <c r="O35" i="8"/>
  <c r="O34" i="8"/>
  <c r="O33" i="8"/>
  <c r="O32" i="8"/>
  <c r="O31" i="8"/>
  <c r="O30" i="8"/>
  <c r="O29" i="8"/>
  <c r="O28" i="8"/>
  <c r="O27" i="8"/>
  <c r="O26" i="8"/>
  <c r="O25" i="8"/>
  <c r="O24" i="8"/>
  <c r="O23" i="8"/>
  <c r="O22" i="8"/>
  <c r="N20" i="8"/>
  <c r="M20" i="8"/>
  <c r="L20" i="8"/>
  <c r="K20" i="8"/>
  <c r="J20" i="8"/>
  <c r="I20" i="8"/>
  <c r="H20" i="8"/>
  <c r="G20" i="8"/>
  <c r="F20" i="8"/>
  <c r="E20" i="8"/>
  <c r="D20" i="8"/>
  <c r="C20" i="8"/>
  <c r="O19" i="8"/>
  <c r="O18" i="8"/>
  <c r="O17" i="8"/>
  <c r="O16" i="8"/>
  <c r="O15" i="8"/>
  <c r="O14" i="8"/>
  <c r="O13" i="8"/>
  <c r="O12" i="8"/>
  <c r="O11" i="8"/>
  <c r="O10" i="8"/>
  <c r="O9" i="8"/>
  <c r="O8" i="8"/>
  <c r="C66" i="8" l="1"/>
  <c r="G66" i="8"/>
  <c r="G78" i="8" s="1"/>
  <c r="K66" i="8"/>
  <c r="K78" i="8" s="1"/>
  <c r="D66" i="8"/>
  <c r="D78" i="8" s="1"/>
  <c r="L66" i="8"/>
  <c r="L78" i="8" s="1"/>
  <c r="O77" i="8"/>
  <c r="O37" i="8"/>
  <c r="O57" i="8"/>
  <c r="E66" i="8"/>
  <c r="E78" i="8" s="1"/>
  <c r="I66" i="8"/>
  <c r="I78" i="8" s="1"/>
  <c r="M66" i="8"/>
  <c r="M78" i="8" s="1"/>
  <c r="H66" i="8"/>
  <c r="H78" i="8" s="1"/>
  <c r="O20" i="8"/>
  <c r="O44" i="8"/>
  <c r="F66" i="8"/>
  <c r="F78" i="8" s="1"/>
  <c r="J66" i="8"/>
  <c r="J78" i="8" s="1"/>
  <c r="N66" i="8"/>
  <c r="N78" i="8" s="1"/>
  <c r="C78" i="8"/>
  <c r="O65" i="8"/>
  <c r="O66" i="8" l="1"/>
  <c r="O78" i="8"/>
  <c r="N63" i="9"/>
  <c r="M63" i="9"/>
  <c r="L63" i="9"/>
  <c r="K63" i="9"/>
  <c r="J63" i="9"/>
  <c r="I63" i="9"/>
  <c r="H63" i="9"/>
  <c r="G63" i="9"/>
  <c r="F63" i="9"/>
  <c r="E63" i="9"/>
  <c r="D63" i="9"/>
  <c r="C63" i="9"/>
  <c r="O62" i="9"/>
  <c r="O61" i="9"/>
  <c r="O60" i="9"/>
  <c r="O59" i="9"/>
  <c r="O58" i="9"/>
  <c r="O57" i="9"/>
  <c r="N54" i="9"/>
  <c r="M54" i="9"/>
  <c r="L54" i="9"/>
  <c r="K54" i="9"/>
  <c r="J54" i="9"/>
  <c r="I54" i="9"/>
  <c r="H54" i="9"/>
  <c r="G54" i="9"/>
  <c r="F54" i="9"/>
  <c r="E54" i="9"/>
  <c r="D54" i="9"/>
  <c r="C54" i="9"/>
  <c r="O53" i="9"/>
  <c r="O52" i="9"/>
  <c r="N50" i="9"/>
  <c r="M50" i="9"/>
  <c r="L50" i="9"/>
  <c r="K50" i="9"/>
  <c r="J50" i="9"/>
  <c r="I50" i="9"/>
  <c r="H50" i="9"/>
  <c r="G50" i="9"/>
  <c r="F50" i="9"/>
  <c r="E50" i="9"/>
  <c r="D50" i="9"/>
  <c r="C50" i="9"/>
  <c r="O49" i="9"/>
  <c r="O48" i="9"/>
  <c r="O47" i="9"/>
  <c r="O46" i="9"/>
  <c r="O45" i="9"/>
  <c r="O44" i="9"/>
  <c r="O43" i="9"/>
  <c r="O42" i="9"/>
  <c r="O41" i="9"/>
  <c r="N39" i="9"/>
  <c r="M39" i="9"/>
  <c r="L39" i="9"/>
  <c r="K39" i="9"/>
  <c r="J39" i="9"/>
  <c r="I39" i="9"/>
  <c r="H39" i="9"/>
  <c r="G39" i="9"/>
  <c r="F39" i="9"/>
  <c r="E39" i="9"/>
  <c r="D39" i="9"/>
  <c r="C39" i="9"/>
  <c r="O38" i="9"/>
  <c r="O37" i="9"/>
  <c r="O36" i="9"/>
  <c r="O35" i="9"/>
  <c r="N33" i="9"/>
  <c r="M33" i="9"/>
  <c r="L33" i="9"/>
  <c r="K33" i="9"/>
  <c r="J33" i="9"/>
  <c r="I33" i="9"/>
  <c r="H33" i="9"/>
  <c r="G33" i="9"/>
  <c r="F33" i="9"/>
  <c r="E33" i="9"/>
  <c r="D33" i="9"/>
  <c r="C33" i="9"/>
  <c r="O32" i="9"/>
  <c r="O31" i="9"/>
  <c r="O30" i="9"/>
  <c r="O29" i="9"/>
  <c r="O28" i="9"/>
  <c r="O27" i="9"/>
  <c r="O26" i="9"/>
  <c r="O25" i="9"/>
  <c r="O24" i="9"/>
  <c r="O23" i="9"/>
  <c r="O22" i="9"/>
  <c r="O21" i="9"/>
  <c r="O20" i="9"/>
  <c r="O19" i="9"/>
  <c r="N17" i="9"/>
  <c r="M17" i="9"/>
  <c r="L17" i="9"/>
  <c r="K17" i="9"/>
  <c r="J17" i="9"/>
  <c r="I17" i="9"/>
  <c r="H17" i="9"/>
  <c r="G17" i="9"/>
  <c r="F17" i="9"/>
  <c r="E17" i="9"/>
  <c r="D17" i="9"/>
  <c r="C17" i="9"/>
  <c r="O16" i="9"/>
  <c r="O15" i="9"/>
  <c r="O14" i="9"/>
  <c r="O13" i="9"/>
  <c r="O12" i="9"/>
  <c r="O11" i="9"/>
  <c r="O10" i="9"/>
  <c r="O9" i="9"/>
  <c r="O8" i="9"/>
  <c r="O7" i="9"/>
  <c r="O6" i="9"/>
  <c r="N63" i="10"/>
  <c r="M63" i="10"/>
  <c r="L63" i="10"/>
  <c r="K63" i="10"/>
  <c r="J63" i="10"/>
  <c r="I63" i="10"/>
  <c r="H63" i="10"/>
  <c r="G63" i="10"/>
  <c r="F63" i="10"/>
  <c r="E63" i="10"/>
  <c r="D63" i="10"/>
  <c r="C63" i="10"/>
  <c r="O60" i="10"/>
  <c r="O59" i="10"/>
  <c r="O58" i="10"/>
  <c r="N54" i="10"/>
  <c r="M54" i="10"/>
  <c r="L54" i="10"/>
  <c r="K54" i="10"/>
  <c r="J54" i="10"/>
  <c r="I54" i="10"/>
  <c r="H54" i="10"/>
  <c r="G54" i="10"/>
  <c r="F54" i="10"/>
  <c r="E54" i="10"/>
  <c r="D54" i="10"/>
  <c r="C54" i="10"/>
  <c r="O53" i="10"/>
  <c r="O52" i="10"/>
  <c r="N50" i="10"/>
  <c r="M50" i="10"/>
  <c r="L50" i="10"/>
  <c r="K50" i="10"/>
  <c r="J50" i="10"/>
  <c r="I50" i="10"/>
  <c r="H50" i="10"/>
  <c r="G50" i="10"/>
  <c r="F50" i="10"/>
  <c r="E50" i="10"/>
  <c r="D50" i="10"/>
  <c r="C50" i="10"/>
  <c r="O49" i="10"/>
  <c r="O48" i="10"/>
  <c r="O47" i="10"/>
  <c r="O46" i="10"/>
  <c r="O45" i="10"/>
  <c r="O44" i="10"/>
  <c r="O43" i="10"/>
  <c r="O42" i="10"/>
  <c r="O41" i="10"/>
  <c r="N39" i="10"/>
  <c r="M39" i="10"/>
  <c r="L39" i="10"/>
  <c r="K39" i="10"/>
  <c r="J39" i="10"/>
  <c r="I39" i="10"/>
  <c r="H39" i="10"/>
  <c r="G39" i="10"/>
  <c r="F39" i="10"/>
  <c r="E39" i="10"/>
  <c r="D39" i="10"/>
  <c r="C39" i="10"/>
  <c r="O38" i="10"/>
  <c r="O37" i="10"/>
  <c r="O36" i="10"/>
  <c r="O35" i="10"/>
  <c r="N33" i="10"/>
  <c r="M33" i="10"/>
  <c r="L33" i="10"/>
  <c r="K33" i="10"/>
  <c r="J33" i="10"/>
  <c r="I33" i="10"/>
  <c r="H33" i="10"/>
  <c r="G33" i="10"/>
  <c r="F33" i="10"/>
  <c r="E33" i="10"/>
  <c r="D33" i="10"/>
  <c r="C33" i="10"/>
  <c r="O32" i="10"/>
  <c r="O31" i="10"/>
  <c r="O30" i="10"/>
  <c r="O29" i="10"/>
  <c r="O28" i="10"/>
  <c r="O27" i="10"/>
  <c r="O26" i="10"/>
  <c r="O25" i="10"/>
  <c r="O24" i="10"/>
  <c r="O23" i="10"/>
  <c r="O22" i="10"/>
  <c r="O21" i="10"/>
  <c r="O20" i="10"/>
  <c r="O19" i="10"/>
  <c r="N17" i="10"/>
  <c r="M17" i="10"/>
  <c r="L17" i="10"/>
  <c r="K17" i="10"/>
  <c r="J17" i="10"/>
  <c r="I17" i="10"/>
  <c r="H17" i="10"/>
  <c r="G17" i="10"/>
  <c r="F17" i="10"/>
  <c r="E17" i="10"/>
  <c r="D17" i="10"/>
  <c r="C17" i="10"/>
  <c r="O16" i="10"/>
  <c r="O15" i="10"/>
  <c r="O14" i="10"/>
  <c r="O13" i="10"/>
  <c r="O12" i="10"/>
  <c r="O11" i="10"/>
  <c r="O10" i="10"/>
  <c r="O9" i="10"/>
  <c r="O8" i="10"/>
  <c r="O7" i="10"/>
  <c r="O6" i="10"/>
  <c r="N63" i="11"/>
  <c r="M63" i="11"/>
  <c r="L63" i="11"/>
  <c r="K63" i="11"/>
  <c r="J63" i="11"/>
  <c r="I63" i="11"/>
  <c r="H63" i="11"/>
  <c r="G63" i="11"/>
  <c r="F63" i="11"/>
  <c r="E63" i="11"/>
  <c r="D63" i="11"/>
  <c r="C63" i="11"/>
  <c r="O60" i="11"/>
  <c r="O59" i="11"/>
  <c r="O58" i="11"/>
  <c r="N54" i="11"/>
  <c r="M54" i="11"/>
  <c r="L54" i="11"/>
  <c r="K54" i="11"/>
  <c r="J54" i="11"/>
  <c r="I54" i="11"/>
  <c r="H54" i="11"/>
  <c r="G54" i="11"/>
  <c r="F54" i="11"/>
  <c r="E54" i="11"/>
  <c r="D54" i="11"/>
  <c r="C54" i="11"/>
  <c r="O53" i="11"/>
  <c r="O52" i="11"/>
  <c r="N50" i="11"/>
  <c r="M50" i="11"/>
  <c r="L50" i="11"/>
  <c r="K50" i="11"/>
  <c r="J50" i="11"/>
  <c r="I50" i="11"/>
  <c r="H50" i="11"/>
  <c r="G50" i="11"/>
  <c r="F50" i="11"/>
  <c r="E50" i="11"/>
  <c r="D50" i="11"/>
  <c r="C50" i="11"/>
  <c r="O49" i="11"/>
  <c r="O48" i="11"/>
  <c r="O47" i="11"/>
  <c r="O46" i="11"/>
  <c r="O45" i="11"/>
  <c r="O44" i="11"/>
  <c r="O43" i="11"/>
  <c r="O42" i="11"/>
  <c r="O41" i="11"/>
  <c r="N39" i="11"/>
  <c r="M39" i="11"/>
  <c r="L39" i="11"/>
  <c r="K39" i="11"/>
  <c r="J39" i="11"/>
  <c r="I39" i="11"/>
  <c r="H39" i="11"/>
  <c r="G39" i="11"/>
  <c r="F39" i="11"/>
  <c r="E39" i="11"/>
  <c r="D39" i="11"/>
  <c r="C39" i="11"/>
  <c r="O38" i="11"/>
  <c r="O37" i="11"/>
  <c r="O36" i="11"/>
  <c r="O35" i="11"/>
  <c r="N33" i="11"/>
  <c r="M33" i="11"/>
  <c r="L33" i="11"/>
  <c r="K33" i="11"/>
  <c r="J33" i="11"/>
  <c r="I33" i="11"/>
  <c r="H33" i="11"/>
  <c r="G33" i="11"/>
  <c r="F33" i="11"/>
  <c r="E33" i="11"/>
  <c r="D33" i="11"/>
  <c r="C33" i="11"/>
  <c r="O32" i="11"/>
  <c r="O31" i="11"/>
  <c r="O30" i="11"/>
  <c r="O29" i="11"/>
  <c r="O28" i="11"/>
  <c r="O27" i="11"/>
  <c r="O26" i="11"/>
  <c r="O25" i="11"/>
  <c r="O24" i="11"/>
  <c r="O23" i="11"/>
  <c r="O22" i="11"/>
  <c r="O21" i="11"/>
  <c r="O20" i="11"/>
  <c r="O19" i="11"/>
  <c r="N17" i="11"/>
  <c r="M17" i="11"/>
  <c r="L17" i="11"/>
  <c r="K17" i="11"/>
  <c r="J17" i="11"/>
  <c r="I17" i="11"/>
  <c r="H17" i="11"/>
  <c r="G17" i="11"/>
  <c r="F17" i="11"/>
  <c r="E17" i="11"/>
  <c r="D17" i="11"/>
  <c r="C17" i="11"/>
  <c r="O16" i="11"/>
  <c r="O15" i="11"/>
  <c r="O14" i="11"/>
  <c r="O13" i="11"/>
  <c r="O12" i="11"/>
  <c r="O11" i="11"/>
  <c r="O10" i="11"/>
  <c r="O9" i="11"/>
  <c r="O8" i="11"/>
  <c r="O7" i="11"/>
  <c r="O6" i="11"/>
  <c r="N68" i="12"/>
  <c r="M68" i="12"/>
  <c r="L68" i="12"/>
  <c r="K68" i="12"/>
  <c r="J68" i="12"/>
  <c r="I68" i="12"/>
  <c r="H68" i="12"/>
  <c r="G68" i="12"/>
  <c r="F68" i="12"/>
  <c r="E68" i="12"/>
  <c r="D68" i="12"/>
  <c r="C68" i="12"/>
  <c r="O65" i="12"/>
  <c r="O64" i="12"/>
  <c r="O63" i="12"/>
  <c r="N59" i="12"/>
  <c r="M59" i="12"/>
  <c r="L59" i="12"/>
  <c r="K59" i="12"/>
  <c r="J59" i="12"/>
  <c r="I59" i="12"/>
  <c r="H59" i="12"/>
  <c r="G59" i="12"/>
  <c r="F59" i="12"/>
  <c r="E59" i="12"/>
  <c r="D59" i="12"/>
  <c r="C59" i="12"/>
  <c r="O58" i="12"/>
  <c r="O57" i="12"/>
  <c r="O59" i="12" s="1"/>
  <c r="N55" i="12"/>
  <c r="M55" i="12"/>
  <c r="L55" i="12"/>
  <c r="K55" i="12"/>
  <c r="J55" i="12"/>
  <c r="I55" i="12"/>
  <c r="H55" i="12"/>
  <c r="G55" i="12"/>
  <c r="F55" i="12"/>
  <c r="E55" i="12"/>
  <c r="D55" i="12"/>
  <c r="C55" i="12"/>
  <c r="O54" i="12"/>
  <c r="O53" i="12"/>
  <c r="O52" i="12"/>
  <c r="O51" i="12"/>
  <c r="O50" i="12"/>
  <c r="O49" i="12"/>
  <c r="O48" i="12"/>
  <c r="O47" i="12"/>
  <c r="O46" i="12"/>
  <c r="N44" i="12"/>
  <c r="M44" i="12"/>
  <c r="L44" i="12"/>
  <c r="K44" i="12"/>
  <c r="J44" i="12"/>
  <c r="I44" i="12"/>
  <c r="H44" i="12"/>
  <c r="G44" i="12"/>
  <c r="F44" i="12"/>
  <c r="E44" i="12"/>
  <c r="D44" i="12"/>
  <c r="C44" i="12"/>
  <c r="O43" i="12"/>
  <c r="O42" i="12"/>
  <c r="O41" i="12"/>
  <c r="O40" i="12"/>
  <c r="N38" i="12"/>
  <c r="M38" i="12"/>
  <c r="L38" i="12"/>
  <c r="K38" i="12"/>
  <c r="J38" i="12"/>
  <c r="I38" i="12"/>
  <c r="H38" i="12"/>
  <c r="G38" i="12"/>
  <c r="F38" i="12"/>
  <c r="E38" i="12"/>
  <c r="D38" i="12"/>
  <c r="C38" i="12"/>
  <c r="O37" i="12"/>
  <c r="O36" i="12"/>
  <c r="O35" i="12"/>
  <c r="O34" i="12"/>
  <c r="O33" i="12"/>
  <c r="O32" i="12"/>
  <c r="O31" i="12"/>
  <c r="O30" i="12"/>
  <c r="O29" i="12"/>
  <c r="O28" i="12"/>
  <c r="O27" i="12"/>
  <c r="O26" i="12"/>
  <c r="O25" i="12"/>
  <c r="O24" i="12"/>
  <c r="N22" i="12"/>
  <c r="M22" i="12"/>
  <c r="L22" i="12"/>
  <c r="K22" i="12"/>
  <c r="J22" i="12"/>
  <c r="I22" i="12"/>
  <c r="H22" i="12"/>
  <c r="G22" i="12"/>
  <c r="F22" i="12"/>
  <c r="E22" i="12"/>
  <c r="D22" i="12"/>
  <c r="C22" i="12"/>
  <c r="O21" i="12"/>
  <c r="O20" i="12"/>
  <c r="O19" i="12"/>
  <c r="O18" i="12"/>
  <c r="O17" i="12"/>
  <c r="O16" i="12"/>
  <c r="O15" i="12"/>
  <c r="O14" i="12"/>
  <c r="O13" i="12"/>
  <c r="O12" i="12"/>
  <c r="O11" i="12"/>
  <c r="G895" i="13"/>
  <c r="E60" i="12" l="1"/>
  <c r="E69" i="12" s="1"/>
  <c r="I60" i="12"/>
  <c r="I69" i="12" s="1"/>
  <c r="M60" i="12"/>
  <c r="M69" i="12" s="1"/>
  <c r="O39" i="11"/>
  <c r="O50" i="11"/>
  <c r="D55" i="11"/>
  <c r="D64" i="11" s="1"/>
  <c r="H55" i="11"/>
  <c r="H64" i="11" s="1"/>
  <c r="L55" i="11"/>
  <c r="L64" i="11" s="1"/>
  <c r="D55" i="9"/>
  <c r="D64" i="9" s="1"/>
  <c r="H55" i="9"/>
  <c r="H64" i="9" s="1"/>
  <c r="L55" i="9"/>
  <c r="L64" i="9" s="1"/>
  <c r="D60" i="12"/>
  <c r="D69" i="12" s="1"/>
  <c r="H60" i="12"/>
  <c r="H69" i="12" s="1"/>
  <c r="L60" i="12"/>
  <c r="L69" i="12" s="1"/>
  <c r="O68" i="12"/>
  <c r="O54" i="11"/>
  <c r="O17" i="10"/>
  <c r="O33" i="10"/>
  <c r="O54" i="10"/>
  <c r="F55" i="10"/>
  <c r="F64" i="10" s="1"/>
  <c r="J55" i="10"/>
  <c r="J64" i="10" s="1"/>
  <c r="N55" i="10"/>
  <c r="N64" i="10" s="1"/>
  <c r="O17" i="9"/>
  <c r="C55" i="9"/>
  <c r="C64" i="9" s="1"/>
  <c r="G55" i="9"/>
  <c r="G64" i="9" s="1"/>
  <c r="K55" i="9"/>
  <c r="K64" i="9" s="1"/>
  <c r="O63" i="9"/>
  <c r="O55" i="12"/>
  <c r="C60" i="12"/>
  <c r="C69" i="12" s="1"/>
  <c r="G60" i="12"/>
  <c r="G69" i="12" s="1"/>
  <c r="K60" i="12"/>
  <c r="K69" i="12" s="1"/>
  <c r="O17" i="11"/>
  <c r="O33" i="11"/>
  <c r="F55" i="11"/>
  <c r="F64" i="11" s="1"/>
  <c r="J55" i="11"/>
  <c r="J64" i="11" s="1"/>
  <c r="N55" i="11"/>
  <c r="N64" i="11" s="1"/>
  <c r="E55" i="10"/>
  <c r="E64" i="10" s="1"/>
  <c r="I55" i="10"/>
  <c r="I64" i="10" s="1"/>
  <c r="M55" i="10"/>
  <c r="M64" i="10" s="1"/>
  <c r="C55" i="10"/>
  <c r="C64" i="10" s="1"/>
  <c r="G55" i="10"/>
  <c r="G64" i="10" s="1"/>
  <c r="K55" i="10"/>
  <c r="K64" i="10" s="1"/>
  <c r="O63" i="10"/>
  <c r="O33" i="9"/>
  <c r="O39" i="9"/>
  <c r="O50" i="9"/>
  <c r="F55" i="9"/>
  <c r="F64" i="9" s="1"/>
  <c r="J55" i="9"/>
  <c r="J64" i="9" s="1"/>
  <c r="N55" i="9"/>
  <c r="N64" i="9" s="1"/>
  <c r="O22" i="12"/>
  <c r="O38" i="12"/>
  <c r="O44" i="12" s="1"/>
  <c r="F60" i="12"/>
  <c r="F69" i="12" s="1"/>
  <c r="J60" i="12"/>
  <c r="J69" i="12" s="1"/>
  <c r="N60" i="12"/>
  <c r="N69" i="12" s="1"/>
  <c r="E55" i="11"/>
  <c r="E64" i="11" s="1"/>
  <c r="I55" i="11"/>
  <c r="I64" i="11" s="1"/>
  <c r="M55" i="11"/>
  <c r="M64" i="11" s="1"/>
  <c r="C55" i="11"/>
  <c r="C64" i="11" s="1"/>
  <c r="G55" i="11"/>
  <c r="G64" i="11" s="1"/>
  <c r="K55" i="11"/>
  <c r="K64" i="11" s="1"/>
  <c r="O63" i="11"/>
  <c r="O39" i="10"/>
  <c r="O50" i="10"/>
  <c r="D55" i="10"/>
  <c r="D64" i="10" s="1"/>
  <c r="H55" i="10"/>
  <c r="H64" i="10" s="1"/>
  <c r="L55" i="10"/>
  <c r="L64" i="10" s="1"/>
  <c r="O54" i="9"/>
  <c r="E55" i="9"/>
  <c r="E64" i="9" s="1"/>
  <c r="I55" i="9"/>
  <c r="I64" i="9" s="1"/>
  <c r="M55" i="9"/>
  <c r="M64" i="9" s="1"/>
  <c r="O55" i="10"/>
  <c r="O64" i="10" s="1"/>
  <c r="O55" i="9" l="1"/>
  <c r="O64" i="9" s="1"/>
  <c r="O60" i="12"/>
  <c r="O69" i="12" s="1"/>
  <c r="O55" i="11"/>
  <c r="O64" i="11" s="1"/>
  <c r="B331" i="3"/>
  <c r="B485" i="2"/>
  <c r="E45" i="15" s="1"/>
  <c r="B404" i="1"/>
  <c r="F45" i="15" s="1"/>
  <c r="J7" i="4"/>
  <c r="B22" i="15" l="1"/>
  <c r="B23" i="15"/>
  <c r="B21" i="15"/>
  <c r="B19" i="15"/>
  <c r="B18" i="15"/>
  <c r="B3" i="15"/>
  <c r="B24" i="15"/>
  <c r="B8" i="15"/>
  <c r="B10" i="15"/>
  <c r="B16" i="15"/>
  <c r="B13" i="15"/>
  <c r="B12" i="15"/>
  <c r="B15" i="15"/>
  <c r="B17" i="15"/>
  <c r="B14" i="15"/>
  <c r="B9" i="15"/>
  <c r="B20" i="15"/>
  <c r="B5" i="15"/>
  <c r="B11" i="15"/>
  <c r="B25" i="15"/>
  <c r="B7" i="15"/>
  <c r="B4" i="15"/>
  <c r="B6" i="15"/>
  <c r="D45" i="15"/>
  <c r="D7" i="4"/>
  <c r="D91" i="4" s="1"/>
  <c r="H7" i="4"/>
  <c r="H91" i="4" s="1"/>
  <c r="L7" i="4"/>
  <c r="C7" i="4"/>
  <c r="C91" i="4" s="1"/>
  <c r="G7" i="4"/>
  <c r="G91" i="4" s="1"/>
  <c r="K7" i="4"/>
  <c r="E7" i="4"/>
  <c r="E91" i="4" s="1"/>
  <c r="I7" i="4"/>
  <c r="I91" i="4" s="1"/>
  <c r="B7" i="4"/>
  <c r="B91" i="4" s="1"/>
  <c r="F7" i="4"/>
  <c r="F91" i="4" s="1"/>
  <c r="A87" i="4"/>
  <c r="Z2" i="4" s="1"/>
  <c r="I45" i="15" l="1"/>
  <c r="J45" i="15"/>
  <c r="AB2" i="4"/>
  <c r="AA2" i="4"/>
  <c r="B26" i="15"/>
  <c r="C26" i="15" s="1"/>
  <c r="P7" i="4"/>
  <c r="P8" i="4" l="1"/>
  <c r="B92" i="4"/>
  <c r="N92" i="4" s="1"/>
  <c r="C8" i="15"/>
  <c r="C3" i="15"/>
  <c r="C11" i="15"/>
  <c r="C15" i="15"/>
  <c r="C5" i="15"/>
  <c r="C14" i="15"/>
  <c r="C19" i="15"/>
  <c r="C12" i="15"/>
  <c r="C18" i="15"/>
  <c r="C24" i="15"/>
  <c r="C10" i="15"/>
  <c r="C6" i="15"/>
  <c r="C13" i="15"/>
  <c r="C23" i="15"/>
  <c r="C7" i="15"/>
  <c r="C21" i="15"/>
  <c r="C9" i="15"/>
  <c r="C4" i="15"/>
  <c r="C17" i="15"/>
  <c r="C22" i="15"/>
  <c r="C16" i="15"/>
  <c r="C20" i="15"/>
  <c r="C25" i="15"/>
  <c r="N8" i="4"/>
  <c r="R9" i="4" s="1"/>
  <c r="F5" i="4"/>
  <c r="F89" i="4" s="1"/>
  <c r="D5" i="4"/>
  <c r="D89" i="4" s="1"/>
  <c r="M5" i="4"/>
  <c r="H5" i="4"/>
  <c r="H89" i="4" s="1"/>
  <c r="E5" i="4"/>
  <c r="E89" i="4" s="1"/>
  <c r="L5" i="4"/>
  <c r="C5" i="4"/>
  <c r="C89" i="4" s="1"/>
  <c r="I5" i="4"/>
  <c r="I89" i="4" s="1"/>
  <c r="K5" i="4"/>
  <c r="G5" i="4"/>
  <c r="G89" i="4" s="1"/>
  <c r="B5" i="4"/>
  <c r="L6" i="4"/>
  <c r="K6" i="4"/>
  <c r="J6" i="4"/>
  <c r="I6" i="4"/>
  <c r="I90" i="4" s="1"/>
  <c r="H6" i="4"/>
  <c r="H90" i="4" s="1"/>
  <c r="F6" i="4"/>
  <c r="F90" i="4" s="1"/>
  <c r="E6" i="4"/>
  <c r="E90" i="4" s="1"/>
  <c r="D6" i="4"/>
  <c r="D90" i="4" s="1"/>
  <c r="C6" i="4"/>
  <c r="C90" i="4" s="1"/>
  <c r="B6" i="4"/>
  <c r="J5" i="4"/>
  <c r="R93" i="4" l="1"/>
  <c r="B90" i="4"/>
  <c r="B89" i="4"/>
  <c r="N89" i="4" s="1"/>
  <c r="N5" i="4"/>
  <c r="P92" i="4"/>
  <c r="P5" i="4"/>
  <c r="N7" i="4"/>
  <c r="R8" i="4" s="1"/>
  <c r="C331" i="3"/>
  <c r="G6" i="4"/>
  <c r="G90" i="4" s="1"/>
  <c r="N6" i="4" l="1"/>
  <c r="R7" i="4" s="1"/>
  <c r="P6" i="4"/>
  <c r="P89" i="4"/>
  <c r="N91" i="4"/>
  <c r="R92" i="4" s="1"/>
  <c r="P91" i="4"/>
  <c r="P90" i="4"/>
  <c r="Q5" i="4" l="1"/>
  <c r="N11" i="4"/>
  <c r="R6" i="4"/>
  <c r="N90" i="4"/>
  <c r="N95" i="4" s="1"/>
  <c r="Q89" i="4" l="1"/>
  <c r="O8" i="4"/>
  <c r="O9" i="4"/>
  <c r="R91" i="4"/>
  <c r="R90" i="4"/>
  <c r="O7" i="4"/>
  <c r="O5" i="4"/>
  <c r="O6" i="4"/>
  <c r="O11" i="4" l="1"/>
  <c r="O94" i="4"/>
  <c r="O93" i="4"/>
  <c r="O92" i="4"/>
  <c r="O89" i="4"/>
  <c r="O91" i="4"/>
  <c r="O90" i="4"/>
  <c r="O95" i="4" l="1"/>
  <c r="B26" i="17"/>
  <c r="C12" i="17" s="1"/>
  <c r="C19" i="17" l="1"/>
  <c r="C18" i="17"/>
  <c r="C11" i="17"/>
  <c r="C26" i="17"/>
  <c r="C24" i="17"/>
  <c r="C23" i="17"/>
  <c r="C16" i="17"/>
  <c r="C9" i="17"/>
  <c r="C14" i="17"/>
  <c r="C22" i="17"/>
  <c r="C21" i="17"/>
  <c r="C5" i="17"/>
  <c r="C7" i="17"/>
  <c r="C15" i="17"/>
  <c r="C17" i="17"/>
  <c r="C8" i="17"/>
  <c r="C25" i="17"/>
  <c r="C6" i="17"/>
  <c r="C4" i="17"/>
  <c r="C20" i="17"/>
  <c r="C10" i="17"/>
  <c r="C13" i="17"/>
  <c r="C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EQUIPO</author>
  </authors>
  <commentList>
    <comment ref="J2" authorId="0" shapeId="0" xr:uid="{00000000-0006-0000-0200-000001000000}">
      <text>
        <r>
          <rPr>
            <b/>
            <sz val="9"/>
            <color indexed="81"/>
            <rFont val="Tahoma"/>
            <family val="2"/>
          </rPr>
          <t>EQUIPO:</t>
        </r>
        <r>
          <rPr>
            <sz val="9"/>
            <color indexed="81"/>
            <rFont val="Tahoma"/>
            <family val="2"/>
          </rPr>
          <t xml:space="preserve">
Seleccione el tipo de incidente del cual desea observar las estadisticas.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84" authorId="0" shapeId="0" xr:uid="{00000000-0006-0000-0600-000001000000}">
      <text>
        <r>
          <rPr>
            <sz val="10"/>
            <color rgb="FF000000"/>
            <rFont val="Arial"/>
            <family val="2"/>
            <scheme val="minor"/>
          </rPr>
          <t>La persona que ha respondido ha actualizado este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317" authorId="0" shapeId="0" xr:uid="{00000000-0006-0000-0700-000001000000}">
      <text>
        <r>
          <rPr>
            <sz val="10"/>
            <color rgb="FF000000"/>
            <rFont val="Arial"/>
            <family val="2"/>
            <scheme val="minor"/>
          </rPr>
          <t>La persona que ha respondido ha actualizado este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PC1</author>
  </authors>
  <commentList>
    <comment ref="D72" authorId="0" shapeId="0" xr:uid="{00000000-0006-0000-0900-000001000000}">
      <text>
        <r>
          <rPr>
            <b/>
            <sz val="9"/>
            <color indexed="81"/>
            <rFont val="Tahoma"/>
            <family val="2"/>
          </rPr>
          <t>PC1:</t>
        </r>
        <r>
          <rPr>
            <sz val="9"/>
            <color indexed="81"/>
            <rFont val="Tahoma"/>
            <family val="2"/>
          </rPr>
          <t xml:space="preserve">
1 APOYO A OBANDO
1 APOYO A ROLDANILLO
1 APOYO A TORO
2 CAPACITACION COLEGIOS
1 CAPACITACION PANAUVA
1 CAPACITACION ASORUT</t>
        </r>
      </text>
    </comment>
    <comment ref="E72" authorId="0" shapeId="0" xr:uid="{00000000-0006-0000-0900-000002000000}">
      <text>
        <r>
          <rPr>
            <b/>
            <sz val="9"/>
            <color indexed="81"/>
            <rFont val="Tahoma"/>
            <family val="2"/>
          </rPr>
          <t>PC1:</t>
        </r>
        <r>
          <rPr>
            <sz val="9"/>
            <color indexed="81"/>
            <rFont val="Tahoma"/>
            <family val="2"/>
          </rPr>
          <t xml:space="preserve">
5/3/20 BUSQUEDE PESEBRE
6/3/20 BUSQUEDA PESEBRE
7/3/20 BUSQUEDA PESEBRE
25/3/20 LAVADO PARQUE COV
26/3/20 LAVADO PARQUE COV</t>
        </r>
      </text>
    </comment>
    <comment ref="E76" authorId="0" shapeId="0" xr:uid="{00000000-0006-0000-0900-000003000000}">
      <text>
        <r>
          <rPr>
            <b/>
            <sz val="9"/>
            <color indexed="81"/>
            <rFont val="Tahoma"/>
            <family val="2"/>
          </rPr>
          <t>PC1:</t>
        </r>
        <r>
          <rPr>
            <sz val="9"/>
            <color indexed="81"/>
            <rFont val="Tahoma"/>
            <family val="2"/>
          </rPr>
          <t xml:space="preserve">
TANQUES DE DESCONTAMINACION EN EL AMPARO Y TRACTORES PARA ASPERCION EN EL PUEBLO COVID-19</t>
        </r>
      </text>
    </comment>
  </commentList>
</comments>
</file>

<file path=xl/sharedStrings.xml><?xml version="1.0" encoding="utf-8"?>
<sst xmlns="http://schemas.openxmlformats.org/spreadsheetml/2006/main" count="20680" uniqueCount="6132">
  <si>
    <t xml:space="preserve">TIPO DE INCIDENTE </t>
  </si>
  <si>
    <t xml:space="preserve">INCIDENTES Y ACTIVIDADES </t>
  </si>
  <si>
    <t>DÍA DEL EVENTO</t>
  </si>
  <si>
    <t>DURACIÓN DEL EVENTO</t>
  </si>
  <si>
    <t>DIRECCIÓN O LUGAR DE REFERENCIA</t>
  </si>
  <si>
    <t>BARRIO CORREGIMIENTO O VEREDA</t>
  </si>
  <si>
    <t>DESCRIPCIÓN DEL EVENTO</t>
  </si>
  <si>
    <t>N° DE UNIDADES QUE ASISTIERON</t>
  </si>
  <si>
    <t xml:space="preserve">VEHÍCULO </t>
  </si>
  <si>
    <t>ENERO</t>
  </si>
  <si>
    <t>OTROS</t>
  </si>
  <si>
    <t>FUGA DE GAS NATURAL</t>
  </si>
  <si>
    <t xml:space="preserve">HORA Y VEINTE </t>
  </si>
  <si>
    <t xml:space="preserve">URB LAS PALMAS </t>
  </si>
  <si>
    <t xml:space="preserve">LAS PALMAS </t>
  </si>
  <si>
    <t xml:space="preserve">SE REALIZA CONTROL DE FUGA POR ROTURA DE TUBO EN ESCABACION </t>
  </si>
  <si>
    <t>B-2</t>
  </si>
  <si>
    <t>INSPECCIONES DE SEGURIDAD</t>
  </si>
  <si>
    <t>VISITAS DE ANÁLISIS DE RIESGOS</t>
  </si>
  <si>
    <t xml:space="preserve">HORA Y MEDIA </t>
  </si>
  <si>
    <t>LATORRE BARBE SHOP</t>
  </si>
  <si>
    <t>EL JARDIN</t>
  </si>
  <si>
    <t xml:space="preserve">ANALICES DE RIESGO A ESTABLECIMIENTO </t>
  </si>
  <si>
    <t>L-3</t>
  </si>
  <si>
    <t>VISITAS DE SEGURIDAD</t>
  </si>
  <si>
    <t>1:30 MINUTOS</t>
  </si>
  <si>
    <t>CL 15 # 14-70</t>
  </si>
  <si>
    <t>CENTRO</t>
  </si>
  <si>
    <t>VISITA DE SEGURIDAD</t>
  </si>
  <si>
    <t>CONTROL DE ABEJAS</t>
  </si>
  <si>
    <t>HORA Y CUARTO</t>
  </si>
  <si>
    <t xml:space="preserve">CRR 15 VIA AL LUCERO </t>
  </si>
  <si>
    <t>EL LUCERO</t>
  </si>
  <si>
    <t xml:space="preserve">SE REALIZA RECUPERACION DE ABEJAS EN LA URBANIZACION MORADA DEL VIENTO </t>
  </si>
  <si>
    <t>B-3</t>
  </si>
  <si>
    <t>RESCATES</t>
  </si>
  <si>
    <t>RECATE DE PARAPENTE</t>
  </si>
  <si>
    <t>UNA HORA</t>
  </si>
  <si>
    <t>FINCA GRAJALES</t>
  </si>
  <si>
    <t>BARRIO LAS LAJAS</t>
  </si>
  <si>
    <t xml:space="preserve">PERSONA QUE CAE EN SU PARAPENTE </t>
  </si>
  <si>
    <t>B-3, L-2</t>
  </si>
  <si>
    <t>1  HORA</t>
  </si>
  <si>
    <t>TIENDA D1</t>
  </si>
  <si>
    <t>INSPECCION DE SEGURIDAD POR SEGUNDA VEZ, VERIFICACION DE LOS REQUISITOS SOLICITADOS EN LA 1RA INSPECCION</t>
  </si>
  <si>
    <t xml:space="preserve">1 HORA 30 MINUTOS </t>
  </si>
  <si>
    <t>COMERCIO DEL MUNICIPIO</t>
  </si>
  <si>
    <t>INSPECCION DE SEGURIDAD AL COMERCIO DEL MUNICIPIO</t>
  </si>
  <si>
    <t xml:space="preserve">2 HORAS </t>
  </si>
  <si>
    <t xml:space="preserve">DOS INSPECCIONES DE SEGURIDAD AL COMERCIO DEL MUNICIPIO </t>
  </si>
  <si>
    <t>L-2</t>
  </si>
  <si>
    <t>INCENDIOS</t>
  </si>
  <si>
    <t>INCENDIO FORESTAL</t>
  </si>
  <si>
    <t xml:space="preserve">EL GUASIMO VIA SANTA ELENA </t>
  </si>
  <si>
    <t>SANTA ELENA</t>
  </si>
  <si>
    <t xml:space="preserve">INCENDIO EN RESIDUOS DE MATERA LATERAL A LA VIA, QUE GENERABA RIESGO DE PROPAGARSE POR LA LADERA </t>
  </si>
  <si>
    <t>B-2, L-2</t>
  </si>
  <si>
    <t>1 HORA</t>
  </si>
  <si>
    <t>LUCERO ALTO</t>
  </si>
  <si>
    <t>QUEMA DE PASTIZAL Y SINGLA CON AFECTACION DE CULTIVO DE UVA</t>
  </si>
  <si>
    <t>B-2, B-4</t>
  </si>
  <si>
    <t>2.20HORAS</t>
  </si>
  <si>
    <t>VIA SABANAZO</t>
  </si>
  <si>
    <t>RAMA DE UN ARBOL QUE ESTA SOBRE LA VIA</t>
  </si>
  <si>
    <t>CONTROL DE AVISPAS</t>
  </si>
  <si>
    <t xml:space="preserve">UNA HORA Y QUINCE MINUTOS </t>
  </si>
  <si>
    <t>CRR 16 9 43</t>
  </si>
  <si>
    <t xml:space="preserve">CAMPO ALEGRE </t>
  </si>
  <si>
    <t xml:space="preserve">SE HACE RECUPERACION DE AVISPAS Y SE LIBERAN EN UN LUGAR FUERA DEL MUNICIPIO </t>
  </si>
  <si>
    <t xml:space="preserve">DOS HORAS Y MEDIA </t>
  </si>
  <si>
    <t>MARTINDOZA</t>
  </si>
  <si>
    <t xml:space="preserve">SE REALIZA RECUPERACION DE LAS ABEJAS Y SE LLEVAN A LAS AFUERA DEL MUNICIPIO 
</t>
  </si>
  <si>
    <t>2 HORAS</t>
  </si>
  <si>
    <t xml:space="preserve"> 3 VISITAS DE ANALISI DE RIESGOS COMERCIO DEL MUNICIPIO</t>
  </si>
  <si>
    <t>1.15 HORAS</t>
  </si>
  <si>
    <t>CALLE16  3-51</t>
  </si>
  <si>
    <t>LAS LAJAS</t>
  </si>
  <si>
    <t>VISITA DE SEGURIDAD  LICORES BAR EL CHAPO</t>
  </si>
  <si>
    <t>L-1</t>
  </si>
  <si>
    <t>CALLE 16  4-14</t>
  </si>
  <si>
    <t>VISITA DE SEGURIDAD LICORES PUNTO CLAVE</t>
  </si>
  <si>
    <t>1 .20 HORAS</t>
  </si>
  <si>
    <t>CRA  3  14-13</t>
  </si>
  <si>
    <t>VISITA DE SEGURIDAD  ALMACEN AGRODISTRIBUIDORA EL CAMPO</t>
  </si>
  <si>
    <t>CALLE 14  13 82</t>
  </si>
  <si>
    <t>BELEN</t>
  </si>
  <si>
    <t>VISITA DE SEGURIDAD ALMACEN UNICELL</t>
  </si>
  <si>
    <t>1.30HORAS</t>
  </si>
  <si>
    <t>CRA 15  19 154</t>
  </si>
  <si>
    <t>VISITA DE SEGURIDAD TIENDA MEDICA LA UNION</t>
  </si>
  <si>
    <t xml:space="preserve">2 INSPECCIONES DE SEGURIDAD Y ANALISIS DE RIESGOS AL COMERCIO </t>
  </si>
  <si>
    <t>30 MINUTOS</t>
  </si>
  <si>
    <t>CR 16 CON CALLE 2 FRENTE A LA ESTACION LAS LAJAS</t>
  </si>
  <si>
    <t>INCENDIO FORESTAL EN UN POTRERO</t>
  </si>
  <si>
    <t>1 HORA 30 MINUTOS</t>
  </si>
  <si>
    <t>SAN PEDRO</t>
  </si>
  <si>
    <t>POR EL CARMEN</t>
  </si>
  <si>
    <t>EL RINCON</t>
  </si>
  <si>
    <t>PARAPENTE QUE CAE AL SUELO PERO SALE POR SU PROPIOS MEDIOS</t>
  </si>
  <si>
    <t>L-1, L-2</t>
  </si>
  <si>
    <t>TEJEDA</t>
  </si>
  <si>
    <t>INCENDIO RESIDUOS DE CAÑA</t>
  </si>
  <si>
    <t>B-2, B-4, L-2</t>
  </si>
  <si>
    <t>SE REATIVO EL INCENDIO</t>
  </si>
  <si>
    <t>1.37 HORAS</t>
  </si>
  <si>
    <t>BODEGAS DE EDUARDO JIMENEZ</t>
  </si>
  <si>
    <t>CORSEGA</t>
  </si>
  <si>
    <t>REFRIGERACION  DE FOCOS  DE UNA QUEMA DE DESECHOS AGRICOLAS CAÑA QUE SE REINICIAN NUEVAMENTE</t>
  </si>
  <si>
    <t>30 MNTOS</t>
  </si>
  <si>
    <t>CALLE 16  CRA 13 ESQ</t>
  </si>
  <si>
    <t>POPULAR</t>
  </si>
  <si>
    <t>DESPLAZAMIENTO AL SITIO A VERIFICAR</t>
  </si>
  <si>
    <t>MEDIA HORA</t>
  </si>
  <si>
    <t>CARRERA 15  # 22 72</t>
  </si>
  <si>
    <t xml:space="preserve">AL LLEGAR AL SITIO SE ENCUENTRA ROTURA DE TUBO DE GAS NATURAL SE HACE PREVENCION MIENTRAS LLEGA EL FUNCIONARIO DE GASES DE OCCIDENTE </t>
  </si>
  <si>
    <t>COLEGIO ITDG</t>
  </si>
  <si>
    <t>URB EL AMPARO</t>
  </si>
  <si>
    <t>ENJAMBRE DE ABEJAS QUE LLEGA A UN ARBOL EN LA CANCHA DEL COLEGIO</t>
  </si>
  <si>
    <t>40 MNTOS</t>
  </si>
  <si>
    <t>CRA 14  6 01</t>
  </si>
  <si>
    <t>TRASLADO DE ENJAMBRE QUE ESTABA EN LA ESTACION DE BOMBEROS AL SECTOR DE LA ISLA</t>
  </si>
  <si>
    <t>LABORES DE PREVENCION</t>
  </si>
  <si>
    <t>24 MNTOS</t>
  </si>
  <si>
    <t xml:space="preserve">  LA CAMPESINA BAJA</t>
  </si>
  <si>
    <t>CAMPESINA BAJA</t>
  </si>
  <si>
    <t xml:space="preserve">MONOTOREO QUEBRADA  SAN PEDRO SECTOR LA CAMPESINA </t>
  </si>
  <si>
    <t>20 MNTOS</t>
  </si>
  <si>
    <t>PUENTE CRA 15</t>
  </si>
  <si>
    <t>LA CIUDADELA</t>
  </si>
  <si>
    <t>MONITOREO QUEBRADA LA UNION</t>
  </si>
  <si>
    <t>FEBRERO</t>
  </si>
  <si>
    <t>2.30 HORAS</t>
  </si>
  <si>
    <t>CRA 15 CALLE 17 ESQ</t>
  </si>
  <si>
    <t>CUATRO HORAS</t>
  </si>
  <si>
    <t>PORTACHUELO</t>
  </si>
  <si>
    <t>LA ISLA</t>
  </si>
  <si>
    <t>AUXILIO A PERSONA POR ATAQUE DE ABEJAS Y SE PROCEDE A VERIFICAR EL PANAL</t>
  </si>
  <si>
    <t>RESCATE DE ANIMAL</t>
  </si>
  <si>
    <t>1.06 HORAS</t>
  </si>
  <si>
    <t>SAN LUIS</t>
  </si>
  <si>
    <t>RESCATE DE UN PATO QUE ESTABA ENREDADO EN UN COSTAL</t>
  </si>
  <si>
    <t>una hora</t>
  </si>
  <si>
    <t>via a sabanazo</t>
  </si>
  <si>
    <t xml:space="preserve">persona que se sale de la via en moto siendo trasladado en la ambulancia de sudsalud al hospital gonzalo contreras </t>
  </si>
  <si>
    <t>ZONA CENTRO</t>
  </si>
  <si>
    <t>NO SE REALIZAN LAS VISITAS PROGRAMADAS POR FALTA DE DOCUMENTACION QUEDANDO PENDIENTE PARA EL DIA LUNES 6 DE FEBRERO</t>
  </si>
  <si>
    <t>MATERIALES PELIGROSOS</t>
  </si>
  <si>
    <t>FUGA DE GAS GLP</t>
  </si>
  <si>
    <t>50MNTOS</t>
  </si>
  <si>
    <t>CR 18 9 10 PARQUE EL PRADO</t>
  </si>
  <si>
    <t>EL PRADO</t>
  </si>
  <si>
    <t>FRENTE A TIENDAS D1</t>
  </si>
  <si>
    <t>PRIMEROS AUXILIOS</t>
  </si>
  <si>
    <t>50 MNTOS</t>
  </si>
  <si>
    <t>LA CENAGUETA</t>
  </si>
  <si>
    <t>SE LE PRESTAN PRIMEROS AUXILIOS A PERSONA QUE CAE DE UNA MOTOCICLETA</t>
  </si>
  <si>
    <t>CRA 24 # 12-59</t>
  </si>
  <si>
    <t>PASOANCHO</t>
  </si>
  <si>
    <t>SEMOVIENTE QUE CAE A UNA SANJA</t>
  </si>
  <si>
    <t>BUSQUEDA Y RESCATE</t>
  </si>
  <si>
    <t>2.50  HORAS</t>
  </si>
  <si>
    <t>ZONA MONTAÑOSA DE SAN LIS</t>
  </si>
  <si>
    <t>INFORMAN DE UN PARAPENTISTA QUE CAE EN LA ZONA ALTA  DE SAN LUIS</t>
  </si>
  <si>
    <t>REUNIONES DE SERVICIO SOCIAL</t>
  </si>
  <si>
    <t>3 HORAS</t>
  </si>
  <si>
    <t>CALLE 14 # 6-01</t>
  </si>
  <si>
    <t>REUNION ADULTO MAYOR</t>
  </si>
  <si>
    <t>N/A</t>
  </si>
  <si>
    <t>35 min</t>
  </si>
  <si>
    <t>CRA19 20 38</t>
  </si>
  <si>
    <t>QUEMA DE PASTO, SELE SALE DE CONTROL AL PERSONAL QUE LA REALIZABA</t>
  </si>
  <si>
    <t>54 MNTOS</t>
  </si>
  <si>
    <t>SEGUNDO PASO QUEBRADA LA UNION</t>
  </si>
  <si>
    <t>PAJARO DE ORO</t>
  </si>
  <si>
    <t>SE REALIZA INSPECCION A UNA FUGA QUE HAY SOBRE EL CAUCE DE LA QUEBRADA, SE DETERMINA QUE ES UN TUBO DEL ACUEDUCTO D LA VEREDA PAJARO DE ORO</t>
  </si>
  <si>
    <t>INCENDIOS, INSPECCIONES DE SEGURIDAD</t>
  </si>
  <si>
    <t>1.20 HORAS</t>
  </si>
  <si>
    <t>CALLE 18 15 73</t>
  </si>
  <si>
    <t>SECTOR GALERIA</t>
  </si>
  <si>
    <t>VISITA DE SEGURIDAD AL BAR LOS PINOS</t>
  </si>
  <si>
    <t>45 MNTOS</t>
  </si>
  <si>
    <t>CRA 16 25-137</t>
  </si>
  <si>
    <t>LA CAMPESINA BAJA</t>
  </si>
  <si>
    <t>VERIFICACION DE UN ARBOL QUE CAE SOBRE EL CAUCE DE LA QUEBRADA, CAUSANDO DAÑOS EN  UN  CERCO DE PROPIEDAD DEL SEÑOR ALBERTO REYES</t>
  </si>
  <si>
    <t>2 HORA 30 MINUTOS</t>
  </si>
  <si>
    <t>CLL 14 # 6-01</t>
  </si>
  <si>
    <t>CALLE 18 CON CR 16 ESQUINA</t>
  </si>
  <si>
    <t>CLL 14 # 5-70</t>
  </si>
  <si>
    <t>SUMINISTROS DE AGUA</t>
  </si>
  <si>
    <t>LA CAMPESINA</t>
  </si>
  <si>
    <t>LA CAMPESINA ALTA</t>
  </si>
  <si>
    <t>SUMINISTRO DE AGUA</t>
  </si>
  <si>
    <t>B-4</t>
  </si>
  <si>
    <t>HIGUERON</t>
  </si>
  <si>
    <t>ACOMPAÑAMIENTO A UN PARTIDO DE FOOBALL</t>
  </si>
  <si>
    <t>1h y 20min</t>
  </si>
  <si>
    <t>CRA 14  13-22</t>
  </si>
  <si>
    <t xml:space="preserve">VISITA DE SEGURIDAD EN DROGUERIA AUDIFARMA </t>
  </si>
  <si>
    <t>QUEBRADA LA UNION POR VILLA BETEL</t>
  </si>
  <si>
    <t>URB VILLA BETEL</t>
  </si>
  <si>
    <t>CORTE DE UN ARBOL QUE ESTA SOBRE EL CAUCE DE LA QUEBRADA LA UNION</t>
  </si>
  <si>
    <t>QUEBRADA LA UNION CAMPESINA BAJA</t>
  </si>
  <si>
    <t>CORTE DE UN ARBOL QUE ESTA SOBRE EL CAUCE DE LA QUEBRADA LA UNION SECTOR DE LA CAMPESINA  BAJA</t>
  </si>
  <si>
    <t xml:space="preserve">UNA HORA Y CUARENTA MINUTOS </t>
  </si>
  <si>
    <t xml:space="preserve">BARRIO LAS BRISAS FRENTE AL COLEGIO SANTA CLARA </t>
  </si>
  <si>
    <t xml:space="preserve">BARRIO LAS BRISAS </t>
  </si>
  <si>
    <t xml:space="preserve">QUEMA FORESTAL EN UN LOTE BALDIO </t>
  </si>
  <si>
    <t>15 MNTOS</t>
  </si>
  <si>
    <t>TRAS 13 8-77</t>
  </si>
  <si>
    <t>LAS PALMAS VIA LAS CINTAS</t>
  </si>
  <si>
    <t>VERIFICACION ENJAMBRE DE ABEJAS</t>
  </si>
  <si>
    <t>1.38 HORAS</t>
  </si>
  <si>
    <t>URB EL AMPARO,LAS PALMAS .EL CARMEN</t>
  </si>
  <si>
    <t>EL AMPARO ,LAS PALMAS ,EL CARMEN</t>
  </si>
  <si>
    <t>SE REALIZARON VISITAS EN LOS SITIOS DONDE ESTABAN LOS ENJAMBRES EL DIA 9/2/2023,</t>
  </si>
  <si>
    <t>4 HORAS</t>
  </si>
  <si>
    <t>HACIENDA LA CASTELLANA</t>
  </si>
  <si>
    <t>CORCEGA</t>
  </si>
  <si>
    <t xml:space="preserve">INCENDIO EN RESUDUO DE CAÑA QUE AFECTA 8 HECTAREAS Y SE PASA A UNA SUERTE DONDE SE AFECTAN 1/2 HECTAREA SE CONTROLA Y SE LIQUIDA </t>
  </si>
  <si>
    <t>B-2, B-3, L-2, OTROS</t>
  </si>
  <si>
    <t>4h y 30min</t>
  </si>
  <si>
    <t>FINCA DIVISA - VIA SABANAZO</t>
  </si>
  <si>
    <t>SABANAZO</t>
  </si>
  <si>
    <t>QUEMA NO CONTROLADA DE COBERTURA VEGETAL- SE PIDE APOYO A BOMBEROS LA VICTORIA CON 6 UNIDADES Y 1 MAQUINA EXTINTORA</t>
  </si>
  <si>
    <t>1/12/0023</t>
  </si>
  <si>
    <t>FINCA DE OVIDIO GRANADA</t>
  </si>
  <si>
    <t>CORSEGA 2DA CANAL</t>
  </si>
  <si>
    <t>CONTROL ABEJAS</t>
  </si>
  <si>
    <t>ENTRE LA CR 11 Y 10</t>
  </si>
  <si>
    <t>PERSONA QUE SE LASTIMA LA PARTE LUMBAR EN UN GINNACIO</t>
  </si>
  <si>
    <t>CR 15 14 75</t>
  </si>
  <si>
    <t xml:space="preserve">SE REALIZA VISITA DE SEGURIDAD AL ESTABLECIMIENTO TIENDA ARA </t>
  </si>
  <si>
    <t xml:space="preserve">TRES HORAS Y VEINTE MINUTOS </t>
  </si>
  <si>
    <t xml:space="preserve">SALON # 3 CUERPO DE BOMBEROS </t>
  </si>
  <si>
    <t xml:space="preserve">LAS LAJAS </t>
  </si>
  <si>
    <t xml:space="preserve">REUNION DEL ADULTO MAYOR DE 35 PERSONAS </t>
  </si>
  <si>
    <t>1.47 HORAS</t>
  </si>
  <si>
    <t>FINCA LEÑO VERDE</t>
  </si>
  <si>
    <t>VIA SAN LUIS --- TORO</t>
  </si>
  <si>
    <t>CONTROL DE AVEJAS EN LA FINCA LEÑO VERDE</t>
  </si>
  <si>
    <t xml:space="preserve">UNA HORA </t>
  </si>
  <si>
    <t xml:space="preserve">EL PAPAYAL </t>
  </si>
  <si>
    <t xml:space="preserve">SAN LUIS </t>
  </si>
  <si>
    <t xml:space="preserve">AL LLEGAR AL SITIO SE ENCUENTRAN CON ROTURA DE TUBERIA DE GAS POR ESCABACION SE PROCEDE HACER ACORDONAMIENMTO Y ESTEN LINEAS DE SEGURIADAD MIENTRAS LLEGA EL TECNICO Y SE LE HACE ENTRA DE LA ESCENA </t>
  </si>
  <si>
    <t>CORTO CIRCUITO</t>
  </si>
  <si>
    <t xml:space="preserve">CALLE 14 ENTRE 11 Y 12 </t>
  </si>
  <si>
    <t xml:space="preserve">BELEN </t>
  </si>
  <si>
    <t xml:space="preserve">CORTO CIRCUITO EN LA COMITIVA DE LA CASA SE HACE ACORDONAMIENTO Y CIEERE DE LA VIA HASTA QUE LLEGUE EL TECNICO DE CELCIA </t>
  </si>
  <si>
    <t>BAR EL REY DEL DESPECHO</t>
  </si>
  <si>
    <t xml:space="preserve">GALERIA </t>
  </si>
  <si>
    <t xml:space="preserve">SE REALIZA VISTA DE SEGURIDAD AL ESTABLECIMIENTO </t>
  </si>
  <si>
    <t xml:space="preserve">BAR EL DIAMANTE </t>
  </si>
  <si>
    <t xml:space="preserve">SE REALIZA VISITA DE SEGURIDAD AL ESTABLECIMIENTO BAR EL DIAMANTE </t>
  </si>
  <si>
    <t>VIEJOTECA BAR CARRETERO</t>
  </si>
  <si>
    <t xml:space="preserve">SE RELAIZA VISTA DE SEGURIDA AL ESTABLECIMIENTO VIEJOTECA BAR CARRETERO
</t>
  </si>
  <si>
    <t xml:space="preserve">VIEJOTECA BAR CARRETEO </t>
  </si>
  <si>
    <t xml:space="preserve">SE REALIZA VISITA DE SEGURIDAD AL ESTABLECIOMIENTO VIEJOTECA BAR CARRETERO </t>
  </si>
  <si>
    <t>LA CANTALETA POPULAR</t>
  </si>
  <si>
    <t xml:space="preserve">SE RELAIZA VISITA DE SEGURIDAD LA CANTAELTA POPULAR </t>
  </si>
  <si>
    <t xml:space="preserve">GATO PARDO </t>
  </si>
  <si>
    <t xml:space="preserve">SE REALIZA VISITA DE SEGURIDAD AL BAR GATO PARDO </t>
  </si>
  <si>
    <t xml:space="preserve">OCHO HORAS </t>
  </si>
  <si>
    <t xml:space="preserve">VEREDA VIOLETAS </t>
  </si>
  <si>
    <t xml:space="preserve">VIOLETAS </t>
  </si>
  <si>
    <t xml:space="preserve">SE HACE CORTE DE ARBOL POR AMENNAZA DE CAICA EN UNA VIVIENDA </t>
  </si>
  <si>
    <t>CALLE 13-16.13</t>
  </si>
  <si>
    <t>BARRIO LA CRUZ</t>
  </si>
  <si>
    <t>ABEJAS EN EL MEDIO DE DOS PAREDES ALBOROTADAS</t>
  </si>
  <si>
    <t>RESCATES, OTROS</t>
  </si>
  <si>
    <t>CRA 20 16-37</t>
  </si>
  <si>
    <t>VERIFICACION CONTROL ABEJAS</t>
  </si>
  <si>
    <t>29 MNTOS</t>
  </si>
  <si>
    <t>ZONA ROSA DISCOTK SEVEN</t>
  </si>
  <si>
    <t>CALLE 15 CRA 5 ESQ</t>
  </si>
  <si>
    <t>VIA LA UNION LA VICTORIA</t>
  </si>
  <si>
    <t>RAMA DE UN ARBOL QUE ESTA QUEBRADA AMENAZANDO CON CAER SOBRE LA VIA PROVOCANDO UN POSIBLE ACCIDENTE</t>
  </si>
  <si>
    <t xml:space="preserve">CALLE 14  6 01 CBV </t>
  </si>
  <si>
    <t>REUNION DEL GRUPO ADULTO MAYOR SIEMPRE UNIDO  DE LA SEÑORA ROXANA AGUIRRE</t>
  </si>
  <si>
    <t>DISCOTEK SEVEN</t>
  </si>
  <si>
    <t>DESPLAZAMIENTO NO SE PUDO REALIZAR EL CONTROL</t>
  </si>
  <si>
    <t xml:space="preserve">CASA CONCISTORIAL </t>
  </si>
  <si>
    <t xml:space="preserve">CENTRO </t>
  </si>
  <si>
    <t xml:space="preserve">SE HACE VERIFICACION DE ABEJAS EN LA CASA CONSISTORIAL EL CUAL REPORTAN DOS PANALES DE ABEJAS </t>
  </si>
  <si>
    <t xml:space="preserve">VIA A LA PLANTA </t>
  </si>
  <si>
    <t xml:space="preserve">EL CARMEN </t>
  </si>
  <si>
    <t xml:space="preserve">SE REALIZA VERIFICACION DE ARBOL SECO QUE ESTA EN RIESGO EN UNA VIVIENDA </t>
  </si>
  <si>
    <t>3.10 HORAS</t>
  </si>
  <si>
    <t>CALLE 14 6 01 CBV LA UNION</t>
  </si>
  <si>
    <t>REUNION DEL GRUPO DEL ADULTO MAYOR SEMILLAS DE AMOR</t>
  </si>
  <si>
    <t>ESTANQUILLO LA 16</t>
  </si>
  <si>
    <t>SE RECOGE PLAN DE EMERGENCIA EN EL ESTANQUILLO LA 16</t>
  </si>
  <si>
    <t>1.10 HORAS</t>
  </si>
  <si>
    <t>CASA CONSISTORIAL</t>
  </si>
  <si>
    <t>SE COORDINA CON LA SEÑORA PATRICIA TAMAYO EL ALQUILER DE ANDAMIOS PARA REALIZAR LA UBICACION EXACTA DE UN ENJAMBRE  DE ABEJAS</t>
  </si>
  <si>
    <t>7.26 HORAS</t>
  </si>
  <si>
    <t>FINCA EL TOPACIO</t>
  </si>
  <si>
    <t>EL MORAL</t>
  </si>
  <si>
    <t>SE REALIZA UN CONTROL DE ABEJAS EN EL CORREGIMIENTO EL MORAL</t>
  </si>
  <si>
    <t>3.40 HORAS</t>
  </si>
  <si>
    <t>CRA 15 CALLES 14 Y 15 CASA CONSISTORIAL</t>
  </si>
  <si>
    <t>RECUPERACION DE COLMENA DE ABEJAS Y RETIRO DE ENJANDRE DE AVISPAS QUE ESTABA DE GRAN TAMAÑO EN UN ARBOL DE MANGO,PONIENDO EN RIESGO A LOS NIÑOS QUE PRACTICAN ACTIVIDADES EN EL SITIO</t>
  </si>
  <si>
    <t>42 MNTOS SIN TERMINAR</t>
  </si>
  <si>
    <t xml:space="preserve">BALASTRERA </t>
  </si>
  <si>
    <t>VIA LA UNION  QUEBRADA GRANDE</t>
  </si>
  <si>
    <t>ATAQUE DE ABEJAS DEJANDO COMO SALDO DO PERSONAS PICADAS,QUEDANDO PENDIENTE PÓR CONCLUIR EL TRABAJO DE RECUPERACION DE LOS INSECTOS</t>
  </si>
  <si>
    <t>DOS HORAS</t>
  </si>
  <si>
    <t xml:space="preserve">LA BALASTRERA </t>
  </si>
  <si>
    <t>GUASIMO</t>
  </si>
  <si>
    <t xml:space="preserve">SE REALIZA RECUPERACION DE UN EMJAMBRE DE ABEJAS Y SE LIBERAN EN EL GUASIMO </t>
  </si>
  <si>
    <t>VIA  A QUEBRADA LA BALASTRERA</t>
  </si>
  <si>
    <t>VIA A QUEBRADA</t>
  </si>
  <si>
    <t>RECUPERACION DE ENJAMBRE DE ABEJAS,LAS CUALES ESTABAAN PENDIENTES DESDE LAS HORAS DE LA MAÑANA</t>
  </si>
  <si>
    <t>REUNIÓN EN LA ALCALDÍA</t>
  </si>
  <si>
    <t>CASA DE LA CULTURA</t>
  </si>
  <si>
    <t>REUNION DE GESTION AMBIENTAL</t>
  </si>
  <si>
    <t>REUNION GRUPO ADULTO MAYOR</t>
  </si>
  <si>
    <t>23 MNTOS</t>
  </si>
  <si>
    <t>CALLE14 CRA 9 ESQUINA</t>
  </si>
  <si>
    <t>CORTE DE UNA RAMA QUE SE DESGAJOPRESENTANDO RIESGO PARA LA COMUNIDAD</t>
  </si>
  <si>
    <t>CRA 9  #16 12</t>
  </si>
  <si>
    <t xml:space="preserve">SALEN A VERIFICAR ENJAMBRE DE ABEJAS </t>
  </si>
  <si>
    <t>MARZO</t>
  </si>
  <si>
    <t>EL  GALLINERO DE TABARES</t>
  </si>
  <si>
    <t>QUEMA AGRICOLA QUE SE SALE DE CONTROL</t>
  </si>
  <si>
    <t>INUNDACIÓN</t>
  </si>
  <si>
    <t>11 MNTOS</t>
  </si>
  <si>
    <t>CRA   16   6 24</t>
  </si>
  <si>
    <t>INUNDACION POR COLAPSO DE ALCANTARILLADO MNPAL</t>
  </si>
  <si>
    <t>1.05 HORA</t>
  </si>
  <si>
    <t>RESCATE DE UN PATO QUE ESTABA ENREDADO EN UN LAGO</t>
  </si>
  <si>
    <t>FINCA LA SOFIA</t>
  </si>
  <si>
    <t>VACA QUED CAE A LA CANAL</t>
  </si>
  <si>
    <t>CALLE 14</t>
  </si>
  <si>
    <t>CUERDA QUE CAE POR EXPLOCION DE TRANSFORMADOR</t>
  </si>
  <si>
    <t>DERRAME DE COMBUSTIBLE O ACEITES</t>
  </si>
  <si>
    <t>KL 94 VIA LA UNION TORO</t>
  </si>
  <si>
    <t>VOCAMNIENTO DE UN CAMION DE PLACA JKW 484</t>
  </si>
  <si>
    <t xml:space="preserve">TRES HORAS </t>
  </si>
  <si>
    <t>SALON CONFERENCIA #3 CBV</t>
  </si>
  <si>
    <t xml:space="preserve">REUNION DE LA TERCERA EDAD </t>
  </si>
  <si>
    <t>16 mntos</t>
  </si>
  <si>
    <t>cra 13 11 59</t>
  </si>
  <si>
    <t>INFORMAN QUE UNA CAJA DE LOS BREKERS ESTA EN CORTO CIRCUITO</t>
  </si>
  <si>
    <t>2 HORAS 30 MINUTOS</t>
  </si>
  <si>
    <t>KL 3 VIA LA UNION ROLDANILLO</t>
  </si>
  <si>
    <t>EL PICACHO</t>
  </si>
  <si>
    <t>ABEJAS EN UN POSTE DE ENERGIA CAIDO</t>
  </si>
  <si>
    <t>CALLE 15 # 21-65</t>
  </si>
  <si>
    <t>BELLAVISTA ALTA</t>
  </si>
  <si>
    <t>ROTURA DE TUBO DE GAS</t>
  </si>
  <si>
    <t>REUNION DEL GRUPO DEL ADULTO MAYOR</t>
  </si>
  <si>
    <t>1.45 HORAS</t>
  </si>
  <si>
    <t>QUEBRADA LOS MUERTOS</t>
  </si>
  <si>
    <t>1.48 MNTOS</t>
  </si>
  <si>
    <t>CLL 15 # 15-26</t>
  </si>
  <si>
    <t>LA CRUZ</t>
  </si>
  <si>
    <t>CR 13 # 13-24</t>
  </si>
  <si>
    <t>CALLE 15 # 15-04</t>
  </si>
  <si>
    <t>CRA 14 CLL 7</t>
  </si>
  <si>
    <t>ARBOL QUE SE CALLO SOBRE LA VIA</t>
  </si>
  <si>
    <t>CARRERA 18#19A-04</t>
  </si>
  <si>
    <t xml:space="preserve">SE REALIZA CONTROL DE ABEJAS POR QU ESTABAN PICANDO UNAS TERNERAS </t>
  </si>
  <si>
    <t>URBA EL AMPARO  CASA 5 MAN E</t>
  </si>
  <si>
    <t>FUGA DE GAS NATRAL POR ROMPIMIENTO DE RED DOMICILIARIA</t>
  </si>
  <si>
    <t>SALON #3 CBV LA UNION</t>
  </si>
  <si>
    <t>REUNION DEL GRUPO ADULTO MAYOR SEMILLAS DE AMOR</t>
  </si>
  <si>
    <t>EL RODEO</t>
  </si>
  <si>
    <t>ARBOL EN LA VIA</t>
  </si>
  <si>
    <t xml:space="preserve">DOS HORAS </t>
  </si>
  <si>
    <t xml:space="preserve">CASA H </t>
  </si>
  <si>
    <t xml:space="preserve">LA ISLA </t>
  </si>
  <si>
    <t xml:space="preserve">SE HACE RECUPERACION DE ABEJAS Y SE TRASLADAN A UN LUGAR SEGURO </t>
  </si>
  <si>
    <t xml:space="preserve">FINCA EL REFLEJO </t>
  </si>
  <si>
    <t xml:space="preserve">EL RODEO VIA A TORO </t>
  </si>
  <si>
    <t>AL LLEGAR AL SITIO SE OBSERBA FUGA DE GAS EN TUBERIA DE CUATRO PULGADAS ROTURA QUE SE HACE CON UNA RETROESCABADORA, SE ACORDONA LA VIA EN ANBOS SENTIDOS Y SE ESPERA QUE LLEGUEN LOS TENICOS Y HAGAN LA REPARACION.</t>
  </si>
  <si>
    <t>2 horas</t>
  </si>
  <si>
    <t>cra 12 # 13-47</t>
  </si>
  <si>
    <t>belen</t>
  </si>
  <si>
    <t>felino que se fu por un desague</t>
  </si>
  <si>
    <t>CR 12 # 13-47</t>
  </si>
  <si>
    <t>GATO QUE SE QUEDO ATRAPADO EN UN BAJANTE</t>
  </si>
  <si>
    <t>PARQUE PRINCIPAL</t>
  </si>
  <si>
    <t>QUEMA DE CASTILLO</t>
  </si>
  <si>
    <t>PARQUEADERO HOSPITAL GONZALO CONTRERAS</t>
  </si>
  <si>
    <t>INFORMAN QUE HAY UNA ZARIGUELLA POR LOS LADOS DEL PARQUEADERO  SOLICITAN QUE SEA TRASLADADA A SU HABITAT</t>
  </si>
  <si>
    <t xml:space="preserve">ENSEGUIDA DE LA EMPRESA GRAJALES </t>
  </si>
  <si>
    <t xml:space="preserve">SE REALIZA ISNPECION DE SEGURIDAD AL LOCAL DONDE SE REALIZARA EL EVENTO DEL DUETO BURITICA Y LUIS ALFONSO </t>
  </si>
  <si>
    <t>FALSA ALARMA</t>
  </si>
  <si>
    <t xml:space="preserve">MEDIA HORA </t>
  </si>
  <si>
    <t>CR 13 25 BIS 05</t>
  </si>
  <si>
    <t xml:space="preserve">SAN PEDRO </t>
  </si>
  <si>
    <t xml:space="preserve">AL LLEGAR AL SITIO NO SE EVIDENCIO NINGNA FUGA NI NADIE SALIO A DECIR NADA POR LO TANTO RREGRESARON AL CUARTEL </t>
  </si>
  <si>
    <t>CALLE 16  15 72</t>
  </si>
  <si>
    <t xml:space="preserve">AL LLEGAR AL SITIO SE ENCUENTRA FUGA DE GAS POR ROTURA EN LA PARTE DEL INTERIOR DE LA VIVIENDA </t>
  </si>
  <si>
    <t>CALLE 14 6 01</t>
  </si>
  <si>
    <t>REUNION DEL ADULTO AMYOR EN EL SALON # 03</t>
  </si>
  <si>
    <t xml:space="preserve">REUNION DE LAS PERSONA DEL ADULTO MAYOR </t>
  </si>
  <si>
    <t>INCENDIO VEHICULAR</t>
  </si>
  <si>
    <t>SEDE DEFENSA CIVIL COLOMBIANA</t>
  </si>
  <si>
    <t xml:space="preserve">SE PRENDE UN VEHICULO EN EL TALLER DE POLVERAS EN LUGAR SE ENCONTRABA UNA UNIDAD DEL CBV EL CUAL AYUDAD A CONTROLORAR CON EXTINTORES </t>
  </si>
  <si>
    <t>55 MNTOS</t>
  </si>
  <si>
    <t>VIA LA UNION TORO</t>
  </si>
  <si>
    <t>RAMA DE UN ARBOL QUE CAE SOBRE LA VIA PANORAMA POR EL SECTOR DE LA PERCHOSA</t>
  </si>
  <si>
    <t>ABRIL</t>
  </si>
  <si>
    <t>44 MNTOS</t>
  </si>
  <si>
    <t>CALLE 13  CRA13FRENTE A MUNDO MUJER</t>
  </si>
  <si>
    <t>CUATRO FELINOS QUE ESTAN ENCIMA DE UN TEJADO</t>
  </si>
  <si>
    <t>CEA 13 #13 80</t>
  </si>
  <si>
    <t>VISITA DE SEGURIDAD AL ESTANQUILLO FONDO BLANCO</t>
  </si>
  <si>
    <t xml:space="preserve"> 55 MNTOS</t>
  </si>
  <si>
    <t>CALLE 12 #10 58</t>
  </si>
  <si>
    <t>VISITA DE SEGURIDAD A CEDENORTE</t>
  </si>
  <si>
    <t>CRA 18 # 15 46</t>
  </si>
  <si>
    <t xml:space="preserve"> LA CRUZ</t>
  </si>
  <si>
    <t>VISITA DE SEGURIDAD A DISTRIBUIDORA FYC</t>
  </si>
  <si>
    <t>CALLE 14  CUERPO DE BOMBEROS</t>
  </si>
  <si>
    <t>REUNION DEL GRUPO SEMILLAS DE AMOR  DE LA TERCERA EDAD</t>
  </si>
  <si>
    <t>1.05 HORAS</t>
  </si>
  <si>
    <t>VIA  SAN LUIS PUENTE DE LA QUEBRADA</t>
  </si>
  <si>
    <t>VEHICULO QUE PIERDE EL CONTROL Y COLISIONA CON EL SEPARADOR DE LA PEATONAL Y EL PUENTE</t>
  </si>
  <si>
    <t>B-2, L-3</t>
  </si>
  <si>
    <t xml:space="preserve">UNA HORA Y CINCUENTA </t>
  </si>
  <si>
    <t>CALLE 11 CON CR 11</t>
  </si>
  <si>
    <t xml:space="preserve">LAVADO DE LA CALLE YA QUE SE ENCONTRABA CERRADA POR REPARACION </t>
  </si>
  <si>
    <t>B-1</t>
  </si>
  <si>
    <t xml:space="preserve">CUARENTA MINUTOS </t>
  </si>
  <si>
    <t xml:space="preserve">POLIDEPORTIVO DEL JARDIN </t>
  </si>
  <si>
    <t xml:space="preserve">SE REALIZA VERIFICACION  EN EL POLIDEPORTIVO, DONDE SE OBSERVA UNAS ABEJAS EN EL SUELO Y OTRAS ALBOROTADAS POR QUE LES PUSIERON HUMO, SE DA RECOMENDACIONES Y SE ACORDONA EL AREA, PARA EVITAR EL PASO DE TRASEUNTES Y SE LLAMO A  FABER GRAJALES, PARA CORDINAR CON TRANCITO LA CERRADA DE LA VIA Y MAS TARDE HACER EL CONTROL.
</t>
  </si>
  <si>
    <t>30 minutos</t>
  </si>
  <si>
    <t>via la union toro POR PEDREGAL</t>
  </si>
  <si>
    <t>ACORDONAMIENTO DE ACCIDENTE DE TRANSITO</t>
  </si>
  <si>
    <t xml:space="preserve">CUATRO HORAS </t>
  </si>
  <si>
    <t>ROMBOY</t>
  </si>
  <si>
    <t xml:space="preserve">LAS LAJAS AL CENTRO </t>
  </si>
  <si>
    <t xml:space="preserve">SE HACE ACOMPAÑAMIENTO A LA PROSECION DEL RESUCITADO </t>
  </si>
  <si>
    <t xml:space="preserve">FINCA LAS MARGARITAS </t>
  </si>
  <si>
    <t xml:space="preserve">PAJARO DE ORO </t>
  </si>
  <si>
    <t xml:space="preserve">SE REALIZA INSPECION DEL LUGAR Y SE DEJA RECOMENDACION DE SACRA LAS BESTIAS DELAS PESEBRERA YA QUE ESTABAN ATACANDO LOS ANIMALES Y MATARON UNA TERNERA </t>
  </si>
  <si>
    <t>LOS LAGO DE MONICA</t>
  </si>
  <si>
    <t>ARBOL QUE CALLO SOBRE LA VIA</t>
  </si>
  <si>
    <t>CALLE 21 CON 9</t>
  </si>
  <si>
    <t>LAS BRISAS</t>
  </si>
  <si>
    <t>LAVADA DE CALLE POR AGUAS RESIDUALES</t>
  </si>
  <si>
    <t>CL 14 # 6-01</t>
  </si>
  <si>
    <t>REUNION DEL ADULTO MAYOR</t>
  </si>
  <si>
    <t>2 HORAS 40 MINUTOS</t>
  </si>
  <si>
    <t>EL CARMEN</t>
  </si>
  <si>
    <t>ENTRADA AL ANCIANATO VIA CASA BLANCA</t>
  </si>
  <si>
    <t>FALSA ALARMA POR FUGA DE GAS NATURAL</t>
  </si>
  <si>
    <t>CAMPESINA ALTA</t>
  </si>
  <si>
    <t>INCENDIO FORESTAL VIA LAS TRES CRUCES, LA CAMPESINA ALTA</t>
  </si>
  <si>
    <t>CAÍDA DE CUERDAS</t>
  </si>
  <si>
    <t>CR 13 CON CALLE 10 ESQUINA</t>
  </si>
  <si>
    <t>CABLE DE ALTA QUE SE SUELTA Y CAE SOBRE LA CARRETERA</t>
  </si>
  <si>
    <t>MISA CAMPAL</t>
  </si>
  <si>
    <t>L-2, OTROS</t>
  </si>
  <si>
    <t xml:space="preserve">IGLESIA LA ERMITA </t>
  </si>
  <si>
    <t xml:space="preserve">ACOMPAÑAMIENTO CELEBRACION DEL ANIVERSARIO DEL MUNICIPIO LA UNION 227 AÑOS QUEMA DE LOS JUEGOS PIROTENICOS EN  LA ERMITA 
</t>
  </si>
  <si>
    <t>25 MNTOS</t>
  </si>
  <si>
    <t>CRA 12 CALLE #8 20</t>
  </si>
  <si>
    <t>INUNDACION POR COLAPSO DE ALCANTARILLADO</t>
  </si>
  <si>
    <t>CRA 12 #8 14</t>
  </si>
  <si>
    <t>INUNDACION POR COLAPSO DEL ALCANTARILLADO</t>
  </si>
  <si>
    <t>17 MNTOS</t>
  </si>
  <si>
    <t>PUENTE DE SAN PEDRO VIA LA CAMPESINA</t>
  </si>
  <si>
    <t>VERIFICACION CAUCE QUEBRADA SAN PEDRO</t>
  </si>
  <si>
    <t>1.17 HORAS</t>
  </si>
  <si>
    <t>PUENTE METALICO VIA PANORAMA</t>
  </si>
  <si>
    <t>ENTRADA  AL HOTEL LOS VIÑEDOS KM 1</t>
  </si>
  <si>
    <t>ATAQUE DE ABEJAS AL PERSONAL QUE LABORA EN EL CONTROL DEL PUENTE METALICO EN LA VIA PANORAMA  A LA ENTRADA DEL HOTEL LOS VIÑEDOS</t>
  </si>
  <si>
    <t>VIA ´PANORAMA KM 1 VIA ROLDANILLO</t>
  </si>
  <si>
    <t>VIA  PANORAMA ENTRADA HOTEL LOS VIÑEDOS</t>
  </si>
  <si>
    <t xml:space="preserve">RECUPERACION DE ABEJAS QUE EN HORAS DE LA TARDE ESTABAN ATACANDO A  TRANSEUNTES Y PERSONAL DE INVIAS </t>
  </si>
  <si>
    <t>CR 15 # 15 69</t>
  </si>
  <si>
    <t xml:space="preserve">AL LLEGAR AL SITIO SE OBSERVA INCENDIO EN EL CONTADOR DEL ESTABLECIMIENTO DE ASADERO DON POLLO EL CUAL FUE CONTROLADO </t>
  </si>
  <si>
    <t>SALON # 3 cbv la union</t>
  </si>
  <si>
    <t xml:space="preserve">REUNION DEL GRUPO DE LA  TERCERA EDAD SIEMPRE UNIDOS  </t>
  </si>
  <si>
    <t>1.13 HORAS</t>
  </si>
  <si>
    <t>SAN PEDRO ARRIBA</t>
  </si>
  <si>
    <t>SAN PEDRO  POR LOS TANQUES DE ACUAVALLE</t>
  </si>
  <si>
    <t xml:space="preserve">CORTE DE UNA RAMA QUE SE DESGAJO DEL ARBOL QUEDANDO EN RIESGO DE CAUSAR UN POSIBLE ACCIDENTE </t>
  </si>
  <si>
    <t>INCENDIO ESTRUCTURAL</t>
  </si>
  <si>
    <t>CLL 13</t>
  </si>
  <si>
    <t>V</t>
  </si>
  <si>
    <t>Simulación</t>
  </si>
  <si>
    <t>M-1</t>
  </si>
  <si>
    <t>2 H</t>
  </si>
  <si>
    <t>M-2, M-3</t>
  </si>
  <si>
    <t>GALERIA EN EL ALMACEN EL VAQUERO</t>
  </si>
  <si>
    <t>GATO QUE SE ENCUENTRA EN UN TEJADO</t>
  </si>
  <si>
    <t>M-2</t>
  </si>
  <si>
    <t>GALERIA - ALMACEN EL VAQUERO</t>
  </si>
  <si>
    <t>GATO EN UN TEJADO PERO POR SE MUR ARISCO NO SE DEJO COJER</t>
  </si>
  <si>
    <t>1 H</t>
  </si>
  <si>
    <t>SANTAELENA</t>
  </si>
  <si>
    <t>INFORMAN LA PRESENCIA DE FOCOS DE INCENDIOS EN LA MONTAÑA</t>
  </si>
  <si>
    <t>CALLE 13 # 20-198</t>
  </si>
  <si>
    <t xml:space="preserve">FUGA DE GAS EN VIA PUBLICA </t>
  </si>
  <si>
    <t>5 H</t>
  </si>
  <si>
    <t>M-3, M-6</t>
  </si>
  <si>
    <t>4 H</t>
  </si>
  <si>
    <t>VIA LA VICTORIA</t>
  </si>
  <si>
    <t>CORTE DE ARBOL</t>
  </si>
  <si>
    <t>M-2, M-6</t>
  </si>
  <si>
    <t>VIA SABANAZO A LA ALTURA DE LA BALASTRERA</t>
  </si>
  <si>
    <t>INCENDIO A CAUSA DE LA QUEMA DE BASURAS</t>
  </si>
  <si>
    <t xml:space="preserve">FRENTE AL PARQUEADERO LAS LAJAS </t>
  </si>
  <si>
    <t xml:space="preserve">RAMA DE ARBOL QUE CAE SOBRE LA VIA PUBLICA ENTRADA AL MUNICIPIO 
</t>
  </si>
  <si>
    <t>M-4</t>
  </si>
  <si>
    <t>MOTOCICLISTAQUE SE SALIO DE LA VIA</t>
  </si>
  <si>
    <t>M-3, M-5</t>
  </si>
  <si>
    <t>FINCA LAS CAMELIAS</t>
  </si>
  <si>
    <t xml:space="preserve">PARAPENTE QUE QUEDO ATRAPADO EN UN ARBOL </t>
  </si>
  <si>
    <t>M-3, M-4</t>
  </si>
  <si>
    <t>ESTANQUILLO JJ</t>
  </si>
  <si>
    <t>HIGUERONCITO</t>
  </si>
  <si>
    <t>RESCATE DE PARAPENTE EN LA PARTE ALTA DE LA MONTAÑA</t>
  </si>
  <si>
    <t>SALE UNA CUADRILLA PARA VERIFICAR-- DE DEVUELVEN POR QUE SE EXTINGUIO SOLO</t>
  </si>
  <si>
    <t>QUEMA DE UN BASURERO QUE FUE CONTROLADO Y LIQUIDADO</t>
  </si>
  <si>
    <t>40 MINUTOS</t>
  </si>
  <si>
    <t>CALLE 16  ENTRADA AL MUNICIPIO</t>
  </si>
  <si>
    <t>RAMA QUE CAE A LA VIA OSTACULIZA EL PASO VEHICULAR</t>
  </si>
  <si>
    <t xml:space="preserve">30 MINUTOS </t>
  </si>
  <si>
    <t>CALLE 14 CON CARRERA 13</t>
  </si>
  <si>
    <t xml:space="preserve">REGUERO DE COMBUSTIBLE EN LA VIA PUBLICA 
</t>
  </si>
  <si>
    <t>M-3</t>
  </si>
  <si>
    <t xml:space="preserve">CALL 18 # 12 09 </t>
  </si>
  <si>
    <t xml:space="preserve">URBANIZACION TRAS ANDINA </t>
  </si>
  <si>
    <t xml:space="preserve">QUE MA DE PASTIZAL EN LOTE VALDIO 
</t>
  </si>
  <si>
    <t xml:space="preserve">SOBRE LA PANORAMA PASANDO EL PUENTE DE SAN LUIS </t>
  </si>
  <si>
    <t xml:space="preserve">CORREGIMIENTO DE SAN LUIS </t>
  </si>
  <si>
    <t xml:space="preserve">INCENDIO EN UN LOTE ESTABAN ASIENDO QUEMA CONTROLADA AFETANDO LAS VIENDAS CON EL HUMO </t>
  </si>
  <si>
    <t>calle 13 # 8-33</t>
  </si>
  <si>
    <t>vivienda inundad</t>
  </si>
  <si>
    <t>30 MIN</t>
  </si>
  <si>
    <t>CLL 19 # 17 - 84</t>
  </si>
  <si>
    <t>Se recibe llamado solicitando ayuda para la recuperacion de una zarigeya atrapada en el baño de una vivienda.</t>
  </si>
  <si>
    <t>DOS HORAS Y MEDIA</t>
  </si>
  <si>
    <t>FINCA EL PLACER</t>
  </si>
  <si>
    <t>QUEMA CONTROLADA QUE SE SALIO DEL CONTROL</t>
  </si>
  <si>
    <t>M-2, M-4</t>
  </si>
  <si>
    <t>DROGUERIA AUDIFARMA</t>
  </si>
  <si>
    <t>MEGA HOGAR</t>
  </si>
  <si>
    <t>STAY HIGH</t>
  </si>
  <si>
    <t>M-6</t>
  </si>
  <si>
    <t>CASA SHOW LOS CRISTALES</t>
  </si>
  <si>
    <t>ESTANQUILLO LOS COCHOSOS PLAZA</t>
  </si>
  <si>
    <t>REMATES KANUTO</t>
  </si>
  <si>
    <t>BANCO AGRARIO</t>
  </si>
  <si>
    <t>3 H</t>
  </si>
  <si>
    <t>AUDIFARMA SAS CR 14 # 13 - 22</t>
  </si>
  <si>
    <t>COOPSER CRA 13 # 13 - 24</t>
  </si>
  <si>
    <t>CIC LABORATORIO CRA 12 # 13 - 34</t>
  </si>
  <si>
    <t>TIENDA MIXTA LICORES DEL VALLE CLL 18 #15 - 50</t>
  </si>
  <si>
    <t>VISITA DE SEGURDAD</t>
  </si>
  <si>
    <t xml:space="preserve">PARQUE PRINCIPAL </t>
  </si>
  <si>
    <t>ANIMAL QUE SE ENCUENTRA EN LUGAR PUBLICO EL CUAL FUE CAPTURADO Y REHUBICADO EN SU HABITAD</t>
  </si>
  <si>
    <t xml:space="preserve">DOS HORAS Y VEINTE MINUTOS </t>
  </si>
  <si>
    <t>CALLE 12# 20-220</t>
  </si>
  <si>
    <t xml:space="preserve">PASOANCHO </t>
  </si>
  <si>
    <t xml:space="preserve">FUGA DE GAS POR ESCABACION DONDE SE HACE PRENVENCION HASTA QUE LOS TECNICOS HAGAN SU REPARACION </t>
  </si>
  <si>
    <t>RESCATE DE PERSONA</t>
  </si>
  <si>
    <t>ZONA MONTAÑOSA DE LA CANCHA BARRIO EL CARMEN</t>
  </si>
  <si>
    <t>REPORTAN CAIDA DE PARAPENTE, SE SUSPENDE LA SALIDA PUES NO ES NECESARIO EL RESCATE, E INFORMAN QUE LA PERSONA FALLECIO CON EL IMPACTO.</t>
  </si>
  <si>
    <t>DISTRIBUIDORA  F Y C CLL 18 # 15 - 17</t>
  </si>
  <si>
    <t>TIENDA BELEN CLL 11 # 12 - 06</t>
  </si>
  <si>
    <t>1H</t>
  </si>
  <si>
    <t>CLL 14 # 12 - 25</t>
  </si>
  <si>
    <t>SE RECIBE INFORMACION SOBRE UN FELINO QUE NO PUEDE BAJAR DEL TECHO DE UNA VIVIENDA, DEBIDO AL DIFICIL ACCESO SE SUSPENDEN LABORES Y NO SE PROCEDE A BAJAR AL ANIMAL</t>
  </si>
  <si>
    <t>TIENDAS ARA</t>
  </si>
  <si>
    <t>COBA COLOMBIA SAS</t>
  </si>
  <si>
    <t>JORDANELLY PIZZA</t>
  </si>
  <si>
    <t>CRA 14 # 13 - 50</t>
  </si>
  <si>
    <t xml:space="preserve">FELINO ATRAPADO AL CUAL SE DESPACHA PERSONAL PARA EL RESCATE XITOSO DEL MISMO
</t>
  </si>
  <si>
    <t>FINCA VILLA CRUCITA</t>
  </si>
  <si>
    <t>SE REALIZA CONTROL DE ABEJAS EN EL SITIO</t>
  </si>
  <si>
    <t>VIA TORO - PEAJE</t>
  </si>
  <si>
    <t>SOLICITA BOMBEROS TORO APOYO CON EXTRICACION VEHICULAR, PARA RECUPERAR LOS CUERPOS DE 2 PERSONAS ATRAPADAS DENTRO DEL VEHICULO DEL ACCIDENTE EN EL CUAL FALLECEN 5 PERSONAS</t>
  </si>
  <si>
    <t>ALCALDIA DE LA UNION VALLE</t>
  </si>
  <si>
    <t>REUNION</t>
  </si>
  <si>
    <t>ESCUELA SAN MARTIN</t>
  </si>
  <si>
    <t>VERIFICACION DE ABEJAS</t>
  </si>
  <si>
    <t>CRA 16 # 15 - 55</t>
  </si>
  <si>
    <t>REPORTAN LA CAIDA DE UN TECHO Y LA CAIDA DE UNAS CUERDAS, A LO QUE SE DESPACHA PERSONAL PARA EL SITIO, AL NO PRESENTAR MAYOR RIESGO SE ACORDONA EL AREA Y SE PROCEDE A REGRESAR A LA INSTITUCION</t>
  </si>
  <si>
    <t>CALLE 23 # 15-60</t>
  </si>
  <si>
    <t>PARQUE SAN PEDRO</t>
  </si>
  <si>
    <t xml:space="preserve">FUGA DE GAS NATURAL RUPTURA DE TUBERIA POR ESCAVACION </t>
  </si>
  <si>
    <t xml:space="preserve">dos horas y 40 minutos </t>
  </si>
  <si>
    <t xml:space="preserve">finca el mirador </t>
  </si>
  <si>
    <t xml:space="preserve">las palmas </t>
  </si>
  <si>
    <t xml:space="preserve">incendio forestal en pasto y rastrojo se que una plaza aproxiamda mente </t>
  </si>
  <si>
    <t xml:space="preserve">hora y venticinco minutos </t>
  </si>
  <si>
    <t xml:space="preserve">lagos los samanes </t>
  </si>
  <si>
    <t xml:space="preserve">san luis </t>
  </si>
  <si>
    <t xml:space="preserve">llegua que se va a la canal siendo rescatada con vida </t>
  </si>
  <si>
    <t xml:space="preserve">una hora </t>
  </si>
  <si>
    <t xml:space="preserve">frente a la estacion de policia </t>
  </si>
  <si>
    <t xml:space="preserve">centro </t>
  </si>
  <si>
    <t xml:space="preserve">se hace catura de las abejas y se liberan a las afuera del municipio </t>
  </si>
  <si>
    <t>M-5</t>
  </si>
  <si>
    <t xml:space="preserve"> UNA HORA CON VEINTE MINUTOS</t>
  </si>
  <si>
    <t>HODSPITAL GONZALO CONTRERAS</t>
  </si>
  <si>
    <t>SAN PEDRO SECTOR GALERIA</t>
  </si>
  <si>
    <t xml:space="preserve">INFORMAN DE UN INCENDIO EN  LA PARTE DE ATRAS DEL HOSPITAL LOCAL POR LA SALA DE ESTERILIZACION Y SALA DE PARTOS </t>
  </si>
  <si>
    <t>M-1, M-2</t>
  </si>
  <si>
    <t>19.06  A 20.31</t>
  </si>
  <si>
    <t>LAGOS DE PESCA LOS SAMANES</t>
  </si>
  <si>
    <t xml:space="preserve">VIA LA UNION TORO </t>
  </si>
  <si>
    <t>SEMOVIENTE QUE CAE A LA CANAL DE RIEGO POR EL SECTOR DEL RODEO.POR LOS LAGOS DE PESCA LOS SAMANES</t>
  </si>
  <si>
    <t>04.28 HASTA 06.20</t>
  </si>
  <si>
    <t>SE ATIENDEN VARIOS LLAMADOS DE LA COMUNIDAD POR REBOSAMIENTO DE LA RED DE ALCANTARILLADODE LAS VIAS PUBLICAS</t>
  </si>
  <si>
    <t>CRA 21 SECTOR  DE LA CRUZ</t>
  </si>
  <si>
    <t>INUNDACIONES DE VIVIENDAS POR REBOSAMIENTO DE LA RED DEL ALCANTARILLADO</t>
  </si>
  <si>
    <t>CALLE 21 # 17-19</t>
  </si>
  <si>
    <t xml:space="preserve">CONTROL DE ABEJAS EN COCINA  </t>
  </si>
  <si>
    <t>CRA 16 # 19-159</t>
  </si>
  <si>
    <t xml:space="preserve">VIVIENDA QUE SUFRE REPRESAMIENTO DE AGUA LLUVIA EN EL PATIO GENERANDO INUNDACION EN LA VIVIENDA </t>
  </si>
  <si>
    <t>VEREDA SABANAZO</t>
  </si>
  <si>
    <t xml:space="preserve">SE PRESENTA FUGA DE GAS POR OBREROS EN LA VIA PUBLICA QUE ROPEN TUBO SE REALIZO PRENSADO Y ACOMAPAÑAMIENTO HASTA QUE ELÑ TECNICO REPARO EL DAÑO </t>
  </si>
  <si>
    <t xml:space="preserve">3 HORAS </t>
  </si>
  <si>
    <t xml:space="preserve">OPTICA CRISTIAN DIOR </t>
  </si>
  <si>
    <t xml:space="preserve">INSPECCION DE SEGURIDAD HUMANA Y CONTRA INCENDIOS A ESTABLECIEMIENTO COMERCIAL </t>
  </si>
  <si>
    <t xml:space="preserve">CIRCO COKIS </t>
  </si>
  <si>
    <t xml:space="preserve">INSPECCION DE SEGURIDA HUMANA Y CONTRA INCENDIOS A ESTABLECIMIENTO PUBLICO </t>
  </si>
  <si>
    <t xml:space="preserve">1 HORA </t>
  </si>
  <si>
    <t>GIORDANELLY PIZZA</t>
  </si>
  <si>
    <t xml:space="preserve">INSPECCION DE SEGURIDAD HUMANA Y CONTRA INCENDIOS ESTABLECIMIENTO COMECIAL </t>
  </si>
  <si>
    <t>RIO CAUCA</t>
  </si>
  <si>
    <t xml:space="preserve">LINDEROS, EL BANCO, CORSEGA Y LA CALLETANA </t>
  </si>
  <si>
    <t xml:space="preserve">MONITOREO DEL CAUSE DEL RIO POR CRESIENTE </t>
  </si>
  <si>
    <t>VEREDA EL TIGRE</t>
  </si>
  <si>
    <t xml:space="preserve">RESCATE DE SEMOVIENTE QUE CAE A UN BARRANCO Y ES ATACADO POR ABEJAS LAS CUALES CAUSAN SU DESESO Y SE PROCEDE A RETIRAR DELSITIO AL TERNERO PARA SU ENTREGA A LOS DUEÑOS </t>
  </si>
  <si>
    <t xml:space="preserve">VEREDA CORSEGA </t>
  </si>
  <si>
    <t>REVISION Y APOYO REHUBICACION DE FAMILIA INUNDADA EN LA RIVERA DEL RIO CAUCA</t>
  </si>
  <si>
    <t xml:space="preserve">CARRERA 16 # 19-159 </t>
  </si>
  <si>
    <t xml:space="preserve">INUNDACION EN VIVIENDA POR OBSTRUCCION DE TUBERIA DE AGUAS LLUVIAS </t>
  </si>
  <si>
    <t>ESTADIO MUNICIPAL</t>
  </si>
  <si>
    <t xml:space="preserve">RESCATE DE EQUIPO DE PARAPENTE DE AEROMODELISMO QUE QUEDA ATRAPADO EN UNA RAMA DE UN ARBOL </t>
  </si>
  <si>
    <t>SAN LUIS DETRAS DE LA IGLESIA</t>
  </si>
  <si>
    <t>CORTO E INCENDIO EN CONTADOR ZONA RURAL DETRAS DE LA IGLESIA DE SAN LUIS</t>
  </si>
  <si>
    <t xml:space="preserve">FINCA EL PAPAYAL </t>
  </si>
  <si>
    <t xml:space="preserve">NO SE REALIZO CONTROL ACORDARON CON LA DUEÑA DEL PREDIO REGRESAR AL OTRO DIA HACER CONTROL </t>
  </si>
  <si>
    <t xml:space="preserve">HORA Y VEINTE MINUTOS </t>
  </si>
  <si>
    <t>CR 9# 9 49</t>
  </si>
  <si>
    <t xml:space="preserve">SE HACE RECUPERACION DE UNAS AVSIPAS QUE SE ENCONTRABAN EN UN BAÑO SE LIBERARON LLENDO PARA SANTA ELENA </t>
  </si>
  <si>
    <t xml:space="preserve">SE HACE ACOMPAÑAMIENTO DESFILE DE CARROZAS CELEBRACION A LOS  SESENTA Y CINCO AÑOS DEL COLEGIO ARGEMIRO ESCOBAR CARDONA </t>
  </si>
  <si>
    <t>RIVERA DEL RIOCAUCA</t>
  </si>
  <si>
    <t>SALEN UNDADES A REALIZAR CENSO A LOS HABITANDES AFECTADOS, UBICADOS A LAS RIVERAS DEL RIO CAUCA</t>
  </si>
  <si>
    <t>SEGUNDA CANAL DE RIEGO</t>
  </si>
  <si>
    <t>INFORMAN DE ACCIDENTE DE TRANSITO EL CUAL CAE UNA PERSONA A LA CANAL DE RIEGO A LO QUE SE DESPACHA PERSONAL PARA SU RESCATE</t>
  </si>
  <si>
    <t>HOSPITAL MUNICIPAL</t>
  </si>
  <si>
    <t>INFORMAN DE INCENDIO EN EL HOSPITAL GONZALO CONTRERAS A LO QUE SE DESPACHA PERSONAL</t>
  </si>
  <si>
    <t>PANADERIA PAN TOLIMA</t>
  </si>
  <si>
    <t>REPORTAN CAIDA DE CUERDA, SE DESPACHA PERSONAL, VERIFICANDO LA SITUACION SE OBSERVA QUE ES UNA CUERDA DE TELEFONIA Y QUE NO REPRESENTA MAYOR RIESGO</t>
  </si>
  <si>
    <t>VEREDA EL BANCO</t>
  </si>
  <si>
    <t>REPORTAN CAIDA DE UN ARBOL QUE OBSTACULIZ LA VIA</t>
  </si>
  <si>
    <t>CAPACITACIONES</t>
  </si>
  <si>
    <t>1 H 30 MIN</t>
  </si>
  <si>
    <t>GUARDERIA PRINCIPAL</t>
  </si>
  <si>
    <t>CAPACITACION</t>
  </si>
  <si>
    <t>CLL 14 # 3 - 12</t>
  </si>
  <si>
    <t>FUGA DE GAS EN UN ESTABLECIMIENTO COMERCIAL</t>
  </si>
  <si>
    <t>VIVIENDA CERCA A LA ESTACION DE SERVICIO TRASANDINA</t>
  </si>
  <si>
    <t>VIVIENDA INUDADA</t>
  </si>
  <si>
    <t>URBANIZACION EL AMPARO</t>
  </si>
  <si>
    <t>INFORMAN DE VIVIENDAS AFECTADAS EN LA URBANIZACION</t>
  </si>
  <si>
    <t>CLL 12 CEDE NORTE</t>
  </si>
  <si>
    <t>INUNDACION</t>
  </si>
  <si>
    <t>INCENDIO EN ACOMETIDA POR CORTO CIRCUITO, AL LLEGAR AL SITIO SE VERIFICA SITUACION Y SE OBSERVA QUE YA ESTA CONTROLADO, SE INFORMA A CELCIA</t>
  </si>
  <si>
    <t>EL RODEO VIA TORO</t>
  </si>
  <si>
    <t xml:space="preserve">INFORMAN DE VEHICULO CON PERSONAS ADENTRO ARRASTRADO POR LAS FUERTES CORRIENTES DE ESCORRENTIAS </t>
  </si>
  <si>
    <t>40 MIN</t>
  </si>
  <si>
    <t>VEREDA MARINDOZA</t>
  </si>
  <si>
    <t>VIVIENDA INUNDAD POR LA CRECIENTE SUBITA DEL CANAL DE RIEGO A CAUSA DE LAS FUERTES LLUVIAS Y EL AUMENTO DEL NIVEL DEL RIO CAUCA</t>
  </si>
  <si>
    <t xml:space="preserve">VIA LA UNION LA VICTORIA </t>
  </si>
  <si>
    <t xml:space="preserve">CORTE, RETIRO Y DESPEJE DE ARBOL QUE CAE SOBRE LA VIA LA UNION - LA VICTORIA A LA ALTURA DE LA ESCUELA SAN RAFAEL </t>
  </si>
  <si>
    <t xml:space="preserve">3 HORAS Y MEDIA </t>
  </si>
  <si>
    <t xml:space="preserve">VEREDA EL BANCO </t>
  </si>
  <si>
    <t xml:space="preserve">CORTE DE ARBOL PROGRAMADO QUE SE ENCONTRABA OBSTACULIZANDO EL PASO A LA ZONA DE LA VEREDA EL BANCO </t>
  </si>
  <si>
    <t>CENTRO NATURISTA CASA VERDE, FUNDACION DE LA MUJER, PAPELERIA PAPERMANIA, CASINO EL TESORO</t>
  </si>
  <si>
    <t xml:space="preserve">ESTABLECIMEITOS COMERCIALES </t>
  </si>
  <si>
    <t xml:space="preserve">CUATRO 4 INSPECIONES DE SEGURIDAD A ESTABLECIMIENTOS COMERCIALES </t>
  </si>
  <si>
    <t xml:space="preserve">4 HORAS </t>
  </si>
  <si>
    <t xml:space="preserve">LAVADO DE PARQUE PRINCIPÁL </t>
  </si>
  <si>
    <t>M-1, M-3, M-4</t>
  </si>
  <si>
    <t>4 H 30 MIN</t>
  </si>
  <si>
    <t>LAVADO DEL PARQUE</t>
  </si>
  <si>
    <t>M-1, M-5, OTROS</t>
  </si>
  <si>
    <t xml:space="preserve">CINCO HORAS </t>
  </si>
  <si>
    <t xml:space="preserve">RONBOY AL PARQUE </t>
  </si>
  <si>
    <t xml:space="preserve">PROCESION SANTO VIACRUCIS </t>
  </si>
  <si>
    <t>PROCESION DE EMPRENDIMIENTO Y PRESTADA DE GUARDIA</t>
  </si>
  <si>
    <t>M-2, M-3, M-5</t>
  </si>
  <si>
    <t>PASAJE BELEN</t>
  </si>
  <si>
    <t>FOTOGRAFIA EMILY SAS</t>
  </si>
  <si>
    <t>EL CANTINAZO BAR</t>
  </si>
  <si>
    <t>YO SOY DON POLLO</t>
  </si>
  <si>
    <t>ARBOL CAIDO SOBRE LA VIA</t>
  </si>
  <si>
    <t xml:space="preserve">CR 20 CON CALLE 12 </t>
  </si>
  <si>
    <t xml:space="preserve">FATIMA </t>
  </si>
  <si>
    <t xml:space="preserve">SE HACE  INSPECION DE LA QUEBRADA LA UNION POR REPORTE DE CAIDA DE AERBOL EN LA CR 20 CON CALLE LA CUAL SE OBSERBA UN ARBOL CAIDO SOBRE EL CAUSA DE LA MISMA QUEBRADA QUEDANDO PENDIENTE DE CORDINAR CON LA ALCALDIA PARA RETIRAR ARBOL DESPUES DE BAJE EL NIVEL DE LA QUEBRADA Y MERMEN LA LLUVIA </t>
  </si>
  <si>
    <t>CALLE 15 # 5-95</t>
  </si>
  <si>
    <t xml:space="preserve">EL LUCERO </t>
  </si>
  <si>
    <t xml:space="preserve">RESCATE DE FELINO QUE QUEDA ATRAPADO EN TUBERIA DE DESAGUE AGUAS LLUVIAS </t>
  </si>
  <si>
    <t>PROCESION SANTO SEPULCRO</t>
  </si>
  <si>
    <t>M-3, OTROS</t>
  </si>
  <si>
    <t>BODEGA RECICLAJE LA UNION</t>
  </si>
  <si>
    <t>VERIFICACION DE ABEJAS PARA CONTROL</t>
  </si>
  <si>
    <t>2 H 30 MIN</t>
  </si>
  <si>
    <t>MISA DE ANIVERSARIO DEL MUNICIPIO</t>
  </si>
  <si>
    <t>M-6, OTROS</t>
  </si>
  <si>
    <t>ESCUELA LA CAMPESINA</t>
  </si>
  <si>
    <t>VEREDA LA CAMPESINA</t>
  </si>
  <si>
    <t>FUGA DE GAS CERCA A LA ESCUELA LA CAMPESINA, SE HACE NECESARIO EVACUAR 40 ESTUDIANTES MIENTRAS LOS TECNICOS DE GASES DE OCCIDENTE REALIZAN LABORES DE CONTROL EN EL SITIO</t>
  </si>
  <si>
    <t>2H 15M</t>
  </si>
  <si>
    <t>LA ERMITA,CIUDADELA,RECICLAJE LA UNION</t>
  </si>
  <si>
    <t>CIUDADELA, CENTRO</t>
  </si>
  <si>
    <t>CONTROL Y TRASLADO DE ABEJAS</t>
  </si>
  <si>
    <t>2H</t>
  </si>
  <si>
    <t>PARQUE PPAL CENTRO</t>
  </si>
  <si>
    <t>ACOMPAÑAMIENTO QUEMA DE JUEGOS PIROTECNICOS</t>
  </si>
  <si>
    <t>CRA 20 CON CALLE 12</t>
  </si>
  <si>
    <t>QUEBRADA LA UNION</t>
  </si>
  <si>
    <t>ARBOL QUE CAE Y OBSTACULIZA EL FLUJO DEL AGUA EN LA QUEBRADA LA UNION</t>
  </si>
  <si>
    <t>FINCA VILLIA FABIOLA</t>
  </si>
  <si>
    <t>VEREDA MARTINDOSA</t>
  </si>
  <si>
    <t>CONTROL DE AVISPAS EN VIGAS DEL TECHO DE UNA RAMADA</t>
  </si>
  <si>
    <t>BAMCAMIA</t>
  </si>
  <si>
    <t>2 H 30 MN</t>
  </si>
  <si>
    <t>EL LUCERO ALTO  Y SAN PEDRO</t>
  </si>
  <si>
    <t>EL LUCERO Y SAN PEDRO</t>
  </si>
  <si>
    <t>CRECIENTE DE LAS QUEBRADAS , LA UNION Y SAN PEDRO</t>
  </si>
  <si>
    <t>1H 30MN</t>
  </si>
  <si>
    <t>LINDEROS</t>
  </si>
  <si>
    <t xml:space="preserve">CORCEGA </t>
  </si>
  <si>
    <t>INUNDACION POR DESBORDAMIENTO DE CANAL DE RIEGO</t>
  </si>
  <si>
    <t xml:space="preserve">LA ESCUELA DE LA CAMPESINA </t>
  </si>
  <si>
    <t xml:space="preserve">CAMPESINA BAJA </t>
  </si>
  <si>
    <t xml:space="preserve">SE REALIZA CORTE DE ARBOL QUE CAE SOBRE LA VIA </t>
  </si>
  <si>
    <t xml:space="preserve">TIENDA EL JULI </t>
  </si>
  <si>
    <t xml:space="preserve">AL LLEGAR AL INCIDENTE SE ENCUENTRA MOTOCARRO INCINERADO LA COMUNIDAD YA LO HABIA APAGADO </t>
  </si>
  <si>
    <t>CALLE 12 15  45</t>
  </si>
  <si>
    <t xml:space="preserve">SE HACE CONTRO DE REGUERO DE ACEITE SE CONTROLA CON SISCO </t>
  </si>
  <si>
    <t>BELEN CARRERA 12 13 59</t>
  </si>
  <si>
    <t xml:space="preserve">SE HACE CONTROL DE INCENDIO EN UNA CANECA EN UNA BODEGA DE FRUTAS </t>
  </si>
  <si>
    <t>4.00 H</t>
  </si>
  <si>
    <t>VIA LA AGUADA SECTOR DEL VOLADERO</t>
  </si>
  <si>
    <t>LA AGUADA</t>
  </si>
  <si>
    <t>VEHICULO QUE SE ENCUNETA POR EL ESTADO DE LA CARRETERA DEVIDO ALAS LLUVIAS EN EL SECTOR</t>
  </si>
  <si>
    <t>CLL 7 A # 11 A - 27</t>
  </si>
  <si>
    <t>14:29 Sale B4 conducida por el Sbt Granados acompañado del Cbo Caceres a atender control animal (Serpiente dentro de una vivienda)
14:37 Llegada al sitio
14:44 Recuperacion del animal exitosa, se disponen a realizar la liberacion en su habitad
15:06 Hacen la correcta liberacion y regresan al cuartel</t>
  </si>
  <si>
    <t>URBANIZACION VILLA DE LA PAZ</t>
  </si>
  <si>
    <t>BARRIO EL LUCERO</t>
  </si>
  <si>
    <t xml:space="preserve">Reportan la caída de un gato dentro de un aljibe x el Cbo Gonzalez
15:55 sale B4 conducida x Sbt Granados con Sbt Bedoya para el barrio el Lucero a verificar la situación
17:24 Informa que al llegar al sitio descienden al aljibe y realizan la búsqueda dentro del mismo y no se logra ubicar al animal por lo que se procede a regresar a la estación
17:48 Ingresa al cuarte las unidades
</t>
  </si>
  <si>
    <t>PARTE ALTA DE LA MONTAÑA</t>
  </si>
  <si>
    <t xml:space="preserve">Reportan un posible incendio forestal hacia la parte alta del municipio
16:07 Se hace acuartelamiento de personal y alistamiento de equipos, pero no se realiza salida ya que se consumió finalmente… Dándole prioridad a las otras emergencias
</t>
  </si>
  <si>
    <t>TIENDA EL JULI CRA 13 # 17 - 35</t>
  </si>
  <si>
    <t xml:space="preserve">Se recibe reporte de una posible fuga de gas por la señora Paola Henao en la cra 13 # 17 – 35, quien informa de fuerte olor a gas en zona residencial
16:01 Sale B2 conducida por el Sgto Giraldo al mando del Tt Castro con dos unidades más para el sitio
16:10 Llegan al sitio y realizan la verificación para ubicar la posible fuga en las viviendas que reportaron, mas no se encuentra ningún tipo de escape, por lo que se procede a regresar al cuartel
16:27 Ingresan las unidades a la estación
</t>
  </si>
  <si>
    <t>CERVALLE</t>
  </si>
  <si>
    <t xml:space="preserve">CINCUENTA MINUTOS </t>
  </si>
  <si>
    <t xml:space="preserve">OFICINAS DE ACUAVALLE </t>
  </si>
  <si>
    <t xml:space="preserve">INFORMAN DE UN OLOR A GAS EN LA PARTE DE ATRAS DE LAS OFICINAS DE ACUAVALLE SE LLAMO A FUNCIONARIO DE GASES DE OCCDENTE PARA QUE LO BUSCACARA CPON EL DECTETOR DE GASES  </t>
  </si>
  <si>
    <t>CORTE DE ARBOL CAIDO EN EL CAUCE DE LA QUEBRADA</t>
  </si>
  <si>
    <t>ROTONDA</t>
  </si>
  <si>
    <t>SANTO VIA CRUCIS</t>
  </si>
  <si>
    <t>MONITOREO</t>
  </si>
  <si>
    <t>MONITOREO ARBOL CAIDO</t>
  </si>
  <si>
    <t>1:30</t>
  </si>
  <si>
    <t>FINCA LA ISABELA</t>
  </si>
  <si>
    <t>QUEBRADA EL TIGRE</t>
  </si>
  <si>
    <t>NO SE REALIZO EL CORTE NO LLEGARON LOS FUNCIONARIOS DE LA ALCALDIA</t>
  </si>
  <si>
    <t>5:30</t>
  </si>
  <si>
    <t>PARQUE NACIONAL DE LA UVA</t>
  </si>
  <si>
    <t>INSPECION DE SEGURIDAD</t>
  </si>
  <si>
    <t>CALLE 14 CON CARRERA 14</t>
  </si>
  <si>
    <t>AL LLEGAR AL SITIO SE ENCUENTRA SALIENDO HUMO LA CUAL SE PROCEDE HACER ENTRADA FORZADA DONDE SE ENCUENTRA FUEGO DENTRO DEL ESTABLECIMIENTO DONDE SE CONTROLA CON EXITO.</t>
  </si>
  <si>
    <t>cra 12 # 20-55</t>
  </si>
  <si>
    <t>UN PANAL DE AVISPAS QUE FUE RETIRADO</t>
  </si>
  <si>
    <t>CLL 24 CON CR 12</t>
  </si>
  <si>
    <t>FINCA DESPUES DE LA BATEA</t>
  </si>
  <si>
    <t>AVE CAIDA DE UN NIDO</t>
  </si>
  <si>
    <t xml:space="preserve">CONTROL DE ABEJAS </t>
  </si>
  <si>
    <t>20 MI</t>
  </si>
  <si>
    <t>CLL 14 SOBRE CRA 13</t>
  </si>
  <si>
    <t>REPORTAN DERRAME DE COMBUSTIBLE SOBRE LA VIA</t>
  </si>
  <si>
    <t>CALLE 14 CON CRA 16 ESQUINA</t>
  </si>
  <si>
    <t>REVICION DE LA ESTRUCTURA DE LA IGLESIA</t>
  </si>
  <si>
    <t>POLIDEPORTIVO</t>
  </si>
  <si>
    <t>NO ERA EL DIA DEL EVENTO</t>
  </si>
  <si>
    <t>CALLE 16 # 17-61</t>
  </si>
  <si>
    <t>CR 16 # 16-84</t>
  </si>
  <si>
    <t>CELEBRACION DIA DE LA MADRE DE PARTER DE LA ALCALDIA</t>
  </si>
  <si>
    <t>CL 12 CON CR 11</t>
  </si>
  <si>
    <t>FUGA DE GAS POR NO SELLAMIENTOS DE LOS ANILLOS</t>
  </si>
  <si>
    <t>SALON SOCIAL # 1</t>
  </si>
  <si>
    <t xml:space="preserve">REUNION DE ADULTO MAYOR </t>
  </si>
  <si>
    <t>CALLE 12 CON CRA 11 ESQUINA</t>
  </si>
  <si>
    <t>FUGA DE GAS NATURAL SE LLAMO AL TECNICO QUIEN CERRO LA VALVULA</t>
  </si>
  <si>
    <t xml:space="preserve">UNA HORA Y CUARENTA Y CINCO MINUTOS </t>
  </si>
  <si>
    <t>REUNION DE LOS ABUELOS DE LA TERCERA EDAD</t>
  </si>
  <si>
    <t>5 HORAS</t>
  </si>
  <si>
    <t>EL TIGRE</t>
  </si>
  <si>
    <t>CORTE DE ARBOLES EN LA QUEBRADA</t>
  </si>
  <si>
    <t>VILLA ESTERILLA</t>
  </si>
  <si>
    <t>ARBOL QUE CAE SOBRE LA QUEBRADA- NO SE REALIZO CORTE POR TENER AGUA LA QUEBRADA</t>
  </si>
  <si>
    <t>BOMBEROS</t>
  </si>
  <si>
    <t>ADULTO MAYOR</t>
  </si>
  <si>
    <t>CRA 20 CON CLL 12</t>
  </si>
  <si>
    <t>3:30</t>
  </si>
  <si>
    <t>SITIOS TURISTICOS DE LA UNION</t>
  </si>
  <si>
    <t>VISITAS A ESTABLESIMIENTOS PUBLICOS</t>
  </si>
  <si>
    <t>BARRIO LA CRUZ VIA CASA BLANCA</t>
  </si>
  <si>
    <t>LA CRUZ VIA CASA BLANCA</t>
  </si>
  <si>
    <t xml:space="preserve">SE EVIDENCIA QUE HUBO FUEGO EN UNA ESTUFA ALIMENTADA POR GLP.EL CUAL FUE CONTROLADO POR LA VENCIDAD </t>
  </si>
  <si>
    <t>5/28/0222</t>
  </si>
  <si>
    <t>EL PICACHO  VIA LA UNION ROLDANILLO</t>
  </si>
  <si>
    <t>EL PORTACHUELO</t>
  </si>
  <si>
    <t>ACEITE REGADO EN LA VIA</t>
  </si>
  <si>
    <t>1 h 20 min</t>
  </si>
  <si>
    <t>VIA LA UNION - TORO, SECTOR EL RODEO</t>
  </si>
  <si>
    <t xml:space="preserve">06:26 Se recibe reporte por parte de los compañeros de Bros Zarzal de un ataque de abejas en la vía que de La Unión conduce a Toro sector el Rodeo
06:38 Se despacha B2 conducida por el Sbt Granado con el Sbt Gaviria para el sitio antes mencionado
6:48 Sale L2 por Sgt Derian al mando del Sbt Carvajal, con la Cbo Elsa y el Bro Blandon a apoyar la situación
6:49 B2 informa llega al lugar, inician labores de acordonamiento y búsqueda del enjambre
06:53 L2 informa llegada al sitio, inician labores de control y prevención
07:25 Sale B3 conducida por el Bro Rober al mando del Cpt Fierro a llevar materiales de trabajo
07:35 B3 informa llegada al sitio
07:57 Situación controlada, recogen material y se retiran del lugar
08:10 ingresan al cuartel
</t>
  </si>
  <si>
    <t>M-2, M-3, M-6</t>
  </si>
  <si>
    <t>CALLES DEL MUNICIPIO</t>
  </si>
  <si>
    <t>ACOMPAÑAMIENTO EN CICLO ROSARIO</t>
  </si>
  <si>
    <t>KL 4 VIA LA UNION TORO</t>
  </si>
  <si>
    <t>ABEJAS QUE ESTABAN PICANDO A LOS TRASEUNTES Y UN CANINO</t>
  </si>
  <si>
    <t>M-2, M-5, OTROS</t>
  </si>
  <si>
    <t>PISCINA LA SIRENA</t>
  </si>
  <si>
    <t>ABISPAS QUE SE ENCUENTRAN EN UN PINO DENTRO DEL AREA DE LA PISCINA DE BOMBEROS</t>
  </si>
  <si>
    <t>25 MINUTOS</t>
  </si>
  <si>
    <t>CALLA 13 CRA 17 - 18 CASA VIEJA</t>
  </si>
  <si>
    <t>BARRIO BELEN</t>
  </si>
  <si>
    <t>FALSA ALARMA DE INCENDIO ESTRUCTURAL</t>
  </si>
  <si>
    <t>GRUPO KWALAMA</t>
  </si>
  <si>
    <t>CASINO CAESARS PALACE</t>
  </si>
  <si>
    <t>JUNIO</t>
  </si>
  <si>
    <t>13 mntos</t>
  </si>
  <si>
    <t>cra 13 8 36</t>
  </si>
  <si>
    <t>la ciudadela</t>
  </si>
  <si>
    <t>recuperacion de abejas</t>
  </si>
  <si>
    <t>7 mntos</t>
  </si>
  <si>
    <t xml:space="preserve">calle 12 16 42 </t>
  </si>
  <si>
    <t>la cruz</t>
  </si>
  <si>
    <t>CERCANIAS DEL COLEGIO ARGEMIRO</t>
  </si>
  <si>
    <t>FUGA DE GAS</t>
  </si>
  <si>
    <t>FINCA VILLA MATIAS</t>
  </si>
  <si>
    <t>BRASAS DEL LLANO</t>
  </si>
  <si>
    <t>30 mntos</t>
  </si>
  <si>
    <t>calle 23 14 16</t>
  </si>
  <si>
    <t>san pedro</t>
  </si>
  <si>
    <t>DROGAS LA REBAJA CLL 15 CON CRA 14</t>
  </si>
  <si>
    <t>M&amp;g soluciones efectivas / MIC LA UNION VALLE</t>
  </si>
  <si>
    <t xml:space="preserve">SUPERMERCADO MERCAPLAZA </t>
  </si>
  <si>
    <t xml:space="preserve">SE REALIZA INSPECION DE ABEJAS QUE ESTAN EN UN REFLETOR EN LA FACHADA DEL SUPERMERCADO MERCAPLAZA
</t>
  </si>
  <si>
    <t>SALON DE EVENTOS #1 BOMBEROS LA UNION</t>
  </si>
  <si>
    <t xml:space="preserve">SALON SOCIAL </t>
  </si>
  <si>
    <t xml:space="preserve">CUERPO DE BOMBEROS VOLUNTARIOS DE LA UNION VALLE </t>
  </si>
  <si>
    <t xml:space="preserve">REUNION DEL ADULTO MAYOR </t>
  </si>
  <si>
    <t xml:space="preserve">CUERPO DE BOMBERO </t>
  </si>
  <si>
    <t xml:space="preserve">REUNION ADULTO MAYOR EN LAS INSTALACIONES DEL CUERPO DE BOMBEROS SALON 3
</t>
  </si>
  <si>
    <t xml:space="preserve">ZANA ROSA </t>
  </si>
  <si>
    <t xml:space="preserve">SE REALIZA INSPECION A SIETE  NEGOCIOS DE LA ZONA ROZA EN COMPAÑIA DE GESTION DE RIESGO </t>
  </si>
  <si>
    <t>SALON # 1</t>
  </si>
  <si>
    <t xml:space="preserve">hora y cuarenta y cinco minutos </t>
  </si>
  <si>
    <t xml:space="preserve">frente a prados del norte </t>
  </si>
  <si>
    <t>urb la primavera mz A casa 16</t>
  </si>
  <si>
    <t xml:space="preserve">SE REALIZA PREVENCION POR ROTURA DE TUBERIA DE GAS POR OBRAS EN LA VIA PUBLICA </t>
  </si>
  <si>
    <t>FINCA SANTA ELENA</t>
  </si>
  <si>
    <t>FINCA VILLA KERLY</t>
  </si>
  <si>
    <t>CLL 21 # 15 - 75</t>
  </si>
  <si>
    <t>CLL 18 A # 12 - 34</t>
  </si>
  <si>
    <t xml:space="preserve">SE REALIZA ANALISIS DE RIESGO A LA GUARDERIA JARDIN INFANTIL EL ARCA DEL SABER 
</t>
  </si>
  <si>
    <t xml:space="preserve">CARRERA 14 CON 18 </t>
  </si>
  <si>
    <t xml:space="preserve">SE LE HACE VISITA DE ANALISES DE RIESGO </t>
  </si>
  <si>
    <t>BANCO DE OCCIDNETE</t>
  </si>
  <si>
    <t>VERIFICACION DE UN OLOR A GASOLINA DENTRO DEL BANCO DE OCCIDENTE</t>
  </si>
  <si>
    <t>COMPADRES BAR</t>
  </si>
  <si>
    <t>CALLE 19 ENTRE 17 Y 18</t>
  </si>
  <si>
    <t xml:space="preserve">SE PRESAENTA FUGA DE GAS POR ROTURA EN OBRAS DE PAVIMENTACION POR OBREROS EN VIA PUBLICA </t>
  </si>
  <si>
    <t xml:space="preserve">DOS HORAS Y CUARENTA MINUTOS </t>
  </si>
  <si>
    <t xml:space="preserve">COLEGIO MAGDALENA ORTEGA </t>
  </si>
  <si>
    <t xml:space="preserve">SE REALIZA CONTROL DE ABEJAS EN COLEGIO MAGDALENA  ORTEGA </t>
  </si>
  <si>
    <t xml:space="preserve">DOS HORAS CON CUARENTA MINUTOS </t>
  </si>
  <si>
    <t>SE REALIZA INSPECION DE SEGURIAD A LOS LOCALES COMERCIALIZADORA DJS,RESTAURANTE CON SABOR A GLORIA Y VIEJO TK EL CARRETERO .</t>
  </si>
  <si>
    <t>TRES HORAS</t>
  </si>
  <si>
    <t xml:space="preserve">CUERPO DE BOMBEROS </t>
  </si>
  <si>
    <t>TRASVERSAL 15 # 11-30</t>
  </si>
  <si>
    <t>FELINO QUE SE CAE POR UN TUBO DE DESAGUE DE UN SEGUNDO PISO</t>
  </si>
  <si>
    <t>COLAPSO DE ESTRUCTURAS</t>
  </si>
  <si>
    <t>CR 18A # 26-419</t>
  </si>
  <si>
    <t>COLAPSO DE UN TECHO EN VIVIENDA</t>
  </si>
  <si>
    <t xml:space="preserve">Cra 13 A # 8 – 27 </t>
  </si>
  <si>
    <t>CONTROL DE ABEJAS
11:20 Informa la señora Lucy Arcila de unas abejas ubicadas fuera de una guardería, con riesgo de que ingresen a atacar a las personas dentro de las instalaciones. Direc: Cra 13 A # 8 – 27 Cel: 3183882454.
11:28 Sale B2 conducida por el Sbt. Granados al mando del Sbt. Zapata con tres unidades más para el lugar.
11:35 Llegan las unidades al lugar y se establece puesto de comando La Ciudadela, proceden con las labores.
12:03 Informa el comandante de incidentes que la situación está controlada y proceden a liberarlas por el sector de las cintas
12:31 Regresa la L2 con todas las unidades al cuartel, sin mas novedad.</t>
  </si>
  <si>
    <t>6/23/0022</t>
  </si>
  <si>
    <t>HOGAR INFANTIL EL ARCA DEL SABER</t>
  </si>
  <si>
    <t>GUARDERIA MIKE MOUSE</t>
  </si>
  <si>
    <t>TIENDA BAR</t>
  </si>
  <si>
    <t>PARQUE INFANTIL EN LAS BRISAS</t>
  </si>
  <si>
    <t>ACORDONAMIENTO POR RIESGO DE ABEJAS EN UNA LLANTA, REPROGRAMADO PARA CONTROL EN HORAS DE LA TARDE</t>
  </si>
  <si>
    <t>CLL 12 # 20 - 154</t>
  </si>
  <si>
    <t>ESTABLECIMIENTO PUNTO G</t>
  </si>
  <si>
    <t>20 MIN</t>
  </si>
  <si>
    <t>CLL 14 FRENTE A CASA GRAJALES</t>
  </si>
  <si>
    <t>ACCIDENTE DE TRANSITO</t>
  </si>
  <si>
    <t>ENJAMBRE DE ABEJAS EN UN ARBOL</t>
  </si>
  <si>
    <t xml:space="preserve">BOMBEROS </t>
  </si>
  <si>
    <t xml:space="preserve">CAPACITACION DE MANEJO DE EXTINTOPRES A LOS TRABAJADORES DE TRAS ANDINA </t>
  </si>
  <si>
    <t>MONITOREO Y LABORES DE PREVENCION</t>
  </si>
  <si>
    <t xml:space="preserve">VIA A SAN SAN LUIS </t>
  </si>
  <si>
    <t xml:space="preserve">VISITA DE SEGURIDAD </t>
  </si>
  <si>
    <t xml:space="preserve">FRENTE A CASA GRAJALES </t>
  </si>
  <si>
    <t xml:space="preserve">VISITA DE SEGURIDAD HOTEL BRISSAS DEL VALLE </t>
  </si>
  <si>
    <t xml:space="preserve">CONSULTORIO LINA HERRERA </t>
  </si>
  <si>
    <t>VISITA DE SEGURIDAD CONSULTORIO LINA HERRERA</t>
  </si>
  <si>
    <t xml:space="preserve">CLL  16 CON 11 </t>
  </si>
  <si>
    <t xml:space="preserve">VISITA DE SEGURIDAD TOSTADO </t>
  </si>
  <si>
    <t>TABERNA FAMILIAR EL BERRINCHERO CLL 22 15 73</t>
  </si>
  <si>
    <t>ACOMPAÑAMIENTO</t>
  </si>
  <si>
    <t>PRADOS DEL NORTE</t>
  </si>
  <si>
    <t>PORTAL LA ANDINA</t>
  </si>
  <si>
    <t>MIC LA UNION</t>
  </si>
  <si>
    <t>DROGAS LA REBAJA</t>
  </si>
  <si>
    <t>VILLA JULIANA</t>
  </si>
  <si>
    <t xml:space="preserve">CUARENTA Y CINCO MINUTOS </t>
  </si>
  <si>
    <t xml:space="preserve">URB LOS ATEÑOS </t>
  </si>
  <si>
    <t xml:space="preserve">FUGA DE GAS POR OBREROS  EN LA VIA PUBLICA </t>
  </si>
  <si>
    <t>CLL 19 CON  CLL 15</t>
  </si>
  <si>
    <t>CEMENTERIO</t>
  </si>
  <si>
    <t>QUEMA DE RECIDUOS</t>
  </si>
  <si>
    <t xml:space="preserve">45 MINUTOS </t>
  </si>
  <si>
    <t>CALLE 16 3 101 POR EL CINE</t>
  </si>
  <si>
    <t>EMJAMBRE QUE LLEGA Y SE APOCENTA EN LA ENTRADA DE UNA VIVIENDA.SE PROCEDE A SU RETIRO DEL SITIO PARA SER LLEVADO A LA ZONA ALTA DEL MNPIO</t>
  </si>
  <si>
    <t>1 HORA 15 MINUTOS</t>
  </si>
  <si>
    <t>VIA PANORAMA  EL PORTACHUELO</t>
  </si>
  <si>
    <t>ARBOL QUE CAE SOBRE LA VIA PANORAMA OSTACULIZANDO MEDIO CARRIL,DE LA MISMA</t>
  </si>
  <si>
    <t>M-1, M-4</t>
  </si>
  <si>
    <t>CALLE 14# 6-01</t>
  </si>
  <si>
    <t>REUNION DEL ADULO MAYO</t>
  </si>
  <si>
    <t>45 minutos</t>
  </si>
  <si>
    <t>la habana</t>
  </si>
  <si>
    <t>URB CAMINOS</t>
  </si>
  <si>
    <t>INCENDIO DE UNA MOTO</t>
  </si>
  <si>
    <t>CLL 16 # 10 - 02</t>
  </si>
  <si>
    <t>DROGERIA ALEMANA</t>
  </si>
  <si>
    <t>RECIBIMIENTO DEL CURA</t>
  </si>
  <si>
    <t>5 H 30 MIN</t>
  </si>
  <si>
    <t>GRANJA AVICOLA VENECIA</t>
  </si>
  <si>
    <t>CACHORROS - CORCEGA</t>
  </si>
  <si>
    <t xml:space="preserve">09:00 INFOMA BROS LA VICTORIA DE POSIBLE INCENDIO EN LA GRANJA AVICOLA VENECIA, POR EL SECTOR LOS CACHORROS, CORCEGA.
09:05 SALE B4 CONDUCIDA POR EL SBT GRANADOS CON EL TT CASTRO PARA EL SITIO
09:06 SALE B3 CONDUCIDA POR EL SGT HERRERA CON EL SGT RIVERA Y CBO ELSA PARA EL SITIO
09:07 SALE B1 CONDUCIDA POR EL SBT ZAPATA PARA EL SITIO
09:10 SE HACE LLAMADO DE MAS PERSONAL, SOLICITADO POR EL CI
09:26 EL TT CASTRO ESTABLECE PUESTO DE COMANDO LOS CACHORROS
09:32 SALE L2 CONDUCIDA POR EL SGT DERIAN CON EL SBT CARVAJAL Y 3 UNIDADES MAS
09:42 SE HIZO ENLACE CON BROS LA VICTORIA, BROS ROLADANILLO PARA PEDIR APOYO CON ABASTECIMIENTO DE AGUA Y APOYO DE PERSONAL
09:53 SALE L1 POR BRO ROBERT A LLEVAR HIDRATACION Y A GUIAR A LAS MAQUINAS DE APOYO
10:05 SE REALIZA ENLACE CON BROS ZARZAL, SOLICITANDO ABASTECIMIENTO DE AGUA
10:25 SALE EN VEHICULO PROPIO EL CBO GONZALEZ Y SGT GIRALDO PARA EL SITIO
10:55 REPORTAN ACCIDENTE DE UNA UNIDAD, LA CUAL ES NECESARIO DESPACHAR LA L2 PARA TRANSPORTARLA HASTA EL HOSPITAL, PRESENTA UNA LESION A LA ALTURA DE LA RODILLA
11:35 REPORTAN QUE LA SITUACION HA SIDO CONTROLADA, CONTINUAN CON LABORES DE REFRIGERACION
11:38 REPORTAN QUE LA B1 PRESENTA FALLAS PARA EL ARRANQUE, POR LO QUE ES NECESARIO QUE LA L1 RECOJA BATERIAS PARA INTENTER SOLUCIONAR EL PROBLEMA
13: 30 REPORTA EL COMANDANTE DE INCIDENTES TT CASTRO QUE ORDENA LA RETIRADA DE LOS BROS QUE APOYARON LA EMERGENCIA, LA VICTORIA, ROLDANILLO Y ZARZAL
14:16 TERMINAN DE INGRESAR TODAS LAS UNIDADES AL CUARTEL PARA RECIBIR LA ALIMENTACION, LA B1 CONTINUA EN EL SITIO CON FALLAS
19:08 ES NECESARIO UNA GRUA PARA REMOLCARLA, YA QUE NO FUE POSIBLE SU FUNCIONAMIENTO, INGRESANDO AL CUARTEL CON LA AYUDA DE LA GRUA.
</t>
  </si>
  <si>
    <t>M-1, M-3, M-4, M-5, OTROS</t>
  </si>
  <si>
    <t>QUEBRADAGRANDE</t>
  </si>
  <si>
    <t>CORREGIMIENTO</t>
  </si>
  <si>
    <t>DESFILE CELEBRACION DIA DE LA VIRGEN DEL CARMEN</t>
  </si>
  <si>
    <t>PARQUE CENTRAL LA UNION VALLE</t>
  </si>
  <si>
    <t>CENTRO DE LA UNION VALLE</t>
  </si>
  <si>
    <t>FONDA LOS HATEÑOS</t>
  </si>
  <si>
    <t>TRANSANDINA</t>
  </si>
  <si>
    <t>CLL 22 CRA 14</t>
  </si>
  <si>
    <t>CORTO CIRCUITO EN POSTE DE ENERGIA</t>
  </si>
  <si>
    <t>CASA GRAJALES</t>
  </si>
  <si>
    <t>CAPACITACION A PERSONAL DE CASA GRAJALES</t>
  </si>
  <si>
    <t>REUNION DE LA TERCERA EDAD EN EL SALON PRINCIPAL #01</t>
  </si>
  <si>
    <t xml:space="preserve">CASA GRAJALES </t>
  </si>
  <si>
    <t xml:space="preserve">CAPACITACION A TRABAJADORES DE GRAJALES </t>
  </si>
  <si>
    <t>SUMINISTRO DE AGUA O LABORES COVID-19</t>
  </si>
  <si>
    <t>LAVADA DEL PARQUE PRINCIPAL</t>
  </si>
  <si>
    <t xml:space="preserve">TRES HORAS Y MEDIA </t>
  </si>
  <si>
    <t xml:space="preserve">FRENTE AL PARQUE </t>
  </si>
  <si>
    <t xml:space="preserve">SE REALIZO VISITA CON FUNCIONARIOS DE LA ALCALDIA GESTION DE RIESGO AL ESTABLECIMIENTO EL BERRINCHERO </t>
  </si>
  <si>
    <t xml:space="preserve">ZONA ROSA </t>
  </si>
  <si>
    <t>SE REALIZO VISITA DE ANALICES DE RIESGO AL ESTABLECIMIENTO PARADES CLUB</t>
  </si>
  <si>
    <t xml:space="preserve">SE REALIZO VISITA DE ANALICES DE RIESGO AL ESTABLECIMIENTO THE COTEL </t>
  </si>
  <si>
    <t>CRA 14A # 7A-04</t>
  </si>
  <si>
    <t>CIUDADELA</t>
  </si>
  <si>
    <t>RESCATE DE UN FELINO QUE QUEDO ATRAPADO ENTRE DOS PAREDES</t>
  </si>
  <si>
    <t>CRA 15 # 17-49</t>
  </si>
  <si>
    <t>PARQUE EL JARDIN</t>
  </si>
  <si>
    <t>RESCATE ANIMAL</t>
  </si>
  <si>
    <t>UNITV</t>
  </si>
  <si>
    <t>CREDITOS BOTERO</t>
  </si>
  <si>
    <t>WILL BAR</t>
  </si>
  <si>
    <t>CLL 12 # 8 - 61</t>
  </si>
  <si>
    <t>VIVIENDA INUNDADA</t>
  </si>
  <si>
    <t>CRA 18 # 13 - 32</t>
  </si>
  <si>
    <t>VIA LAS PALMAS LAS CINTAS</t>
  </si>
  <si>
    <t>VEHICULO ARRASTRADO POR LA CORRIENTE</t>
  </si>
  <si>
    <t>VERIFICACION DE PALIZADA EN LA QUEBRADA</t>
  </si>
  <si>
    <t>VIA PANORAMA</t>
  </si>
  <si>
    <t>ARBOL CAIDO EN LA VIA PANORA</t>
  </si>
  <si>
    <t>VERERDA LINDEROS FINCA EL RANCHO</t>
  </si>
  <si>
    <t xml:space="preserve">LINDEROS </t>
  </si>
  <si>
    <t xml:space="preserve">PERSONAS AFECTADAS POR PICADURA DE ABEJAS </t>
  </si>
  <si>
    <t>VEREDA LINDEROS</t>
  </si>
  <si>
    <t>ATAQUE DE ABEJAS</t>
  </si>
  <si>
    <t>CDA LA UNION</t>
  </si>
  <si>
    <t>BEER HOUSES</t>
  </si>
  <si>
    <t>VEREDA LA ISLA</t>
  </si>
  <si>
    <t>CLL 11 # 13 - 03</t>
  </si>
  <si>
    <t>CUERDAS DE ALTA TENSION, CAIDA SOBRE LA VIA</t>
  </si>
  <si>
    <t>CALLE 22 # 1573</t>
  </si>
  <si>
    <t xml:space="preserve">SE VISITA DE ANALICIS DE RIESGO AL ESTABLECIMIENTO </t>
  </si>
  <si>
    <t>JOELS BAR</t>
  </si>
  <si>
    <t>CORREGIMIENTO SAN ANTONIO - TORO VALLE</t>
  </si>
  <si>
    <t>APOYO A BOMBEROS TORO</t>
  </si>
  <si>
    <t>MELINA CAFE BAR</t>
  </si>
  <si>
    <t>PALO DE LECHE - LA VICTORIA VALLE</t>
  </si>
  <si>
    <t>APOYO A BOMBEROS LA VICTORIA - FALSA ALARMA</t>
  </si>
  <si>
    <t>CUERPOD E BOMBEROS</t>
  </si>
  <si>
    <t>HUELLITAS</t>
  </si>
  <si>
    <t>VICITA DE SEGURIDAD</t>
  </si>
  <si>
    <t>15 MINUTOS</t>
  </si>
  <si>
    <t>CR 13 CON  CL 12</t>
  </si>
  <si>
    <t>PERSONA QUE CAE DE SU PROPIA ALTURA Y FUE TRANSPORTADA EN MOTO</t>
  </si>
  <si>
    <t>CL 21 16-59</t>
  </si>
  <si>
    <t xml:space="preserve">CDONTROL DE ABEJAS..
</t>
  </si>
  <si>
    <t>3 HORA 30 MINUTOS</t>
  </si>
  <si>
    <t>CUERPO DE BOMBEROS</t>
  </si>
  <si>
    <t>BANCO DE OCCIDENTE</t>
  </si>
  <si>
    <t>REUBICACION SARIGUEYA</t>
  </si>
  <si>
    <t>CLL 21 16-59</t>
  </si>
  <si>
    <t>RESCATE DE ABEJAS</t>
  </si>
  <si>
    <t>CORTE DE ARBOL CAIDO EN EL CAUCE DE LA QUEBRADA LA UNION</t>
  </si>
  <si>
    <t>FINCA VILLA SONIA</t>
  </si>
  <si>
    <t>CR 16 # 16-15</t>
  </si>
  <si>
    <t>1HORA 30 MINUTOS</t>
  </si>
  <si>
    <t>CL 16 CON CR 19 ESQUINA</t>
  </si>
  <si>
    <t>KL 1 VIA LA UNION TORO</t>
  </si>
  <si>
    <t>EL AMPARO</t>
  </si>
  <si>
    <t>CAIDA DE UNA RAMA SOBRE UNA CASA</t>
  </si>
  <si>
    <t>CANTINAZO BAR</t>
  </si>
  <si>
    <t>MARCHA POR LA PAZ</t>
  </si>
  <si>
    <t>VEREDA CORCEGA</t>
  </si>
  <si>
    <t>CR 12 CON CL 16</t>
  </si>
  <si>
    <t>2.30 HJORAS</t>
  </si>
  <si>
    <t>SALON CONFERENCIAS CUERPO DE BOMBEROS</t>
  </si>
  <si>
    <t>REUNION DE GRUPO ADULTO MAYOR</t>
  </si>
  <si>
    <t>ZONA CENTRO  CALLE 15 ALMACEN LILIPINK</t>
  </si>
  <si>
    <t>VISITA DE SEGURIDAD EN ALMACEN LILI PINK</t>
  </si>
  <si>
    <t xml:space="preserve">CORTE DE ARBOLES CAIDOS SOBRE LA CUENCA </t>
  </si>
  <si>
    <t xml:space="preserve">2 HORAS Y MEDIA </t>
  </si>
  <si>
    <t xml:space="preserve">HOTEL HACIENDA CASA BLANCA </t>
  </si>
  <si>
    <t xml:space="preserve">SE HACE CONTROL DE ABEJAS EN UNA HABITACION EN EL CIELO FALSO </t>
  </si>
  <si>
    <t>6 HORAS</t>
  </si>
  <si>
    <t>ESCUELA DE VIOLETAS</t>
  </si>
  <si>
    <t>VIOLETAS</t>
  </si>
  <si>
    <t>CORTE DE ARBOL QUE CALLO EN LA ESCUELA</t>
  </si>
  <si>
    <t>RINCON BAJO</t>
  </si>
  <si>
    <t>ARBOL QUE CAE DESDE LA QUEBRADA A UNA CASA DE MADERA</t>
  </si>
  <si>
    <t xml:space="preserve">VEREDA EL RICON </t>
  </si>
  <si>
    <t xml:space="preserve">VEREDA EL RINCON </t>
  </si>
  <si>
    <t xml:space="preserve">SE RETIRA ARBOL QUE CAE SOBRE LA VIVIENDA Y SE ACABA DE RADICAR PARA ELIMINAR EL RIESGO </t>
  </si>
  <si>
    <t>CIRCO LAS VEGAS FANTASY</t>
  </si>
  <si>
    <t>CONSULTORIO ODONTOLOGICO ISAURA LOPEZ</t>
  </si>
  <si>
    <t>REUNION DE ADULTO MAYOR</t>
  </si>
  <si>
    <t>6.55 HORAS</t>
  </si>
  <si>
    <t>PARQUE DE LA UVA</t>
  </si>
  <si>
    <t>GLORIETA LA UNION TORO LA VICTORIA ROLDANILLO</t>
  </si>
  <si>
    <t>VISITA DE SEGURIDAD DEL PARQUE DE LA UVA Y EL VINO</t>
  </si>
  <si>
    <t xml:space="preserve">VIA A ROLDANILLO </t>
  </si>
  <si>
    <t xml:space="preserve">FACTORIA LA RIVERA </t>
  </si>
  <si>
    <t xml:space="preserve">SE REALIZA ANALICES DE RIESGO AL HOTEL LOS VIÑEDOS </t>
  </si>
  <si>
    <t xml:space="preserve">ATRAS DEL COLISEO MUNICIPAL </t>
  </si>
  <si>
    <t xml:space="preserve">SE REALIZA VISITA DE SEGURIDAD AL CIRCO LAS VEGAS </t>
  </si>
  <si>
    <t>SALON SOCILA #1 CUERPO DE BOMBEROS</t>
  </si>
  <si>
    <t>REUNION DEL GRUPO ADULTO MAYOR</t>
  </si>
  <si>
    <t>LA VICTORIA VALLE</t>
  </si>
  <si>
    <t>LA VICTORIA</t>
  </si>
  <si>
    <t>APOLLO EN INSPECION DE SEGURIDAD AL PROYECTO SELCIA SOLAR</t>
  </si>
  <si>
    <t>BRISAS DEL LLANO</t>
  </si>
  <si>
    <t>INSPESION DE SEGURIDAD</t>
  </si>
  <si>
    <t>1.54 HORAS</t>
  </si>
  <si>
    <t>ZONA ROSA  LICORES BAR EL CHAPO</t>
  </si>
  <si>
    <t>VISITA DE SEGURIDAD EN LICORES BAR RL CHAPO</t>
  </si>
  <si>
    <t>LA ABANA</t>
  </si>
  <si>
    <t>QUEMA CONTROLADA QUE SE SALIO DE CONTROL</t>
  </si>
  <si>
    <t>B-4, L-2</t>
  </si>
  <si>
    <t>CARRERA 10 ENTRE CALLES 23 Y 24</t>
  </si>
  <si>
    <t xml:space="preserve">VIA A SAN LUIS </t>
  </si>
  <si>
    <t xml:space="preserve">FUGA DE GAS POR RUPTURA DE TUBERIA ESCAVACION </t>
  </si>
  <si>
    <t>B-3, B-4</t>
  </si>
  <si>
    <t>1.36 HORAS</t>
  </si>
  <si>
    <t>SE REALIZA VISITA DE SEGURIDAD EN  ISAURA LOPEZ</t>
  </si>
  <si>
    <t>INCENDIOS, FALSA ALARMA</t>
  </si>
  <si>
    <t>LA AGUADA POR EL VOLADERO DE PARAPENTES</t>
  </si>
  <si>
    <t>ZONA RURAL LA AGUADA</t>
  </si>
  <si>
    <t>INFORMAN DE UN INCEDIO FORESTAL POR EL SECTOR DEL VOLADERO DE LOS PARAPENTES.AL LLEGAR AL SITIO NO SE ENCONTRO NADA</t>
  </si>
  <si>
    <t>5.00 HORAS</t>
  </si>
  <si>
    <t>PARQUE  SAN PEDRO</t>
  </si>
  <si>
    <t>ACOMPAÑAMIENTO A EVENTO MUSICAL EN EL PARQUE DEL BARRIO SAN PEDRO</t>
  </si>
  <si>
    <t>4.15 HORAS</t>
  </si>
  <si>
    <t xml:space="preserve">CORTE DE ARBOLES QUE ESTAN OBSTACULIZANDO EL CAUCE DE LA QUEBRADA SAN PEDRO EN EL SECTOR DE SAN LUIS  </t>
  </si>
  <si>
    <t>VHICULO TIPO CAMIONETA INCINERADA</t>
  </si>
  <si>
    <t>CAMPESINA</t>
  </si>
  <si>
    <t>VEHICULO INCENDIADO SIN ESTABLESER CAUSAS</t>
  </si>
  <si>
    <t>B-1, B-4</t>
  </si>
  <si>
    <t xml:space="preserve">DETRAS DE LA IGLESIA </t>
  </si>
  <si>
    <t xml:space="preserve">SE ATIENDE LLAMADO POR QUEMA CONTROLADA QUE SE SALE DE CONTROL AL LLEGAR AL SITIO LOS PROPIETARIOS DE LA FINCA YA HABIAN CONTROLADO </t>
  </si>
  <si>
    <t>CENTRO MEDICO Y ESTETICO KIREY</t>
  </si>
  <si>
    <t xml:space="preserve">SE REALIZA VISITA DE ANALICES DE RIESGO </t>
  </si>
  <si>
    <t xml:space="preserve">NBR CREDITOS BOTERO </t>
  </si>
  <si>
    <t xml:space="preserve">SE REALIZA ANALICES DE RIESGO A ESTABLECIMIENTO </t>
  </si>
  <si>
    <t xml:space="preserve">FRENTE PARQUE </t>
  </si>
  <si>
    <t xml:space="preserve">SE REALIZA INSPECION ANALICES DE RIESGO A LA TABERNA EL BERRINCHERO </t>
  </si>
  <si>
    <t>42 MNTOS</t>
  </si>
  <si>
    <t>VEREDA PAJARO DE ORO</t>
  </si>
  <si>
    <t>SE REALIZA MONITOREO DE LA QUEBRADA LA UNION DESDE LA VEREDA PAJARO DE ORO HASTA LA CIUDADELA</t>
  </si>
  <si>
    <t>3.09HORAS</t>
  </si>
  <si>
    <t>SABANAZO VIA QUEBRADA GRANDE</t>
  </si>
  <si>
    <t>ARBOL QUE ESTA SUSPENDIDO SOBRE CABLES DE ALTA TENSION EN LA VIA SABANZO QUEBRADA GRANDE SECTOR DEL CASTILLO. EL CUAL GENERA ALTO RIESGO SI LLEGA A CAER, PUDIENDO COLAPSAR POSTES DE CONCRETO DE ALUMBRADO PUBLICO  Y POSTES DE SOPORTE DE CABLEADO DE ALTA TENSION</t>
  </si>
  <si>
    <t>B-3, OTROS</t>
  </si>
  <si>
    <t>CL 16</t>
  </si>
  <si>
    <t>CARWASH</t>
  </si>
  <si>
    <t>EVENTO CONSTRUROCK</t>
  </si>
  <si>
    <t>ANALISIS DE RIESGO PARA EVENTO</t>
  </si>
  <si>
    <t>SALON PRINCIPAL</t>
  </si>
  <si>
    <t>CL 13 16 05</t>
  </si>
  <si>
    <t>INCENDIO EN UNA HABITACION</t>
  </si>
  <si>
    <t>B-1, B-3, L-1</t>
  </si>
  <si>
    <t>CALLE 13 # 20 223</t>
  </si>
  <si>
    <t xml:space="preserve">LA CRUZ </t>
  </si>
  <si>
    <t xml:space="preserve">SE REALIZA PREVENCION Y CONTROL EN FUGA DE GAS POR ROTURA EN LA TUBERIA POR ESCABACION </t>
  </si>
  <si>
    <t>CARRERA 9 # 16-222</t>
  </si>
  <si>
    <t xml:space="preserve">SE REALIZA CATURA DE DOS ZARIGUELLAS EN UNA VIVIENDA SIENDO LIBERADAS A LAS AFUERAS DEL PUEBLO </t>
  </si>
  <si>
    <t>CALLE 14 12 51</t>
  </si>
  <si>
    <t>RESCATE DE UN FELINO(GATO) QUE ESTA EN UN TECHO DE LA VIVIENDA</t>
  </si>
  <si>
    <t>SALON SOCIAL 2 CBV LA UNION</t>
  </si>
  <si>
    <t>REUNION DE GRUPO ADULTO MAYOR SIEMPRE UNIDOS</t>
  </si>
  <si>
    <t>3.HORAS</t>
  </si>
  <si>
    <t>CAP VIA LA UNION  LA VICTORIA</t>
  </si>
  <si>
    <t>ZONA INDUSTRIAL CORCEGA</t>
  </si>
  <si>
    <t>LAVADO DE BODEGA  DE TECNOAJI  S A S</t>
  </si>
  <si>
    <t>7 HORAS</t>
  </si>
  <si>
    <t>QUEBRADA LA UNION SECTOR  EL TIGRE</t>
  </si>
  <si>
    <t>CORREGIMIENTO EL TIGRE</t>
  </si>
  <si>
    <t>CORTE DE ARBOL QUE ESTA SOBRE EL CAUCE DE LA QUEBRADA LA UNION,SECTOR DEL TIGRE EL CUAL ESTA OCASIONANDO TAPONAMIENTO</t>
  </si>
  <si>
    <t>CENTRO RECREACIONAL LA SIRENA</t>
  </si>
  <si>
    <t>PERSONA QUE SE ESTA ATRAGANTANDO CON ALIMENTOS</t>
  </si>
  <si>
    <t>ALCALDIA MUNICIPAL</t>
  </si>
  <si>
    <t>ZONA CENTRO CALLE 15</t>
  </si>
  <si>
    <t>REUNION ALCALDIA</t>
  </si>
  <si>
    <t>3.07 HORAS</t>
  </si>
  <si>
    <t xml:space="preserve">SE REALIZAN VISITAS DE SEGURIDAD TRES  SITIOS </t>
  </si>
  <si>
    <t>SAN LUIS HOTEL BELA MONTAÑA ZONA CENTRO</t>
  </si>
  <si>
    <t>VISITAS DE SEGURIDA EN BELLA MONTAÑA,TIENDA LA  23 OFI FIMEDICA</t>
  </si>
  <si>
    <t>BELLA MONTAÑA</t>
  </si>
  <si>
    <t>SAN LUIS SECTOR PAPAYAL</t>
  </si>
  <si>
    <t>VISITA DE SEGURIDAD AL HOTEL BELLA MONTAÑA</t>
  </si>
  <si>
    <t>TIENDA LA  23</t>
  </si>
  <si>
    <t>VISITA DE SEGURIDAD EN LA TIENDA LA  23</t>
  </si>
  <si>
    <t>OFICINA FIMEDICA</t>
  </si>
  <si>
    <t>VISITA DE SEGURIDAD A OFICINAS DE FIMEDICA</t>
  </si>
  <si>
    <t>1.10HORAS</t>
  </si>
  <si>
    <t>SAN LUIS ,PAPAYAL</t>
  </si>
  <si>
    <t>CORREGIMIENTO DE SAN LUIS</t>
  </si>
  <si>
    <t xml:space="preserve">VISITA DE SEGURIDAD EN EL HOTEL CAMPESTRE BELLA MONTAÑA </t>
  </si>
  <si>
    <t>VOLADERO DE PARAPENTES</t>
  </si>
  <si>
    <t>VEHICULO TIPO CAMIONETA QUE SUFRE VOLCAMIENTO, SE REQUIERE DE UNA RETROESCAVADORA PARA SU EXTRACION DEL ABISMO</t>
  </si>
  <si>
    <t>L-1, L-2, OTROS</t>
  </si>
  <si>
    <t>RESCATES, FALSA ALARMA</t>
  </si>
  <si>
    <t>CANAL MARTINDOZA</t>
  </si>
  <si>
    <t>VEREDA</t>
  </si>
  <si>
    <t>SEMOVIENTE VACUNO QUE CALLO AL CANAL CON AGUA -NO ALCANSARON A LLEGAR AL LUGAR PERSONAL CIVIL RESCATO EL SEMOVIENTE</t>
  </si>
  <si>
    <t>EXPORTACIONES  AGROPECUARIAS DEL NORTE</t>
  </si>
  <si>
    <t>FATIMA</t>
  </si>
  <si>
    <t xml:space="preserve">VISITA DE SEGURIDAD  EN BODEGA DE FRUTAS ,SE SUSPENDE POR TIEMPO </t>
  </si>
  <si>
    <t>VIA LA UNION TORO SECTOR DEL RODEO</t>
  </si>
  <si>
    <t>CORREGIMIENTO DE PEDREGAL</t>
  </si>
  <si>
    <t>RERSCATE DE UN PATO QUE CAE A UN ALJIBER DE APROX.10 MT DE PROFUNDIDAD. EL CUAL FUE NECESARIO DECENDER UNA UNIDAD PARA EL RESCATE</t>
  </si>
  <si>
    <t>SABANASOCO</t>
  </si>
  <si>
    <t>COREGIMIENTO</t>
  </si>
  <si>
    <t>ACOMPAÑAMIENTO EVENTO RUNIN</t>
  </si>
  <si>
    <t>CR 18A 14-45</t>
  </si>
  <si>
    <t>FELINO QUE SE QUEDA ATRAPADO ENTRE DOS PAREDES</t>
  </si>
  <si>
    <t>SALON SOCIAL  #2  CUERPO DE BOMBEROS</t>
  </si>
  <si>
    <t>REUNION DEL ADULTO MAYOR SEMILLAS DE AMOR</t>
  </si>
  <si>
    <t xml:space="preserve">LADRILLERA DE LA CAMPESINA </t>
  </si>
  <si>
    <t>RESCATE DE UN FELINO QUE CAE A UN ALJIBER DE APROX 14 M DE PROFUNDIDA</t>
  </si>
  <si>
    <t>PARTE DE ATRAS DEL ANTIGUO ANCIANATO</t>
  </si>
  <si>
    <t>CASA BLANCA</t>
  </si>
  <si>
    <t>QUEMA FORESTAL CONTROLADA POR LOS TRABAJADORES DE LA FINCA</t>
  </si>
  <si>
    <t>PARQUE DE  LA UVA</t>
  </si>
  <si>
    <t>CAPACITACION BASICA MANEJO DE EXTINTORES PERSONAL DE PANAUVA</t>
  </si>
  <si>
    <t>2.15 HORAS</t>
  </si>
  <si>
    <t>SALON SOCIAL #2 CUERPO DE BOMBEROS</t>
  </si>
  <si>
    <t>REUNION DEL GRUPO SEMILLAS DE AMOR</t>
  </si>
  <si>
    <t>SALON SOCIAL #3CUERPO DE BOMBEROS</t>
  </si>
  <si>
    <t>REUNION DEL GRUPO DE LA SEÑORA ROXANA AGUIRRE</t>
  </si>
  <si>
    <t>ACOMPAÑAMIENTO DE PREVENCION POR DESALOJO</t>
  </si>
  <si>
    <t>CALLE 21  4 44</t>
  </si>
  <si>
    <t>BARRIO LAS BRISAS</t>
  </si>
  <si>
    <t>ABEJAS ALBOROTADAS EN UN LOTE ALEDAÑO A LA CONSTRUCION DE UNA URBANIZACION</t>
  </si>
  <si>
    <t>COLICEO BARRIO FATIMA</t>
  </si>
  <si>
    <t>CRA 15 # 24 - 17</t>
  </si>
  <si>
    <t>CLL 18 B # 12 B - 75</t>
  </si>
  <si>
    <t>FINCA LAS PALMAS</t>
  </si>
  <si>
    <t>VEREDA MARTINDOZA</t>
  </si>
  <si>
    <t xml:space="preserve">RECUPERACION DE ENJAMBRE DE ABEJAS </t>
  </si>
  <si>
    <t>2.30HORAS</t>
  </si>
  <si>
    <t>SALON SOCIAL #2CUERPO DE BOMBEROS</t>
  </si>
  <si>
    <t>REUNION ADULTO MAYOR GRUPO SIEMPRE UNIDOS</t>
  </si>
  <si>
    <t>1.45HORAS</t>
  </si>
  <si>
    <t>SALON SOCIAL #2 CUERPO DE BOMBEROS LA UNION</t>
  </si>
  <si>
    <t>REUNION DEL GRUPO SEMILLAS DE AMOR DE LA TERCERA EDAD</t>
  </si>
  <si>
    <t>6.30 HORAS</t>
  </si>
  <si>
    <t>PARQUE DE SAN LUIS</t>
  </si>
  <si>
    <t xml:space="preserve">CORTE DE ARBOL AUTORIZADO POR GESTION DE RIESGOS </t>
  </si>
  <si>
    <t>EL POPULAR</t>
  </si>
  <si>
    <t>CAPACITACION AL PERSONAL DE LA GUARDERIA</t>
  </si>
  <si>
    <t xml:space="preserve">CARRERA 14 ENTRE CALLE 12 Y 13 </t>
  </si>
  <si>
    <t xml:space="preserve">VEHICULO QUE SE VA CONTRA LA FACHADA DE UNA VIVIENDA SE DEJAN RECOMENDACIONES </t>
  </si>
  <si>
    <t xml:space="preserve">VEREDA LA ISLA </t>
  </si>
  <si>
    <t xml:space="preserve">SE HACE CONTROL </t>
  </si>
  <si>
    <t>CRR 18 A CON 22</t>
  </si>
  <si>
    <t xml:space="preserve">SE REALIZA MONITOREO A LA QUEBRADA DE SAN PEDRO SECTOR VILLA ESTERILLA POR DENUNCIAS EN REDES SOCIALES DE UNA TALA DE RAMAS Y LAS TIARARON A LA QUEBRADA ACOMPAÑO LA FUNCIONARIA DE LA CVC YESSICA BLANDON </t>
  </si>
  <si>
    <t xml:space="preserve">INSTITUCION EDUACATIVA MAGDALENA ORTEGA </t>
  </si>
  <si>
    <t xml:space="preserve">SE HACE ACOMAPÑAMIENTO AL EVENTO DE LA INSTITUCION LA SEMANA DE LA SEXUALIDAD </t>
  </si>
  <si>
    <t>1.52 HORAS</t>
  </si>
  <si>
    <t>LABORATORIO DE FRANCY GALLO Y OFICINAS DE VEOLIA</t>
  </si>
  <si>
    <t>SECTOR GALERIA Y SECTOR CENTRO</t>
  </si>
  <si>
    <t>ISNPECCIONES DE SEGURIDAD EN LABORATORIO DE FRANCY GALLO Y OFICINAS DE VEOLIA</t>
  </si>
  <si>
    <t>1.08HORAS</t>
  </si>
  <si>
    <t>DROGUERIA DISFARMA</t>
  </si>
  <si>
    <t>VISITA DE SEGURIDAD A DROGUERIA DISFARMA</t>
  </si>
  <si>
    <t>CL 16 # 5-45</t>
  </si>
  <si>
    <t>CL 14 # 16-06</t>
  </si>
  <si>
    <t>1:20</t>
  </si>
  <si>
    <t>ANALIZACION DE RIESGOS PARA CERTIFICADO</t>
  </si>
  <si>
    <t>CL 16 # 3-112</t>
  </si>
  <si>
    <t>VISITA DE SEGURIDAD A ECOCINE</t>
  </si>
  <si>
    <t>CL 16 # 4-14</t>
  </si>
  <si>
    <t>VICITA DE SEGURIDAD DISCOTECA SEVEN</t>
  </si>
  <si>
    <t>VISITA DE SEGURIDAD DISCOTECA BAR MY OFFICE</t>
  </si>
  <si>
    <t>POTRERITOS</t>
  </si>
  <si>
    <t>QUEMA DE BASURA QUE SE SALIO DE CONTROL</t>
  </si>
  <si>
    <t>2:30</t>
  </si>
  <si>
    <t xml:space="preserve">CRA 16 #4 14 </t>
  </si>
  <si>
    <t>VISITA DE SEGURIDAD ESTABLECIMIENTO SEVEN Y  MY OFICE</t>
  </si>
  <si>
    <t>MANZANA C CASA # 8</t>
  </si>
  <si>
    <t>CONECION ELECTRICA QUE ESTABA INCENDIANDO</t>
  </si>
  <si>
    <t>SALON SOCIAL # 02</t>
  </si>
  <si>
    <t xml:space="preserve">REUNION DE LA TERCE EDAD </t>
  </si>
  <si>
    <t xml:space="preserve">SALON # 02 </t>
  </si>
  <si>
    <t>1.58 HORAS</t>
  </si>
  <si>
    <t>PARQUEADERO EL AMPARO</t>
  </si>
  <si>
    <t xml:space="preserve">VIA PANORAMA KM 1 VIA SAN LUIS </t>
  </si>
  <si>
    <t>RECUPERACION DE ENJAMBRE DE ABEJAS</t>
  </si>
  <si>
    <t>CALLE 17 #14 90</t>
  </si>
  <si>
    <t>ZONA CENTRO BARRIO POPULAR</t>
  </si>
  <si>
    <t>VISITA DE SEGURIDAD  A DOCTOR CELLMANIA</t>
  </si>
  <si>
    <t>CRA 13 # 14 46</t>
  </si>
  <si>
    <t>VISITA DE SEGURIDAD A DISAS</t>
  </si>
  <si>
    <t>CALLE 15 # 12 65</t>
  </si>
  <si>
    <t>ZONA CENTRO BARRIO LAS LAJAS</t>
  </si>
  <si>
    <t>VISITA DE SEGURIDA A TECNO CELULAR LA UNION</t>
  </si>
  <si>
    <t>QUEBRADA SAN PEDRO</t>
  </si>
  <si>
    <t xml:space="preserve"> SAN PEDRO ARRIBA  VIA EL CARMEN</t>
  </si>
  <si>
    <t>INSPECCION  A LA QUEBRADA SAN PEDRO POR ARBOLES CAIDOS EN EL CAUCE  DE LA MISMA</t>
  </si>
  <si>
    <t xml:space="preserve">SEIS HORAS </t>
  </si>
  <si>
    <t xml:space="preserve">COLISEO ANGELINO GARSON </t>
  </si>
  <si>
    <t xml:space="preserve">SE HACE ACOMAPAÑAMIENTO AL EVENTO DE EL ENCANTO </t>
  </si>
  <si>
    <t>5.30 HORAS</t>
  </si>
  <si>
    <t>COLISEO ANGELINO GARZON</t>
  </si>
  <si>
    <t>ACOMPAÑAMIENTO A EVENTO MUSICOTEATRAL  EN EL COLISEO ANGELINO GARZON</t>
  </si>
  <si>
    <t>VILLA LAS DELICIAS</t>
  </si>
  <si>
    <t>VEREDA LAS DELICIAS</t>
  </si>
  <si>
    <t>QUEMA QUE SE SALIO DE CONTROL</t>
  </si>
  <si>
    <t>SALON #3 CUERPO DE BOMBEROS</t>
  </si>
  <si>
    <t>LAS  LAJAS</t>
  </si>
  <si>
    <t xml:space="preserve">REUNION DEL GRUPO DE LA TERCERA EDAD </t>
  </si>
  <si>
    <t xml:space="preserve">PARQUE DE LA UVA ROMPOINT </t>
  </si>
  <si>
    <t>CAPACITACION PERSONAL DE BRIGADA</t>
  </si>
  <si>
    <t xml:space="preserve">40 MINUTOS </t>
  </si>
  <si>
    <t>CALLE 14 CON 7</t>
  </si>
  <si>
    <t xml:space="preserve">PERSONA QUE CAE DE SU PROPIA ALTURA AL FRENTE DE BOMBEROS EL CUAL SE PRESTAN PRIMEROS AUXILIOS SE TRASLADA LA HOSPITAL GONZALO CONTRERAS EN LA L2 CAMIONETA </t>
  </si>
  <si>
    <t xml:space="preserve">ESCUELA FORMACION CUERPO DE BOMBEROS </t>
  </si>
  <si>
    <t>CAPACITACION MANEJO DE EXTINTORES  PERSONAL DE TRASANDINA ESTACION DE SERVICIOS</t>
  </si>
  <si>
    <t xml:space="preserve">entrada villa juliana </t>
  </si>
  <si>
    <t xml:space="preserve">se hace prevencion en lugar del corto mientras llegaba la cudradilla de la empresa de nergia CELCIA </t>
  </si>
  <si>
    <t>CARRERA 11 # 16-31</t>
  </si>
  <si>
    <t>BARRIO POPULAR</t>
  </si>
  <si>
    <t>PERSONA QUE CAE DE SU PROPIA ALTURA</t>
  </si>
  <si>
    <t xml:space="preserve">PARQUE DE SAN PEDRO </t>
  </si>
  <si>
    <t xml:space="preserve">ACOMPAÑAMIENTO CAMINATA DE SAN PEDRO HASTA RESERVA ALTAMIRA </t>
  </si>
  <si>
    <t>CR 8 B 9 63</t>
  </si>
  <si>
    <t xml:space="preserve">HACTO LEMOS </t>
  </si>
  <si>
    <t xml:space="preserve">SE HACE VISTA DE SEGURIA BOMERIL PARA CERTIFICADO DE SEGURIDAD 
</t>
  </si>
  <si>
    <t>CRR 17 14 55</t>
  </si>
  <si>
    <t xml:space="preserve">SE HACE VIISTA DE SEGURIDAD CONTRA INCENDIO PARA CERTIFICADO DE SEGURIDA&lt;D 
</t>
  </si>
  <si>
    <t>CALLE 15 14-50</t>
  </si>
  <si>
    <t>ABEJAS ALBOROTADAS A LA ENTRADA DEL CASINO CAESAR PALACE</t>
  </si>
  <si>
    <t>CALLE 15 CRA 14 Y 15 ALCALDIA MNPAL</t>
  </si>
  <si>
    <t>ZONA CENTRO ALCALDIA MNPAL</t>
  </si>
  <si>
    <t xml:space="preserve">SIMULACRO MUNICPAL  DE EVACUACION POR SISMO </t>
  </si>
  <si>
    <t>B-2, L-2, OTROS</t>
  </si>
  <si>
    <t>RESCATE DE ZARIGUELLA</t>
  </si>
  <si>
    <t>CARRERA 13 # 13-54</t>
  </si>
  <si>
    <t>VISITA DE SEGURIDAD BANCO W</t>
  </si>
  <si>
    <t>2.06 HORAS</t>
  </si>
  <si>
    <t>BELLA MONTAÑA HOTEL</t>
  </si>
  <si>
    <t>CORREGIMIENTO DE SAN LUIS SECTOR DEL PAPAYAL</t>
  </si>
  <si>
    <t>INSPECCION DE SEGURIDAD AL HOTEL BELLAMONTAÑA</t>
  </si>
  <si>
    <t>CARRERA 13 FINCA LA ISABELLA</t>
  </si>
  <si>
    <t>32 MNTOS</t>
  </si>
  <si>
    <t>HOTEL BELLA MONTAÑA</t>
  </si>
  <si>
    <t>SAN LUIS SECTOR DEL PAPAYAL</t>
  </si>
  <si>
    <t>VERIFICACION DE ENJAMBRE DE ABEJAS</t>
  </si>
  <si>
    <t>HORA Y MEDIA</t>
  </si>
  <si>
    <t>CALLE 15  14-06</t>
  </si>
  <si>
    <t>CHIMENEA INCENDIADA POR ACUMULACION DE GASES DE UN ASADERO</t>
  </si>
  <si>
    <t>SALON DE CONFERENCIAS # 2</t>
  </si>
  <si>
    <t>REUNION DE LA TERSERA EDAD</t>
  </si>
  <si>
    <t xml:space="preserve">SAN  LUIS </t>
  </si>
  <si>
    <t xml:space="preserve">SE HACE RECUPERACION DE LAS ABEJAS Y SE LIBERAN EN UN LUGAR SEGURO </t>
  </si>
  <si>
    <t>CARRERA 13 # 16-60</t>
  </si>
  <si>
    <t>INCENDIO DE COBERTURA VEJETAL APROX. 10MTS/2</t>
  </si>
  <si>
    <t>VARIOS SITIOS DEL MUNICIPIO</t>
  </si>
  <si>
    <t>LAS PALMAS,LA CIDADELA,PASOANCHO,MARTINDOZA.EL PRADO LAS CINTAS</t>
  </si>
  <si>
    <t>FUERTE LLUVIAS EN EL MUNICIPIO Y CABECERA LOS CUALES OCASIONAN DESBORDAMIENTO DE LAS QUEBRADAS LA UNION SAN PEDRO</t>
  </si>
  <si>
    <t>B-1, B-2, B-3, B-4, L-1, L-3</t>
  </si>
  <si>
    <t xml:space="preserve">NUEVE  HORAS </t>
  </si>
  <si>
    <t xml:space="preserve">QUEBRADA SAN PEDRO Y QUEBRADA LA UNION </t>
  </si>
  <si>
    <t xml:space="preserve">BELEN Y SAN PEDRO </t>
  </si>
  <si>
    <t xml:space="preserve">SE REALIZO LAVADO Y RECUPERACION DE VIAS IGUALMENTE LAVADO DE ALGUNAS VIVIENDAS Y SUMINISTRO DE AGUA EN LA CALLE 23 CON 20 </t>
  </si>
  <si>
    <t>B-2, B-4, L-1</t>
  </si>
  <si>
    <t xml:space="preserve">LOS HATEÑOS </t>
  </si>
  <si>
    <t xml:space="preserve">SE REALIZA CORTE DE PALIZADA QUE ESTA OSTRULLENDO EL PASO DE LA QUEBRADA EN CONJUNTO CON FUNCIONARIOS DE LA ALCALDIA </t>
  </si>
  <si>
    <t>QUEBRADA LOS ATEÑOS</t>
  </si>
  <si>
    <t>URBANIZACION LOS ATEÑOS</t>
  </si>
  <si>
    <t>LIMPIEZA Y REMOCION DE ESCOMBROS EN QUEBRADA</t>
  </si>
  <si>
    <t xml:space="preserve">PORTACHUELO </t>
  </si>
  <si>
    <t xml:space="preserve">SE HACE LAVADO DE VIVIENDA Y SE SUMINISTRA AGUA </t>
  </si>
  <si>
    <t xml:space="preserve">SE SUMINISTRA AGUA </t>
  </si>
  <si>
    <t>CINCO HORAS</t>
  </si>
  <si>
    <t>APOIIO LOGISTICO TRAVESIA UVA TRAVEL</t>
  </si>
  <si>
    <t>ASORUT</t>
  </si>
  <si>
    <t>KL 2 LA UNION LA VICTORIA</t>
  </si>
  <si>
    <t>TRAVESIA CICLISTICA</t>
  </si>
  <si>
    <t xml:space="preserve">QUEBRADA LA UNION </t>
  </si>
  <si>
    <t xml:space="preserve">EL FATIMA </t>
  </si>
  <si>
    <t xml:space="preserve">SE HACE INSPECCION DE QUEBRADA  A LA ALTURA DE LA IGLESIA EL FATIMA POR CAIDA DE ARBOL SE TOMA REGISTRO FOTOGRAFICO </t>
  </si>
  <si>
    <t xml:space="preserve">CARRERA 1 CON CALLE 11 </t>
  </si>
  <si>
    <t xml:space="preserve">SE VALORA PERSONA QUE SUBRE  ACCIDENTE DE TRANCITO SE PIDE AMBULANCIA Y AGENTES ED TRANCITO </t>
  </si>
  <si>
    <t>CALLE12 CRA 21</t>
  </si>
  <si>
    <t>PASO ANCHO</t>
  </si>
  <si>
    <t>SE VERIFICA CAIDA DE ARBOL SOBRE EL CAUCE DE LA QUEBRADA LA UNION, POR PUENTE AMARILLO</t>
  </si>
  <si>
    <t>SALON SOCIAL CUERPO DE BOMBEROS  LA UNION</t>
  </si>
  <si>
    <t xml:space="preserve"> LAS LAJAS</t>
  </si>
  <si>
    <t>REUNION DEL GRUPO DE LA TERCERA EDAD SEMILLAS DE AMOR</t>
  </si>
  <si>
    <t xml:space="preserve">VILLA ESTERILLA </t>
  </si>
  <si>
    <t xml:space="preserve">SE HACE MONITOREO A DOS PALOS QUE CAEN EN CAUSE DE LA QUEDRADA </t>
  </si>
  <si>
    <t>1.30 HORAS</t>
  </si>
  <si>
    <t xml:space="preserve">ESTADIO, </t>
  </si>
  <si>
    <t>SUMINISTRO DE  2  VIAJES DE AGUA  PARA TANQUES DE EVENTO FIESTAS DE UVA Y EL VINO</t>
  </si>
  <si>
    <t xml:space="preserve">20 MINUTOS </t>
  </si>
  <si>
    <t xml:space="preserve">PUENTE PAJARO DE ORO </t>
  </si>
  <si>
    <t xml:space="preserve">SE HACE VERIFICACION DE AVISPAS Y LA COMUNIDAD YA HBAIA ECHO CONTROL </t>
  </si>
  <si>
    <t xml:space="preserve">SE REALIZA CORTE DE ARBOL QUE CAE SOBRE EL CAUSE DE LA QUEBRADA LA UNION Y SE DESPEJA EL CAUSE </t>
  </si>
  <si>
    <t xml:space="preserve">COLICEO MUNICIPAL </t>
  </si>
  <si>
    <t xml:space="preserve">SE REALIZA VERIFICACION Y ISNPECCION DE SEGURIADAD A LA TARIMA EN EL COLICEO DE MUNICIPIO PARA LOS CONCIERTOS DE LA FIESTAS </t>
  </si>
  <si>
    <t xml:space="preserve">10 MINUTOS </t>
  </si>
  <si>
    <t xml:space="preserve">LAGOS EL SAMAN </t>
  </si>
  <si>
    <t xml:space="preserve">INFORMAN DE UN CABALLO QUE SE FUE A LA CANAL POR EL PUENTE DE LOS LAGOS EL SAMAN AL MOMENTO DE SALIR DE LA ESTACION REPORTAN QUE YA LO HABIAN SACADO SE PROCEDE ABORDAR OPERACIONES </t>
  </si>
  <si>
    <t>SUMINISTRO DE AGUA PARA ABASTECER AGUA A LOS TANQUES DE LAS FIESTAS</t>
  </si>
  <si>
    <t>SALON #2 CUERPO DE BOMBEROS</t>
  </si>
  <si>
    <t xml:space="preserve">CAPACITACION  BRIGADA OPERADORA AVICOLA </t>
  </si>
  <si>
    <t>CRA 11  VILLA ESTERILLA Y EL GUASIMO</t>
  </si>
  <si>
    <t>EL GUASINO</t>
  </si>
  <si>
    <t>MONITOREO A LA QUEBRADA SAN PEDRO EN EL SECTOR DE VILLA ESTERILLA Y QUEBRADA EL LUCERO EN EL GUASIMO</t>
  </si>
  <si>
    <t>FIESTAS DEL MUNICIPIO</t>
  </si>
  <si>
    <t>COLEGIO ARGEMIRO ESCOLAR CARDONA</t>
  </si>
  <si>
    <t>ARBOL QUE CAE SOBRE LA PEATONAL</t>
  </si>
  <si>
    <t>DESPENCITA</t>
  </si>
  <si>
    <t>MONITOREO QUEBRADA LA UNION DESDE DESPENCITA HASTA BALNEARIO CHARCO A MIL</t>
  </si>
  <si>
    <t>SUMINISTRO DE AGUA A LA COMUNIDAD</t>
  </si>
  <si>
    <t>BANCO W</t>
  </si>
  <si>
    <t>SE REALIZA VISITA DE SEGURIDAD EN EL BANCO W</t>
  </si>
  <si>
    <t>SE REALIZA VISITA DE SEGURIDAD EN MUNDO MOVIL</t>
  </si>
  <si>
    <t xml:space="preserve">CRA 14 FRENTE A LA GUARDERIA </t>
  </si>
  <si>
    <t>SE REALIZA VISITA DE SEGURIDAD AL CIRCO DEL TERROR</t>
  </si>
  <si>
    <t>5.15HORAS</t>
  </si>
  <si>
    <t>CORREGIMIENTO DE PAJARO DE ORO</t>
  </si>
  <si>
    <t xml:space="preserve">SE SUMINISTRAN TRES VIAJES DE AGUA A LOS HABITANTES DE PAJARO DE ORO,UNO DE LA INSTITUCION,DOS ABASTECIDOS DE UN HIDRANTE </t>
  </si>
  <si>
    <t>ESTACION DE BOMBEROS</t>
  </si>
  <si>
    <t xml:space="preserve">REUNION DE SERVICIO SOCIAL ADULTO MAYOR SIEMPRE UNIDOS </t>
  </si>
  <si>
    <t xml:space="preserve">SALOS DE REUNIONES </t>
  </si>
  <si>
    <t>CALLE 16 ZONA ROSA</t>
  </si>
  <si>
    <t>ZONA ROSA</t>
  </si>
  <si>
    <t>DERRAME DE COMBUSTIBLE SOBRE LA VIA</t>
  </si>
  <si>
    <t>1.05 horas</t>
  </si>
  <si>
    <t xml:space="preserve">calle 18 #18 35 </t>
  </si>
  <si>
    <t>RESCATE A DOS PERSONAS DE SEXO FEMENINO LAS CUALES QUEDAN ATRAPADAS EN EL INTERIOR DE SU PROPIA VIVIENDA (PATIO)</t>
  </si>
  <si>
    <t>CALLE 21 23-59</t>
  </si>
  <si>
    <t>CARRERA 21 15-111</t>
  </si>
  <si>
    <t xml:space="preserve">EL JARDIN </t>
  </si>
  <si>
    <t xml:space="preserve">INUNDACION POR REVOSAMIENTO DE ALCANTARILLADOS </t>
  </si>
  <si>
    <t>CARRERA 15  # 6 - 71</t>
  </si>
  <si>
    <t xml:space="preserve">SE ATIENDE INUNDACION EN VIVIENDA Y SE HACE LAVADO DE LODO AFETACION POR REPRESAMIENTO DE DESAGUES DE AGUAS LLUVIA </t>
  </si>
  <si>
    <t xml:space="preserve">UNA HORA  </t>
  </si>
  <si>
    <t xml:space="preserve">PASO DE LA QUEBRADA DEL LUCERO VIA ROLDANILLO </t>
  </si>
  <si>
    <t xml:space="preserve">SE HACE MONITOREO A LA QUEBRADA EL LUCERO EN EL PASO VIA ANTUGUA VIA A  ROLDANIILO </t>
  </si>
  <si>
    <t>SECTOR DEL LLANO</t>
  </si>
  <si>
    <t>CUERDA QUE ESTABA PEGANDO EN UNAS RAMAS DE UN ARBOL</t>
  </si>
  <si>
    <t>SALON SOCIAL #3 CUERPO DE BOMBEROS</t>
  </si>
  <si>
    <t>REUNION DEL GRUPO DE LA TERCERA EDAD</t>
  </si>
  <si>
    <t>2.25 HORAS</t>
  </si>
  <si>
    <t>SALON SOCIAL # 3CUERPO DE BOMBEROS</t>
  </si>
  <si>
    <t xml:space="preserve">PATIDRONOMO </t>
  </si>
  <si>
    <t xml:space="preserve">SE LLEVARON TRES VIAJES DE AGUA PARA LAVADO DEL PATIDRONOMO </t>
  </si>
  <si>
    <t>CIC LABORATORIOS</t>
  </si>
  <si>
    <t xml:space="preserve">SE REALIZA INSPECION DE SEGURIDAD AL ESTABLECIMIENTO CIC LABORATORIOS </t>
  </si>
  <si>
    <t xml:space="preserve">CDA UVA </t>
  </si>
  <si>
    <t xml:space="preserve">POPÚLAR </t>
  </si>
  <si>
    <t>SE REALIZA INSPECION DE SEGURIDAD AL CDA UVA</t>
  </si>
  <si>
    <t>POR LA FINCA LOS CACHORROS</t>
  </si>
  <si>
    <t>RESCATE DE SEMOVIENTE QUE CAE A SEGUNDA LA CANAL DE RIEGO DE ASORUT</t>
  </si>
  <si>
    <t>CALLE 14 6-01</t>
  </si>
  <si>
    <t>CALLE 17 #21 64</t>
  </si>
  <si>
    <t>BELLA VISTA</t>
  </si>
  <si>
    <t>INFORMAN DE UNA FUGA DE GAS POR PUNTO ROJO</t>
  </si>
  <si>
    <t>TRANSVERSAL 15 # 9-10</t>
  </si>
  <si>
    <t>BARRIO LOS ATEÑOS</t>
  </si>
  <si>
    <t>VIVIENDA INUNDADA POR TAPONAMIENTO DE ALCANTARILLADO</t>
  </si>
  <si>
    <t>B-1, B-3</t>
  </si>
  <si>
    <t>35 MNTOS</t>
  </si>
  <si>
    <t>CALLE 24 #13 90</t>
  </si>
  <si>
    <t>CONTROL DE AVISPAS QUE ESTABAN EN UNA VIVIENDA,LA CUAL ES HABITADA POR PERSONA CON DISCAPACIDAD</t>
  </si>
  <si>
    <t>CARRERA 13# 23-80</t>
  </si>
  <si>
    <t xml:space="preserve">INUNDACION DE VIVIENDA POR REVOSAMIENTPO DE ALCANTARILLADOS </t>
  </si>
  <si>
    <t>CLL 23 # 13-23</t>
  </si>
  <si>
    <t xml:space="preserve">INUNDACION POR AGUAS LLUVIAS </t>
  </si>
  <si>
    <t xml:space="preserve">LA ERMITA </t>
  </si>
  <si>
    <t xml:space="preserve">ALUMBRADO LA ERMITA </t>
  </si>
  <si>
    <t xml:space="preserve">ACOMPAÑAMIENTO ALUMBRADO </t>
  </si>
  <si>
    <t>SALON DE COFENRENCIA # 3</t>
  </si>
  <si>
    <t xml:space="preserve">PAPELERIA UNIVERSAL </t>
  </si>
  <si>
    <t xml:space="preserve">ALMACEN TOMATICOS </t>
  </si>
  <si>
    <t xml:space="preserve">SE REALIZA VSITA SDE SEGURIDAD </t>
  </si>
  <si>
    <t>GUARDERIA GRANDE</t>
  </si>
  <si>
    <t>INCENDIO EN UN POTRERO</t>
  </si>
  <si>
    <t xml:space="preserve">FINCA SANTA ANA </t>
  </si>
  <si>
    <t xml:space="preserve">SE REALIZA VERIFICACION DE ENJAMBRE DE ABEJAS </t>
  </si>
  <si>
    <t>REUNION DEL GRUPO DE LA TERCERA EDAD SIEMPRE UNIDOS</t>
  </si>
  <si>
    <t>CALLE 23 CRA 7 FINCA SANTA ANA</t>
  </si>
  <si>
    <t>SAN PABLO</t>
  </si>
  <si>
    <t>RECUPERACION DE ABEJAS</t>
  </si>
  <si>
    <t>PRIMER PASO DE LA QUEBRADA</t>
  </si>
  <si>
    <t xml:space="preserve">VERIFICACION ARBOL CAIDO EN EL PRIMER PASO DE LOA QUEBRADA </t>
  </si>
  <si>
    <t>CR 14 # 22 - 18</t>
  </si>
  <si>
    <t>RESCATE DE UNA ZARIGUEYA EN EL TEJADO DE UNA VIVIENDA</t>
  </si>
  <si>
    <t>1 HORAS</t>
  </si>
  <si>
    <t xml:space="preserve">SUMINISTRO DE AGUA AL SEÑOR </t>
  </si>
  <si>
    <t>kl 1 VIA LA UNION LA VICTORIA</t>
  </si>
  <si>
    <t>COSINA QUE SE INCENDIA EN FABRICA DE PINPOLLO</t>
  </si>
  <si>
    <t>CRA 13 CON CALLE 19 ESQUINA</t>
  </si>
  <si>
    <t>INCENDIO EN TERRENO AL FRENTE DE LA GUARDERIA GRANDE</t>
  </si>
  <si>
    <t>CALLE 15 ENTRE 16 - 17</t>
  </si>
  <si>
    <t>CRA 14  15 48</t>
  </si>
  <si>
    <t>VISITA DE SEGURIDAD SIMETRIC</t>
  </si>
  <si>
    <t>CRA  5  16 80</t>
  </si>
  <si>
    <t>VILLA DEL SOL</t>
  </si>
  <si>
    <t>INFORMA PERSONALMENTE EL SEÑOR GERMAN DE UNA PERSONA QUE CAE DE UNAS ESCALERAS EN LA URB VILLA DEL SOL</t>
  </si>
  <si>
    <t>28 MNTOS</t>
  </si>
  <si>
    <t>FINCA LAS DELICIAS</t>
  </si>
  <si>
    <t>LAS CINTAS VIA AL PORTACHUELO</t>
  </si>
  <si>
    <t>QUEMA DE DESECHOS AGRICOLAS CONTROLADA POR TRABAJADORES DE LA  FINCA LA CUAL PERTENECE A LA EMPRESA GRAJALES</t>
  </si>
  <si>
    <t>KL 1 FINCA CHOSICA</t>
  </si>
  <si>
    <t>QUEMA DE PASTO DE CORTE 1/2 PLAZA</t>
  </si>
  <si>
    <t>B-1, B-2</t>
  </si>
  <si>
    <t>48 MINUTOS</t>
  </si>
  <si>
    <t>CALLE 13 #20-08</t>
  </si>
  <si>
    <t>SE LE COLABORA AL SEÑOR EVER HUMBERTO GOMEZ  PARA ABRIR UNA PUERTA YA QUE QUE SE LE PARTIERON LAS LLAVES Y HUBO QUE ENTRAR POR LA PARTE DEL SEGUNDO PISO</t>
  </si>
  <si>
    <t>1 HORA 33 MINUTOS</t>
  </si>
  <si>
    <t>CALLE 12 A #23A 04</t>
  </si>
  <si>
    <t xml:space="preserve">SE PRESTA EL AUXULIO DE LAVADO EN LA CASA DE LA SEÑORA MARCELA MONSALVE VELASQUEZ YA QUE POR FUERTE AGUACERO HUBO REVOSE DE LAS ALCANTARILLAS </t>
  </si>
  <si>
    <t>SE HACE INSPECION EL ALMACEN F Y O NUTRICION CELULAR DEL VALLE</t>
  </si>
  <si>
    <t xml:space="preserve">INSPECION DE SEGURIDAD </t>
  </si>
  <si>
    <t>1 HORA 10 MINUTOS</t>
  </si>
  <si>
    <t>SE HACE INSPECION EN EL ESTABLECIMIENTO COFINCAFE</t>
  </si>
  <si>
    <t>1 HORA 10 MIUTOS</t>
  </si>
  <si>
    <t>SE HACE INSPECION EN EL PIQUETEADERO MILLAN</t>
  </si>
  <si>
    <t xml:space="preserve">DOS HORS CON CUARENTA  Y CINCO </t>
  </si>
  <si>
    <t xml:space="preserve">PARQUE PRINCIPAL LA UNION VALLE </t>
  </si>
  <si>
    <t xml:space="preserve">PREVENCION CON TRANSITO Y CONVIVENCIA CIUDADANA SOBRE USO DE TAPABOCAS </t>
  </si>
  <si>
    <t>DOS HORAS  CON TREINTA MINUTOS</t>
  </si>
  <si>
    <t>PREVENCION SOBRE COVID 19</t>
  </si>
  <si>
    <t>SE HACE ACOMPAÑAMIENTO EN LAVORES DE PREVENCION COVID CON LA ALCALDIA EN EL PARQUE</t>
  </si>
  <si>
    <t>KL 1 VIA SAN LUIS</t>
  </si>
  <si>
    <t>KOBA COLOMBIA SAS</t>
  </si>
  <si>
    <t>KL 1 VIA LA UNION SANLUIS</t>
  </si>
  <si>
    <t>ALMACEN RANA</t>
  </si>
  <si>
    <t>CLL 16 CON CR 7</t>
  </si>
  <si>
    <t>FINCA LA LLAVE AMARILLA</t>
  </si>
  <si>
    <t>CRA 12 CON CALLE 16</t>
  </si>
  <si>
    <t>SE PRESENTA FUGA DE GAS NATURAL POR TRABAJOS EN LA VIA ,SE HACE LAVORES DE PREVENCION MIENTRAS LLEGA EL TECNICO DE GASES DE OCCIDENTE</t>
  </si>
  <si>
    <t>URBANIZACION PRADOS DEL NORTE</t>
  </si>
  <si>
    <t>SE HACEN LAVORES DE PREVENCION EN EL SITIO MIENTRAS LLEGABA EL TECNICO DE GASES DE OCCIDENTE ROPTURA PRESENTADA POR TRABAJOS EN LA VIA</t>
  </si>
  <si>
    <t>AUDIFARMA</t>
  </si>
  <si>
    <t>FINCAS LAS MARIAS</t>
  </si>
  <si>
    <t>INCENDIO FORESTAL DE MATERIAL VEJETAL</t>
  </si>
  <si>
    <t>(C I C ) LABORATORIO  CENTRO</t>
  </si>
  <si>
    <t>CANCHA AUXILIAR DEL ESTADIO</t>
  </si>
  <si>
    <t>PARAPENTISTA QUE QUEDA ENREDADO EN UN ARBOL</t>
  </si>
  <si>
    <t>UNA HORA CUARENTE MINUTOS</t>
  </si>
  <si>
    <t>PARQUE PRINCIPAL CENTRO</t>
  </si>
  <si>
    <t xml:space="preserve">INSPECION DE SEGURIDAD EN ALMACEN DE ELECTRODOMESTICOS </t>
  </si>
  <si>
    <t>33 MINUT</t>
  </si>
  <si>
    <t>CHALET ELAMPARO</t>
  </si>
  <si>
    <t>VIA A TORO</t>
  </si>
  <si>
    <t>INCENDIO QUEMA DE PASTIZAL</t>
  </si>
  <si>
    <t>FINCA EL ESPINAL</t>
  </si>
  <si>
    <t>VIA LA UNION TORO POR PEDREGAL</t>
  </si>
  <si>
    <t>INCENDIO A ORILLAS DE LA CANAL SIN CONOCERSE LAS CAUSAS</t>
  </si>
  <si>
    <t>UNA HORA CON CUARENTA MINUTOS</t>
  </si>
  <si>
    <t>VISITA DE SEGURIDAD HOTEL TURQUESA</t>
  </si>
  <si>
    <t>CALLE 22  CON CRA 16</t>
  </si>
  <si>
    <t>SE HACE VERIFICACION Y ERA FALSA ALARMA</t>
  </si>
  <si>
    <t>10 MINUTOS</t>
  </si>
  <si>
    <t>CALLE 12 CON CRA 19</t>
  </si>
  <si>
    <t>SE ACUDE AL SITIO  Y NO SE ENCUENTRAN NADA</t>
  </si>
  <si>
    <t>M - 2</t>
  </si>
  <si>
    <t>20 MINUTOS</t>
  </si>
  <si>
    <t>CALLE 12 CON CRA 20</t>
  </si>
  <si>
    <t>CAMPO ALEGRE</t>
  </si>
  <si>
    <t>SE  ATIENDE EL LLAMADO DE UNA QUEMA POR EL BARRIO FATIMA, SE LLEGA AL SITIO Y SE OBSERVA UNA QUEMA DE BASURA LA CUAL ESTABA CONTROLADA EN SI ESTABA GENERANDO MUCHO HUMO</t>
  </si>
  <si>
    <t>FINCA LA PLAYITA</t>
  </si>
  <si>
    <t>INCENDIO EN UNA CASA DE BAREQUE Y FIQUE</t>
  </si>
  <si>
    <t>CASA VERDE PARQUE PRINCIPAL</t>
  </si>
  <si>
    <t>BARRIO JARDIN</t>
  </si>
  <si>
    <t>M - 6</t>
  </si>
  <si>
    <t xml:space="preserve">FINCA EL REFUJIO </t>
  </si>
  <si>
    <t xml:space="preserve"> M - 6</t>
  </si>
  <si>
    <t>FINCA LA BRACILERA</t>
  </si>
  <si>
    <t>VIA LA UNION VERSALLES</t>
  </si>
  <si>
    <t>VEHICULO QUE SE SALIO DEL CAMINO</t>
  </si>
  <si>
    <t>M - 3</t>
  </si>
  <si>
    <t>TRES HORAS Y MEDIA</t>
  </si>
  <si>
    <t>VIA LA UION TORO</t>
  </si>
  <si>
    <t xml:space="preserve">ARBOL QUE CAE SOBRE CUERDAS ELECTRICAS </t>
  </si>
  <si>
    <t>QUEMA DE TRAPICHE- APOLLO AL CBV DE LA VICTORIA VALLE</t>
  </si>
  <si>
    <t>CALLE 15 ENTRE CARERA 19 Y 20</t>
  </si>
  <si>
    <t>TRES HORAS CON QUINCE MINUTOS</t>
  </si>
  <si>
    <t xml:space="preserve">VISITA DE SEGURIDAD ESTABLECIMIENTO LA CASA VERDE </t>
  </si>
  <si>
    <t>CORTE DE ARBOL POR RIESGO DE CAIDA</t>
  </si>
  <si>
    <t>DOS HORAS VEINTE MINUTOS</t>
  </si>
  <si>
    <t xml:space="preserve">LOCAL LA CASA VERDE </t>
  </si>
  <si>
    <t>DOS HORAS CON CUARENTA Y CINCI MINUTOS</t>
  </si>
  <si>
    <t>SEGUNDA CANAL VIA TORO POR L FARILLON</t>
  </si>
  <si>
    <t>PERSON QUE QUEDA  ATRAPADA DEBAJO DE UNA VOLQUETA LA CUAL PIERDE LA VIDA</t>
  </si>
  <si>
    <t>M- 3</t>
  </si>
  <si>
    <t>CINCO HORAS CON DIEZ MIUTOS</t>
  </si>
  <si>
    <t xml:space="preserve">BARRIO PAJARO DE ORO </t>
  </si>
  <si>
    <t>TERNERO QUE CAE A UN POSSO 14 MTS DE PROFUNDIDAD</t>
  </si>
  <si>
    <t>M-2 Y M- 3</t>
  </si>
  <si>
    <t>CUATRO HORAS CON TREINTE MINUTOS</t>
  </si>
  <si>
    <t xml:space="preserve">CORTE DE ARBOL POR RIESGO </t>
  </si>
  <si>
    <t xml:space="preserve">8 HORAS </t>
  </si>
  <si>
    <t>CALLE 29 N° 17-50</t>
  </si>
  <si>
    <t xml:space="preserve">LA CAMPESINA </t>
  </si>
  <si>
    <t xml:space="preserve">RESCATE DE SEMOVIENTE ADULTO QUE CAE A UN POZO </t>
  </si>
  <si>
    <t xml:space="preserve">UNA HORA Y CURENTA Y CINCO MINUTOS </t>
  </si>
  <si>
    <t>M- 6</t>
  </si>
  <si>
    <t>SAN RAFAEL</t>
  </si>
  <si>
    <t>COOPSER</t>
  </si>
  <si>
    <t>MONTAÑA ALTA SAN LUIS</t>
  </si>
  <si>
    <t>PARAPENTE QUE PIERDE EL CONTROL Y CAE EN LA PARTE MEDIA ALTA DE LA MONTAÑA</t>
  </si>
  <si>
    <t>M - 2 , M - 3 Y M - 5</t>
  </si>
  <si>
    <t>5 HORAS 30 MINUTOS</t>
  </si>
  <si>
    <t xml:space="preserve">EL RINCON </t>
  </si>
  <si>
    <t>VEREDA EL RINCON</t>
  </si>
  <si>
    <t>SE HACE PRESENCIA EN EL ANALISIS DE RIESGO DE UNA FALLA GEOLOGICA EN COMPAÑIA DE GESTION DE RIESGO Y FDEFENSA CIVIL</t>
  </si>
  <si>
    <t>8 HORAS 30 MINUTOS</t>
  </si>
  <si>
    <t>COLICEO ANGELINO GARZON Y PATINODROMO</t>
  </si>
  <si>
    <t>SE HACE ASISTENCIA EN EL SITIO PARA LAVADO, SE UTILIZAN 5 VIAJES DE AGUA DE 1000 GALONES</t>
  </si>
  <si>
    <t>M - 1</t>
  </si>
  <si>
    <t>FINCA DE NAVARRO</t>
  </si>
  <si>
    <t>SE ASISTE AL SITIO PARA CONTROL DE UN INCENDIO FORESTAL ,SE QUEMA APROXIMADAMENTE MEDIA PLAZA DE PASTIZAL , SE UTILISAN 1000 GALONES PARA CONTROLAR Y LIQUIDAR EL INCENDIO</t>
  </si>
  <si>
    <t>3 HORAS 40 MINUTOS</t>
  </si>
  <si>
    <t>BARRIOBELEN , BARRIO BELLA VISTA, SECTOR F DE FRUTIVALLE VIA LA UNION LA VICTORIA</t>
  </si>
  <si>
    <t>BEN ,BELLA VISTA,CORCEGA</t>
  </si>
  <si>
    <t>SE ASISTE A LAS SITIOS ANTES MENCIONADOS PARA COLABORACION DE SACADO DE AGUA DE LAS CASAS Y LAVADO ,TAMBIEN SE ASISTIO PARA CORTE DE RAMAS EN LA VIA LA UNION LAS VICTORIA</t>
  </si>
  <si>
    <t>M -1 ,M-2, M- 3 Y  M-5</t>
  </si>
  <si>
    <t>CHALET REAL</t>
  </si>
  <si>
    <t>CORREJIMIENTO SAN LUIS</t>
  </si>
  <si>
    <t>SE HACEN LAVORES DE PREVENCION MIENTRAS LLEGABAN LOS TECNICOS DE CELSIA</t>
  </si>
  <si>
    <t>MANZANA E CASA 16</t>
  </si>
  <si>
    <t>URBANIZACION EL PRADO</t>
  </si>
  <si>
    <t>SE  ATIENDE EL LLAMADO Y SE LLEGA AL LUGAR  OBSERVANDO FUEGO POR CORTO CIRCUITO DENTRO DE LAS REDES DE ENERGIA SEW CONTROLA Y LIQUIDA</t>
  </si>
  <si>
    <t>M- 2</t>
  </si>
  <si>
    <t>CUATRO HORAS CON QUINCE MINUTOS</t>
  </si>
  <si>
    <t>VIA LA UNION ROLDANILLO</t>
  </si>
  <si>
    <t xml:space="preserve">HIGUERONCITO </t>
  </si>
  <si>
    <t xml:space="preserve">ARBOL QUE CAE SOBRE UNA MOTO CICLETA Y UNA BUSETA </t>
  </si>
  <si>
    <t>M - 2 , Y M- 3</t>
  </si>
  <si>
    <t>DOS HORAS CON QUINCE MINUTOS</t>
  </si>
  <si>
    <t>CLLE 15 ENTRE CERRERA 19 Y 20</t>
  </si>
  <si>
    <t>QUEMA DE PASTIZAL</t>
  </si>
  <si>
    <t>TRS HORAS CON DIEZ MINUTOS</t>
  </si>
  <si>
    <t xml:space="preserve">TEJEDAS </t>
  </si>
  <si>
    <t>MOTO CICLETA VS VOLQUETA LA CUAL EL MOTO CICLISTA PIERDE L VIDA</t>
  </si>
  <si>
    <t>SEIS HORAS CON DIEZ MINUTOS</t>
  </si>
  <si>
    <t xml:space="preserve">PLAZA DE MERCAO </t>
  </si>
  <si>
    <t>LAVADO DE PLAZA DE MERCADO</t>
  </si>
  <si>
    <t>CR 15 # 16-55</t>
  </si>
  <si>
    <t xml:space="preserve">UNA HORA CON CUARENTA MINUTOS </t>
  </si>
  <si>
    <t xml:space="preserve">BARRIO EL LUCERO PARTE ALTA </t>
  </si>
  <si>
    <t xml:space="preserve">ABEJAS QUE LLEGAN A VIVIENDA Y TOCA DESALOJAR ALAS PERSONAS </t>
  </si>
  <si>
    <t>CALLE 16 CON 20</t>
  </si>
  <si>
    <t>FUGA DE GAS NATURAL EN VIVIENDA</t>
  </si>
  <si>
    <t>1 hora 6 minutos</t>
  </si>
  <si>
    <t>CARRERA 11 # 11 44</t>
  </si>
  <si>
    <t>EL LUCERO BAJO</t>
  </si>
  <si>
    <t>CRECIENTE DE LA QUEBRADA LUCERO BAJO E INUNDACION DE VIVENDAS</t>
  </si>
  <si>
    <t>56 MINUTOS</t>
  </si>
  <si>
    <t>CBV ROLDANILLO</t>
  </si>
  <si>
    <t>CORREGIMIENTO SANTA RITA</t>
  </si>
  <si>
    <t>SE ATIENDE EL LLAMADO DE APOYO ,PERO CUANDO LLEGARON AL SITIO YA LA SITUACION ESTABA CONTROLADA</t>
  </si>
  <si>
    <t>1 HORA 40 MINUTOS</t>
  </si>
  <si>
    <t>ESTANQUILLO LICORES EL BARRIL</t>
  </si>
  <si>
    <t>CRA 16 #16-84</t>
  </si>
  <si>
    <t>SE HACE LA VISITA DE SEGURIDAD</t>
  </si>
  <si>
    <t>UNA HORA TREINTA MINUTOS</t>
  </si>
  <si>
    <t xml:space="preserve">CUERDA DE ALTA TENCION QUE SE REVIENTA POR CAIDA DE RAMA </t>
  </si>
  <si>
    <t>CLL 14 CON CR 14 EQUINA</t>
  </si>
  <si>
    <t>VEHICULO QUE ESTABA ENCENDIDO PERO FUE CONTROLADO CON EXTINTORES</t>
  </si>
  <si>
    <t>VIA TORO-LA UNION-ROLDANILLO</t>
  </si>
  <si>
    <t>MONITOREO DE POSIBLES CAIDAS DE ARBOLES EN LA VIA</t>
  </si>
  <si>
    <t>LA CALLETANA</t>
  </si>
  <si>
    <t>REVICION DEL FLUVIAL DEL RIO CAUCA</t>
  </si>
  <si>
    <t>ORILLA DEL RIO CAUCA</t>
  </si>
  <si>
    <t>MONITOREO DEL CAUDAL DEL RIO CAUCA</t>
  </si>
  <si>
    <t>LA CIENAGUETA</t>
  </si>
  <si>
    <t>RESCATE A PERSONA Y A VEHICULO PROXIMOS A CAER AL SANJON DE LOS MUERTOS</t>
  </si>
  <si>
    <t xml:space="preserve">LAS TRES CRUZES </t>
  </si>
  <si>
    <t>LA CAMPESINA PARTE ALTA</t>
  </si>
  <si>
    <t>PERSONAS QUE SON ATACADAS POR ABEJAS EN UNA VIVIENDA</t>
  </si>
  <si>
    <t xml:space="preserve">EMPRESA CASA GRAJALES </t>
  </si>
  <si>
    <t xml:space="preserve">BARRIO LAS LAJAS </t>
  </si>
  <si>
    <t xml:space="preserve">IMFORMAN DE LA PORTERIA DE GRAJALES SOBRE UN CORTO CIRCUITO EN LA PARTE INTERIO DE LA COSINA EN EL RESTAURANTE </t>
  </si>
  <si>
    <t>MONITOREO NIVEL RIO CAUCA</t>
  </si>
  <si>
    <t>DOS HORAS QUINCE MINUTOS</t>
  </si>
  <si>
    <t>INSPECION DE SEGURIDAD EN AMBULANCIAS BRIGADA + 44 SAS</t>
  </si>
  <si>
    <t>UNA HORA CON CUARENTE U CUATRO MINUTOS</t>
  </si>
  <si>
    <t>VIA LA UNION   TORO</t>
  </si>
  <si>
    <t xml:space="preserve">ARBOL QUE CAE SOBRE CUERDAS DE ALTA TENCION Y PRODUCE CHISPAS </t>
  </si>
  <si>
    <t xml:space="preserve">VEINTI CINCO MINUTOS </t>
  </si>
  <si>
    <t xml:space="preserve">BELLA VISTA </t>
  </si>
  <si>
    <t xml:space="preserve">CONTROL Y RECUPERACION  DE ABEJAS </t>
  </si>
  <si>
    <t>UNA HORA YCUARENTA MINUTOS</t>
  </si>
  <si>
    <t>300 MTS DE ROMPOY</t>
  </si>
  <si>
    <t xml:space="preserve">CUERDA QUE CAE SOBRE LA VIA </t>
  </si>
  <si>
    <t>UNA HORA CON DIEZ MINUTOS</t>
  </si>
  <si>
    <t xml:space="preserve">CENTRO DIAGONAL AL COLEJIO DE LAS MONJAS </t>
  </si>
  <si>
    <t>APOLLO EN SEGURIDAD QUEMA DE CASTILLO</t>
  </si>
  <si>
    <t xml:space="preserve">LAS TRES CRUCES </t>
  </si>
  <si>
    <t xml:space="preserve">VIA ALA AGUADA </t>
  </si>
  <si>
    <t xml:space="preserve">ABEJAS QUE ATACAN A PERSONAS DE UNA VIVIENDA </t>
  </si>
  <si>
    <t>TRES HORAS CON DIEZ</t>
  </si>
  <si>
    <t xml:space="preserve">HOTEL PRIMAVERAL Y FLORISTERIA </t>
  </si>
  <si>
    <t xml:space="preserve">VISIT DE SEGURIDAD A DOS ESTABLECIMIENTOS </t>
  </si>
  <si>
    <t>BARRIO LA CAMPESINA</t>
  </si>
  <si>
    <t>IMFORMA SEÑORA MONICA GONZALEZ DE UNA VACA QUE CAE A UN POSO</t>
  </si>
  <si>
    <t>HOTEL PRIMAVERAL DEL PARQUE Y HOTEL PRIMAVERAL</t>
  </si>
  <si>
    <t xml:space="preserve"> 3.30 HORAS</t>
  </si>
  <si>
    <t>HOTEL PRIMAVERAL</t>
  </si>
  <si>
    <t xml:space="preserve">SE HIZO INSPECCION DEL CITIO Y SE COLOCO LAS SEÑALIZACIONES Y EXTINTORES EN SUS DEBIDOS PUESTOS </t>
  </si>
  <si>
    <t>2:40</t>
  </si>
  <si>
    <t>CL 11 CR 19</t>
  </si>
  <si>
    <t>ARBOL QUE TAPONA EL CAUCE DE LA QUEBRADA OCACIONANDO REPRESAMIENTO.</t>
  </si>
  <si>
    <t>VIA LA UNION TORO POR EL FARILLON</t>
  </si>
  <si>
    <t>VEHICULO QUE CAE ALA CANAL</t>
  </si>
  <si>
    <t>M-2, M-5</t>
  </si>
  <si>
    <t>KR 20#17-68</t>
  </si>
  <si>
    <t xml:space="preserve">SANPEDRO </t>
  </si>
  <si>
    <t xml:space="preserve">VIVIENDA INUNDADA POR FUERTE AGUASERO </t>
  </si>
  <si>
    <t>DON HORAS</t>
  </si>
  <si>
    <t>VIVIENDA INUNDADA POR FUERTE AGUASERO</t>
  </si>
  <si>
    <t>CLL 13 CON CR 15</t>
  </si>
  <si>
    <t>CANECA DE 55 GALONES QUE SE CAE DE UNA TURBO Y SE RAJA ( roundup)</t>
  </si>
  <si>
    <t xml:space="preserve">FINCA EL PALMAR </t>
  </si>
  <si>
    <t xml:space="preserve">SE REALIZA CONTROL DE ABEJAS ASIENDO CATURA Y LIBERANDOLAS POR EL PICACHO </t>
  </si>
  <si>
    <t>REUNION EN LA ALCALDIA</t>
  </si>
  <si>
    <t>CRA 18 # 19-90</t>
  </si>
  <si>
    <t>SAMPEDRO</t>
  </si>
  <si>
    <t>VEHICULO QUE ESTA EN LA VIA Y ESTA INCENDIADO SE PROCEDE A EXTINGUI EL FUEGO</t>
  </si>
  <si>
    <t>SECTOR DEL PRIMER PASO</t>
  </si>
  <si>
    <t>VEREDA PAJARO  DE ORO</t>
  </si>
  <si>
    <t>SE DESPEJA LA VIA YA QUE HABIA CAIDO UN ARBOL,EN LA VIA Y EL LECHO DE LA QUEBRADA .QUEDA PENDIENTE LA ERRADICACION TOTAL DEL ARBOL, ENEL SITIO ESTUVO EL SENOR FABER GRAJALES DE GESTION DEL RIESGO</t>
  </si>
  <si>
    <t>UNA HORA CUARENTA MINUTOS</t>
  </si>
  <si>
    <t>KR 19#16-15</t>
  </si>
  <si>
    <t>EL JARIN</t>
  </si>
  <si>
    <t xml:space="preserve">FUERTE OLOR A GAS </t>
  </si>
  <si>
    <t>CRA 26 # 22 - 70</t>
  </si>
  <si>
    <t>INFORMA EL SEÑOR ELIECER QUE ESTABA ABRIENDO UN HUECO PARA CONSTRUIR Y POR ERROR DAÑA LA TUBERIA DEL GAS</t>
  </si>
  <si>
    <t xml:space="preserve"> EL VIVERO A LA PERCHOSA</t>
  </si>
  <si>
    <t>VIA LA UNION -TORO</t>
  </si>
  <si>
    <t>CAIDA DE UNA RAMA DE ARBOL QUE TAPONA LA CARRETERA</t>
  </si>
  <si>
    <t>CAMPESINA BAJA POR LA ESCUELA</t>
  </si>
  <si>
    <t>SE RESCATA SEMOVIENTE QUE CAE EN UN POZO APROXIMADAMENTE  DE 3 METROS DE PROFUNDIDAD EN LA PROPIEDAD DEL SEÑOR ALONZO MEJIA</t>
  </si>
  <si>
    <t>SE HACE RESCATE DE SEMOVIENTE  QUE SE ENCONTRABA EN UN HUECO, YA MUERTO</t>
  </si>
  <si>
    <t>SE HACE INSPECION DE SEGURIDAD EN EL HOTEL PRIMAVERAL</t>
  </si>
  <si>
    <t>50 MINUTOS</t>
  </si>
  <si>
    <t>SE HACE INSPECON EN EL ESTABLECIMIENTO RAPI POLLO</t>
  </si>
  <si>
    <t xml:space="preserve"> 3 HORAS 40 MINUTOS</t>
  </si>
  <si>
    <t>ESTACION DE SERVICIO LA ANDINA</t>
  </si>
  <si>
    <t>SE HACE PODA DE ARBOL EN LA ESTACION DE SERVICIO LA ANDINA</t>
  </si>
  <si>
    <t>1 HORA 45 MINUTOS</t>
  </si>
  <si>
    <t>SE HACE LA INSPECCION DE SEGURIDAD EL EL ESTABLECIMIENTO SURTI POLLOS DEL CAMPO</t>
  </si>
  <si>
    <t>TECNI REPUESTOS LA UNION - CL 16 CR 2</t>
  </si>
  <si>
    <t>SE HACE INSPECCION DE SEGURIDAD A TECNI-REPUESTOS LA UNION EN EL PARQUEADERO LAS LAJAS</t>
  </si>
  <si>
    <t>CLL 16#3-288</t>
  </si>
  <si>
    <t>DROGUERIA LA REBAJA</t>
  </si>
  <si>
    <t>INSPECCION DE SEGURIDAD AL ESTABLECIMIENTO</t>
  </si>
  <si>
    <t>TRES HORAS CON VEINTE MINUTOS</t>
  </si>
  <si>
    <t>CLL 14#19-40</t>
  </si>
  <si>
    <t>LA CUZ</t>
  </si>
  <si>
    <t>INUNDACION POR COLAPSO DE ALCANTARILLA</t>
  </si>
  <si>
    <t>KR 10#16-67</t>
  </si>
  <si>
    <t>INUNDACION POR REBOSAMIENTO DE ALCANTARILLA</t>
  </si>
  <si>
    <t>DON HORAS QUINCE MINUTOS</t>
  </si>
  <si>
    <t>KR 14#21-120</t>
  </si>
  <si>
    <t xml:space="preserve">INUNDACION POR REBOSAMIENTO DE ALCANTARILLA 
</t>
  </si>
  <si>
    <t>KR 18#28-117</t>
  </si>
  <si>
    <t xml:space="preserve">CAMPESINA ALTA </t>
  </si>
  <si>
    <t xml:space="preserve">INUNDACION POR TAPONAMIENTO DE REJILLA </t>
  </si>
  <si>
    <t>1 HORA 20MIN</t>
  </si>
  <si>
    <t>CANCHA DE FUTBOL</t>
  </si>
  <si>
    <t xml:space="preserve">B/ EL CARMEN </t>
  </si>
  <si>
    <t>POSIBLE COLAPSO DE ARBOL DE CHIMINANGO A LA QUEBRADA, QUE PODRIA GENERAR REPRESAMIENTO DE AGUAS DE LLUVIA.</t>
  </si>
  <si>
    <t>VEINTE MINUTOS</t>
  </si>
  <si>
    <t>KR 8 # 14-40</t>
  </si>
  <si>
    <t>PANAL DE AVISPAS EN CORRAL DE POLLOS</t>
  </si>
  <si>
    <t>SE ATIENDE LLAMADO DE UNA QUEMA FORESTAL POR LA VEREDA EL TIGRE,AL LLEGAR AL SITIO SE OBSERVA QUEMA PARA ELABORACION DE CARBON</t>
  </si>
  <si>
    <t>ESTACION DE SERVICIO LAS LAJAS</t>
  </si>
  <si>
    <t>SE PRESTO APOYO PARA LAVORES DE PREVENCION EN EL SUMINISTRO DE COMBUSTIBLE,PERO LA GENTE ESTABA DESCONTROLADA ,NO HUBO COORDINACION,SE DEJARON RECOMENDACIONES CON LA POLICIA, EL ALCALDE Y EL DUEÑO .BOMBEROS SE RETIRA DEL SITIO</t>
  </si>
  <si>
    <t>1 HORA 50 MINUTOS</t>
  </si>
  <si>
    <t>CALLE 19#13-68 Y CALLE 19 #14-50</t>
  </si>
  <si>
    <t xml:space="preserve">SE HACE INSPECION DE SEGURIDAD EN RECICLAJE LA UNION Y RECICLAJE LA UNION VALLE S A S </t>
  </si>
  <si>
    <t>CORTES DE RAMAS DE 5 ARBOLES QUE PRESENTABAN UN POSIBLE RIESGO</t>
  </si>
  <si>
    <t>CR 16 # 14-42</t>
  </si>
  <si>
    <t>1HORA</t>
  </si>
  <si>
    <t xml:space="preserve">CLL 17 # 16-20 </t>
  </si>
  <si>
    <t>FELINO QUE SE QUEDO ATRAPADO EN UN TECHO</t>
  </si>
  <si>
    <t>17 MINUTOS</t>
  </si>
  <si>
    <t>KIOSKO   PARQUE PRINCIPAL</t>
  </si>
  <si>
    <t>SE ATIENDE LLAMADO QUE HACE LA POLICIA SOBRE CONATO DE INCENDIO EN EL KIOSKO DEL PARQUE PRINCIPAL, SE LLEGA AL SITIO Y SE OBSERVA QUEMA DE BASURA(CARTON)YA EXTINGUIDO SE HACE LABOR DE ENFRIAMIENTO .SE DESCONOCEN LAS CAUSAS</t>
  </si>
  <si>
    <t>CLL 15 # 13-40</t>
  </si>
  <si>
    <t>DOS HORAS Y QUINCE MINUTOS</t>
  </si>
  <si>
    <t xml:space="preserve">CASA 1 MANZANA 1 URBANIZACION PRADOS DEL NORTE </t>
  </si>
  <si>
    <t xml:space="preserve">FUGA DE GAS EN MANGUERA DE 3/4 DOMICILIARIA </t>
  </si>
  <si>
    <t>CARRERA 11 ENTRE CALLE 11 Y 12</t>
  </si>
  <si>
    <t>CANINO QUE CAE A UN ALGIBE DE 12 METROS</t>
  </si>
  <si>
    <t>5 horas</t>
  </si>
  <si>
    <t>ZONA RURAL DEL MUNICIPIO</t>
  </si>
  <si>
    <t>RECORIDO POR LA QUEBRADA PARA ANALICIS DE RIESGOS</t>
  </si>
  <si>
    <t>cll 14 con cr 7 esquina</t>
  </si>
  <si>
    <t>las lajas</t>
  </si>
  <si>
    <t>PERSONA QUE VE EN MOTO DE SU PROPIEDAD Y SE DA CONTRA UNA CAMIONETA</t>
  </si>
  <si>
    <t>CR 13 # 19-16</t>
  </si>
  <si>
    <t>VISITA DE SEGURIDAD AL CIRCO</t>
  </si>
  <si>
    <t>CALLE 13 # 20-147</t>
  </si>
  <si>
    <t xml:space="preserve">INCENDIO INCIPIENTE EN VIVIENDA CONTROLADO POR LA COMUNIDAD  CON AFECTACION DE ENSERES </t>
  </si>
  <si>
    <t xml:space="preserve">CALLE 14 CON CARRERA 9 </t>
  </si>
  <si>
    <t>ESTACION BIOMAX</t>
  </si>
  <si>
    <t>CAIDA DE CUERDAS EN VIA PUBLICA GENERANDO RIESGO, HIZO PRESENCIA FUNCIONARIOS DE LA EMPRESA CELCIA</t>
  </si>
  <si>
    <t>CR 11 LABORATORIO CLINICO</t>
  </si>
  <si>
    <t>NOS REPORTA DE UN CONTROL DE ABEJA POR LO CUAL SE DESPLAZO LA M#3 CON 3 UNIDADES AL MANDO DEL SGT RUBEN RIVERA E INFORMA  QUE LA ENCARGADA DEL LUGAR NO HA LLAMADO A NADIE Y EL ENJABRE TIENE MUCHO TIEMPO DE ESTAR EN EL CITIO (SOLAR)</t>
  </si>
  <si>
    <t>1 HORA Y 20MIN</t>
  </si>
  <si>
    <t>PICACHO</t>
  </si>
  <si>
    <t>KM 3 VIA ROLDANILLO</t>
  </si>
  <si>
    <t>DERRAME DE MELAZA EN LA CARRETERA CON APOYO DE BOMBEROS ROLDANILLO (2)</t>
  </si>
  <si>
    <t>M-2, OTROS</t>
  </si>
  <si>
    <t>CL 6 # 15-22</t>
  </si>
  <si>
    <t>LUCERO</t>
  </si>
  <si>
    <t xml:space="preserve">REPORTAN DE UN OFIDIO QUE INGRESO A LA CASA, SE DIRIGE AL SITIO Y HACEN PROCEDIMIENTO DE BUSQUEDA PARA RECUPERARLA, PERO NO SE ENCUENTRA NINGUN ANIMAL EN EL LUGAR. </t>
  </si>
  <si>
    <t>CR 20 14 03</t>
  </si>
  <si>
    <t>VISITA DE SEGURIDAD AL ESTABLESIMIENTO BAR BESAME</t>
  </si>
  <si>
    <t>BELLAVISTA VIA CASA BLANCA</t>
  </si>
  <si>
    <t>BELLAVISTA</t>
  </si>
  <si>
    <t>QUEMA DE BASURA QUE SE SALE DE CONTROL</t>
  </si>
  <si>
    <t>2 H 30 MKILO</t>
  </si>
  <si>
    <t>KM 3 ENTRADA A CORCEGA</t>
  </si>
  <si>
    <t xml:space="preserve">CAIDA DE RAMA DE UN ARBOL EN LA VIA PRINCIPAL LA UNION LA VICTORIA
</t>
  </si>
  <si>
    <t>CRA 13 # 14 - 61 ENDODENT</t>
  </si>
  <si>
    <t>KRA 13 # 21-64</t>
  </si>
  <si>
    <t xml:space="preserve">POSTE QUE SE ENCUENTRA REVENTADO EN LA PARTE INFERIOR </t>
  </si>
  <si>
    <t>UNA HORA Y QUINCE MINUTOS</t>
  </si>
  <si>
    <t>HOTEL PRIMAVERAL DEL PARQUE CLL-15 KR-15 ESQUINA</t>
  </si>
  <si>
    <t>VISITA DE SEGURIDAD HOTEL PRIMAVERAL</t>
  </si>
  <si>
    <t>CLL-15#15-59</t>
  </si>
  <si>
    <t>AVICOLA PIAMONTE</t>
  </si>
  <si>
    <t>PARAPENTE QUE CAE EN MEDIA MONTAÑA Y SALIO POR SUS PROPIOS MEDIOS</t>
  </si>
  <si>
    <t>30MINUTOS</t>
  </si>
  <si>
    <t>KM 6 VIA LA UNION-TORO</t>
  </si>
  <si>
    <t>SE HACE PREVENCION DE CORTE DE RAMA QUE HABIA CAIDO EN LA CARRETERA, QUE PODRIA OCASIONAR UN ACCIDENTE DE TRANSITO.</t>
  </si>
  <si>
    <t>20MIN</t>
  </si>
  <si>
    <t>CRA 17 # 14-29</t>
  </si>
  <si>
    <t>INFORMA DE UN FELINO ATASCADO EN LO CUAL SE VA A REVISAR Y REPORTAN DE QUE NO SE ENCONTRABA ATASCADO EL FELINO</t>
  </si>
  <si>
    <t>50MIN</t>
  </si>
  <si>
    <t>KM 1 VIA LA UNION-LA VICTORIA</t>
  </si>
  <si>
    <t>1RA COMPUERTA</t>
  </si>
  <si>
    <t>INFORMA QUE HAY UN VOLCAMIENTO DE UN VEHICULO Y QUE SE ENCUENTRA UNA PERSONA ATRAPADA, AL LLEGAR AL CITIO YA LA PERSONA HABIA SALIDO DEL VEHICULO.</t>
  </si>
  <si>
    <t>3HORAS</t>
  </si>
  <si>
    <t xml:space="preserve">ROMPOY </t>
  </si>
  <si>
    <t>ENTRADA DE LA UNION</t>
  </si>
  <si>
    <t xml:space="preserve">SE HACE ACOMPAÑAMIENTO DE LAS CENIZAS DEL PADRE PARROCO DE SAN PEDRO FALLECIDO </t>
  </si>
  <si>
    <t>CEDE NORTE Y YAMILET ABADIA</t>
  </si>
  <si>
    <t xml:space="preserve">INSPECCION DE SEGURIDAD </t>
  </si>
  <si>
    <t>1 HORA Y 20 MIN</t>
  </si>
  <si>
    <t>MOTEL LOS DOS</t>
  </si>
  <si>
    <t>INSPECCION DE SEGURIDAD</t>
  </si>
  <si>
    <t>1 Hora</t>
  </si>
  <si>
    <t>CEDENORTE CLL 12 Nro 10 - 58</t>
  </si>
  <si>
    <t>Belen</t>
  </si>
  <si>
    <t>Se dirige el Sbtt Jualian Andres Granados a realizar la 2da inspeccion de seguridad al establecimiento de CEDENORTE.</t>
  </si>
  <si>
    <t xml:space="preserve">01:53 </t>
  </si>
  <si>
    <t xml:space="preserve">VILLA FATIMA </t>
  </si>
  <si>
    <t>CORREGIMIENTO HOLGUIN</t>
  </si>
  <si>
    <t>Muy buenos dias central, Bros La Union se reporta. A las 05:00 se recibe la solicitud de apoyo a un incendio estructural en zona rural del municipio de La Victoria V. por parte de la comandante de ese municipio Liliana yepes; 06:05 sale de la estacion M2 y M5 con 10 unidades, al mando del Sbtt Bedoya, dirigiendose hacia el sitio indicado en municipio vecino; 05:40 arriban las unidades al lugar de la emergencia y se reportan ante el comandante del incidente; 06:53 se reporta finalizacion de labores en la emercia y regreso a zona urbana de ese municipio y a las 08:02 se hace arribo de las unidades en la estacion de La Union V. Propietario: Rogelio llano Gomez. CC: 6238834. CEL: 3105052304. CASERO DEL INMUEBLE: Reinel Sepulveda Galvez. CC: 94232058. CEL: 3155900597</t>
  </si>
  <si>
    <t>SALIDA VIEJA A ROLDANILLO</t>
  </si>
  <si>
    <t>LAS PALMAS PARE BAJA</t>
  </si>
  <si>
    <t xml:space="preserve">INCENDIO FORETAL EN LA FINCA VILLA SOFIA SECTOR LAS CINTAS </t>
  </si>
  <si>
    <t xml:space="preserve">UNA HORA Y MEDIA </t>
  </si>
  <si>
    <t xml:space="preserve">VIA LA UNION SAN LUIS </t>
  </si>
  <si>
    <t xml:space="preserve">BARRIO SAN LUIS </t>
  </si>
  <si>
    <t xml:space="preserve">SERPIENTE QUE SE ENCUENTRA EN UN PALO DE MANGO </t>
  </si>
  <si>
    <t>30 MINUTOSC</t>
  </si>
  <si>
    <t xml:space="preserve">CALLE 20B 10 54 </t>
  </si>
  <si>
    <t>FELINO ATRAPADO ENTRE DOS PAREDES</t>
  </si>
  <si>
    <t>47 min</t>
  </si>
  <si>
    <t>Cll 17 # 14 - 41</t>
  </si>
  <si>
    <t>Se recibe llamado ante un rescate animal a las 14:05. A las 14:22 Sale M2 con 4 unidades al sitio, jefe de intervencion Sbt Granados. 14:27 llegada al sitio, se analiza la situacion y se evidencia que el animal se encuentra dentro del predio de una antena de telecomunicaciones, siendo de dificil acceso de las unidades y no se tiene contacto del personal encardado del lugar, Se procede a retirar el personal del sitio a las 14:58 y a las 15:05 regresa la M2 a la estacion con las unidades</t>
  </si>
  <si>
    <t>MARIO OCAMPO FLORISTERIA</t>
  </si>
  <si>
    <t>CR 11 14 06 BR BELEN</t>
  </si>
  <si>
    <t>CONCEPTO DE SEGURIDAD</t>
  </si>
  <si>
    <t xml:space="preserve">ARBOL QUE PRESENTA INCLINACION Y LOS TRACTOCOMIONES LO ESTAN ROSANDO CON RIESGO DE CAIDA EN SU TOTALIDAD </t>
  </si>
  <si>
    <t>OPTICA LOOK VISION</t>
  </si>
  <si>
    <t>2 H : 50 MIN</t>
  </si>
  <si>
    <t>VIA LA UNION - TORO</t>
  </si>
  <si>
    <t>Caida de una rama de un arbol sobre la via, se dirige la M-5 hacia el lugar con 6 unidades al mando del Sbt Granados, una ves dada por finalizada las actividades de corte y remocion de ramas, proceden a verificar mas posibles caidas de arboles o derrumbes. Etado del clima nublado, vias y rios normales</t>
  </si>
  <si>
    <t>2 H : 27 MIN</t>
  </si>
  <si>
    <t>CLL 16 # 21 B - 10</t>
  </si>
  <si>
    <t xml:space="preserve">SE RECIBE INFORMACION DE LA CAIDA DE UNA GUADUA SOBRE CUERDAS DE ENERGIAS QUE ESTAN GEREANDO CORTO CIRCUITO, SE DESPLAZAN AL LUGAR 5 UNIDADES AL MANDO DE LA SGT DIAZ EN LA M5, Y SE HACE CONTACTO CON CELCIA PARA EL CORTE DEL FLUJO ELECTRICO, FINAL MENTE LAS UNIDADES RETIRAN LA GUADUA Y SE RETIRAN DEL SITIO </t>
  </si>
  <si>
    <t>1 H : 10 MIN</t>
  </si>
  <si>
    <t>FRENTE A LA IGLECIA DE PASOANCHO</t>
  </si>
  <si>
    <t>SE REPORTA ATAQUE DE ABEJAS A LA COMUNIDAD, SALE M-5 CONDUCIDA POR EL SBT GRANADOS Y 4 UNIDADES AL MANDO DE LA SGT DIAZ, SE LLAMA AMBULANCIA SUB SALUD ENCASO DE QUE SEA NECESARIO EL TRASLADO DE PACIENTES. SE HACE CONTROL DE ABEJAS CON HUMO Y QUEDAN PARA RETIRAR EL DIA 14-07-2021, SE FINALIZAN LABORES Y SE RETIRAN DEL SECTOR SIN NOVEDAD MAYOR</t>
  </si>
  <si>
    <t>2 H : 4 MIN</t>
  </si>
  <si>
    <t>VIA TORO - LA UNION</t>
  </si>
  <si>
    <t>SE REPORTA RAMA CON RIESGO DE CAER A LA VIA, SE DESPLAZA M5 CONDUCIDA POR EL SBT GRANADOS EN COMPAÑIA DEL BRO JUAN CORONADO, TAMBIEN DEL SG DERIA QUIENES FUERON A VERIFICAR Y AL ENCONTRAR LA RAMA, SE EVIDENCIA A GRAN ALTURA Y ALTO FLUJO VEHICULAR, FUE NECESARIO LLAMAR A POLICIA DE TRANSITO PARA PODER ASEGURAR EL AREA E INICIAR LABORES. SE ACABAN LABORES EN EL SITO Y SE REGRESA A LA ESTACION</t>
  </si>
  <si>
    <t>2 H : 43 MIN</t>
  </si>
  <si>
    <t>CLL 12 # 23 - 57</t>
  </si>
  <si>
    <t>SE DESPLAZA LA M3 CONDUCIDA POR EL SGT DERIA AL LUGAR A REALIZAR EL RETIRO DEL PANAL DE ABEJAS QUE EL DIA ANTERIOR SE HABIA REPORTADO POR LA COMUNIDAD QUE ESTABA ATCANDO A LA COMUNIDAD, AL SITIO ASISTEN 3 UNIDADES A CARGO DE LA CBO PRADO,Y SON APOYADOS POR PERSONAS QUE REALIZAN EL CONTRON Y TRASLADO DE LAS ABEJAS</t>
  </si>
  <si>
    <t xml:space="preserve">FINCA LA REINA </t>
  </si>
  <si>
    <t>LA SIENAGUETA</t>
  </si>
  <si>
    <t>CACATUA QUE SE ENCUENTRA EN LA PARTE SUPERIOR  DE UNA VIVIENDA LA CUAL PRESENTA FRACTURA EN UNA PATA</t>
  </si>
  <si>
    <t>VIA A SABANAZO POR LA BALASTRERA</t>
  </si>
  <si>
    <t>INCENDIO FORESTAL AL BORDE DE CARRETERA</t>
  </si>
  <si>
    <t>CR 22 # 14 - 90</t>
  </si>
  <si>
    <t>7:48 Se recibe reporte de vehiculo atascado en una subida inclinada del barro Bellavista, 7:48 al lugar se desplaza la M-4 con 2 unidades, en el sitio ya se encotraban otras 2 unidades verificando la situacion, 8:05 se reporta finalizacion y regreso a la estacion.</t>
  </si>
  <si>
    <t>FUNERARIA JARDINES DEL RENACER</t>
  </si>
  <si>
    <t xml:space="preserve">EL SBT GRANADOS SE DIRIGE AL ESTABLECIMIENTO A REAIZAR VISITA DE SEGURIDAD </t>
  </si>
  <si>
    <t xml:space="preserve">CLL 13 A # 24 A - 03 </t>
  </si>
  <si>
    <t>SE RECIBE REPORTE DE UN FELINO ATRAPADO ENTRE DOS PAREDES, AL LUGAR SE DESPLAZA M2 CON 6 UNIDADES AL MANDO DEL SGT RIVERA, FINALIZANDO EL RESACTE DE MANERA EXITOSA Y REGRESANDO AL CUARTEL</t>
  </si>
  <si>
    <t>11 min</t>
  </si>
  <si>
    <t>Martindoza</t>
  </si>
  <si>
    <t xml:space="preserve">Sale M2 conducida por el sbt Gaviria y el Sbt Bedoya, informan que en el sitio ya se encuentran funcionarios de celsia controlando la situacion, por lotanto las unidades proceden a retirarse </t>
  </si>
  <si>
    <t>27 MN</t>
  </si>
  <si>
    <t>PEDREGAL</t>
  </si>
  <si>
    <t>sale M3 conducida por el sbt Gaviria y el Sbt Bedoya y cbo Gonzales, informan que en el sitio habitantes de la zona controlan y despejan la via, por lo tanto las unidades proceden a retirarse.</t>
  </si>
  <si>
    <t>CR 17 # 18A 25</t>
  </si>
  <si>
    <t>CR 15 # 11-44 VEOLIA ASEO</t>
  </si>
  <si>
    <t xml:space="preserve">CALLE 14 </t>
  </si>
  <si>
    <t xml:space="preserve">VISITA DE SEGURIDAD CANAL COMUNITARIO </t>
  </si>
  <si>
    <t>INSTITUCION MAGDALENA ORTEGA</t>
  </si>
  <si>
    <t>ABEJAS ALBOROTADAS EN UN ARBOL</t>
  </si>
  <si>
    <t>DOS HORAS TREINTA MINUTOS</t>
  </si>
  <si>
    <t>CALLE 21 ENTRE 22 - 23</t>
  </si>
  <si>
    <t>SANPEDRO</t>
  </si>
  <si>
    <t>INCENDIO DE UN VIHUCULO</t>
  </si>
  <si>
    <t>3 H 45 MIN</t>
  </si>
  <si>
    <t>EL SBT GRANADOS REALIZA INSPECCION AL ESTABLECIMIENTO DEL BANCO W</t>
  </si>
  <si>
    <t>CASA CAPITAN GRAJALES</t>
  </si>
  <si>
    <t>Sale M3 conducida por Sbt Gaviria a la casa del Cpt Grajales a racogerlo para llevarlo al hospital, pues se siente indispuesto de salud.</t>
  </si>
  <si>
    <t>SENTRO RECREACIONAL LA SIRENA</t>
  </si>
  <si>
    <t>Se presenta una persona lecionada dentro de la piscina, a quien el Sbt Granados le presta primeros auxilios. El señor llamado Luis Alfredo Avendaño presentaba una contucion en la tarte izquierda de la cabeza</t>
  </si>
  <si>
    <t>DIFARMA CLL 13 # 11 - 33 LOCAL 103</t>
  </si>
  <si>
    <t>Sale M6 conducida por el Sbt Granados hacia el establecimiento Difarma a realizar visita de seguridad</t>
  </si>
  <si>
    <t>35 MIN</t>
  </si>
  <si>
    <t>CANAL DE RIEGO AGRICOLA</t>
  </si>
  <si>
    <t>Informa el señor Luis German de un vehiculo con riesgo de caer a la canal. Se despacha M3 con 5 unidades para el sitio a realizar labores de prevencion; por ultimo se informa que el vehiculo fue retirado con ayuda de un tractor</t>
  </si>
  <si>
    <t>Sale M6 x Sbt Granados a realizar inspeccion a el establecimiento comercial Banco W</t>
  </si>
  <si>
    <t>CLL 14 # 13 - 25</t>
  </si>
  <si>
    <t>Sale M6 x Sbt Granados a realizar visita de seguridad a los etablecimientos comerciales de Yamavalle y posterior a Lili Pink</t>
  </si>
  <si>
    <t>CRA 15 # 16 - 39</t>
  </si>
  <si>
    <t>Luego de ralizar visita de seguridad a Yamavalle el  Sbt Granados continua a realizar visita de seguridad al etablecimiento comerciales Lili Pink</t>
  </si>
  <si>
    <t>VIA DESPENSA VEREDA COSTARICA</t>
  </si>
  <si>
    <t>DESPENSA LA PLAYITA</t>
  </si>
  <si>
    <t>VISITA SE SEGURIDAD</t>
  </si>
  <si>
    <t>3 H 23 MIN</t>
  </si>
  <si>
    <t>FUNERARIA JARDINES DEL RENACER Y PASAJE BELEN</t>
  </si>
  <si>
    <t>Sale M6 x SBT Granados a realisar visita de seguridad a los estacblecimientos comerciales de la Funeraria Jardines del Renacer y Pasaje Belen</t>
  </si>
  <si>
    <t>2 H 55 MIN</t>
  </si>
  <si>
    <t>20:27 Se recibe reporte por parte de la señora Monica Gomez sobre un equino que cae a la canal de riego; 20:52 Sale M5 x SBT Granados y 7 unidades mas al lugar; 21:04 se establece PC Los Lagos; 20:27 Se informa el rescate exitoso del animal procediendo a recoger material y regresando a las instalaciones; 23:03 arribo a la estacion.</t>
  </si>
  <si>
    <t>36 MIN</t>
  </si>
  <si>
    <t>CR 19 # 13 - 63</t>
  </si>
  <si>
    <t>Sale la M2 con 4 unidades a atender el llamado de un corto circuito que se esta generamdo en el contador de una vivienda, se comunica con la empresa celsia la situacion y se hace el corte de suministro de energia</t>
  </si>
  <si>
    <t>1 H 9 MIN</t>
  </si>
  <si>
    <t>Finca La Francia</t>
  </si>
  <si>
    <t>Se recibe reporte en horas de la mañana, sobre unas abejas que se encuentran ubicadas en la finca la Francia, por parte de la señora Carolina Castillo. Quedando programada para verificar la situacion en horas de la tarde. 17:49 sale M4 x SGT Derian con el BRO Juan Jose Coronado a revisar el sitio; 18:40 regreran las unidades, informando que se programa el control para el dia siguiente.</t>
  </si>
  <si>
    <t>CINEMA</t>
  </si>
  <si>
    <t>1 H 25 MIN</t>
  </si>
  <si>
    <t>CRA 14 # 15 - 46</t>
  </si>
  <si>
    <t>MOTOUVA</t>
  </si>
  <si>
    <t>El Sbt Granados realiza inspeccion al establecimiento comercial MOTOUVA</t>
  </si>
  <si>
    <t xml:space="preserve">CLL 14 # 13 - 25 </t>
  </si>
  <si>
    <t>El Sbt Granados realiza 2da visita de seguridad al establecimiento comercial de Yamavalle</t>
  </si>
  <si>
    <t>CLL 20 # 8-02</t>
  </si>
  <si>
    <t>BRISAS</t>
  </si>
  <si>
    <t>INUNDACIO POR FUERTE LLOVISNA</t>
  </si>
  <si>
    <t>TIENDA EL JULI</t>
  </si>
  <si>
    <t>INUNDACION POR FUERTE AGUACERO</t>
  </si>
  <si>
    <t>CR 21 CON CLL 15</t>
  </si>
  <si>
    <t>CRA 24 # 12-16</t>
  </si>
  <si>
    <t>CRA 13 # 23-80</t>
  </si>
  <si>
    <t>TRASVERSAL 15 # 21-120</t>
  </si>
  <si>
    <t>CLL 12 # 10-23</t>
  </si>
  <si>
    <t>CLL 22 # 14-39</t>
  </si>
  <si>
    <t>CRA 9 # 16-54</t>
  </si>
  <si>
    <t>URBANIZACION LA HERMITA</t>
  </si>
  <si>
    <t>CR 17 CON CLL 19</t>
  </si>
  <si>
    <t>KL 3 VIA LA UNION LA VICTORIA</t>
  </si>
  <si>
    <t>RAMA DE ARBOL QUE CALLO SOBRE LA VIA</t>
  </si>
  <si>
    <t>Entreda Finca La Francia</t>
  </si>
  <si>
    <t>Se recibe reporte de un arbol caido por parte de la señora Liliana Ortigoza, a lo cual se despacha el personal para atender la situacion</t>
  </si>
  <si>
    <t>1 H 45 MIN</t>
  </si>
  <si>
    <t>Sale el SGT Derian y el SGT Rivera a realizar corte de una rama caida via San Luis</t>
  </si>
  <si>
    <t>CAPILLA LA ERMITA</t>
  </si>
  <si>
    <t>INFORMA EL SEÑOR EDWIN MAURICIO AGUDELO SOBRE UN ENJAMBRE DE ABEJAS EN LA CAPILLA LA ERMITA</t>
  </si>
  <si>
    <t>1 H 15 MIN</t>
  </si>
  <si>
    <t>CRA 16 # 21 - 55</t>
  </si>
  <si>
    <t>Se recibe reporte de incendio estructural por parte de la concejal Mary Luz. Sale M2 X Sgt Derian al mando del Sgt Rivera con 4 unidades mas, al llegar al sitio se evidencia la situacion controlada por parte de la comunidad, se procede al ingreso del Sbt Granados y Bro Coronado realizando enfriamiento, se pide ventilador y estenciones para realizar ventilacion por parte de las unidades, finalmente se controla la situacion y se procede regresar a la situacion.</t>
  </si>
  <si>
    <t xml:space="preserve"> LA CAMPESINA</t>
  </si>
  <si>
    <t>VIVIENDA CONSTRUIDA EN GUADUA Y OJALATA QUE SE DEPLOMA</t>
  </si>
  <si>
    <t>Childrensplay</t>
  </si>
  <si>
    <t>Cll 14 # 17 - 69</t>
  </si>
  <si>
    <t>Visita de seguridad</t>
  </si>
  <si>
    <t>1 H 20 MIN</t>
  </si>
  <si>
    <t>CONFI CAFE CR 14 # 14 - 43</t>
  </si>
  <si>
    <t>Visita de Seguridad</t>
  </si>
  <si>
    <t>UNA HORA Y VEINTE MINUTOS</t>
  </si>
  <si>
    <t>KR 13#14-43</t>
  </si>
  <si>
    <t>Se despacha personal para el control de avispas y abejas programado dias atras, con funcionarios de la finca La Francia</t>
  </si>
  <si>
    <t>1 H 40 MIN</t>
  </si>
  <si>
    <t>VIA PANORAMA, POR EL PUENTE SAN LUIS</t>
  </si>
  <si>
    <t>Se recibe llamado reportando caida de un arbol sobre la via, porparte del señor Fredy. Se despacha a las 23:00 M2 conducida por el Sbt Gaviria en compañia de la Bro Mary a realizar inspeccion de la situacion mientras se gestiona mas personal, a las 23:13 llega al sitio se encuentran con un patrullero de carreteras Jhon Morales Cc 1097396094 y conductores tratando de liberar una parte de la carretera. Solicitan la motocierra, a las 23:37 se despeacha M5 conducida por el Sgt Derian en compañoa del Cpt Fierro y el Bro Coronado Juan, a llevar las motosierras, a las 23:43 llega M5 al lugar y a las 23:48 inician labores de remocion, finalizando por completo las labores de remocion a las 00:29, retirandose a las 00:31 y llegando al cuartel a las 00:40. Nota: Al sitio se desplazaron por sus propios medios las unidades Cbo Rosa y Sgt Rivera a apoyar la situacion.</t>
  </si>
  <si>
    <t>21:18 Se recibe reporte por parte del Tt. Castro, sobre una motocicleta incendiandose, 21:27 se despacha la M2 con 3 unidades al mando de Sbt. Bedoya, 21:30 llegando al sitio se evidencia que ya el fuego ha sido extinguido, las unidades al ver la situacion bajo control proceden a retirarse del sitio, dejando la escena en manos de transito.</t>
  </si>
  <si>
    <t>FRENTE AL COLEGIO ARGEMIRO ESCOBAR CARDONA</t>
  </si>
  <si>
    <t>16:29 Se recibe reporte de un corto circuito frente al colegio argemiro escobar cardona, a lo cual se establece comunicacion con funcionarios de la empresa celsia para que asistan al lugar, 16:50 sale la M5 conducida por el Sgt. Derian, a cargo del Tt. Castro con 2 unidades mas a realizar labores de prevencion. Al llegar al sitio ya se encontraban los funcionarios en el lugar. El echo se presenta a causa de una comenta que cae en las redes electricas. Las Unidades al tener la escena controlada, proceden a regresar al cuartel.</t>
  </si>
  <si>
    <t>TRES HORAS TREINTA Y CINCO MIUTOS</t>
  </si>
  <si>
    <t>KR 26 # 20-83</t>
  </si>
  <si>
    <t>SILOE</t>
  </si>
  <si>
    <t xml:space="preserve">INSPECION DE SEGURIDAD POR MOVIMIENTO DE MASA </t>
  </si>
  <si>
    <t>CLL 14 # 13-62</t>
  </si>
  <si>
    <t xml:space="preserve">INSPECION DESURIDAD </t>
  </si>
  <si>
    <t>KRA 15 # 17-25</t>
  </si>
  <si>
    <t>CR 12 # 8 - 75</t>
  </si>
  <si>
    <t xml:space="preserve">Sale el SBT Granados a realizar revision del panal de abejas y se programa el coontrol a las 16:00 horas </t>
  </si>
  <si>
    <t>Papeleria Universal y Almacenes Flamingo</t>
  </si>
  <si>
    <t>LA LOCURA PAISA</t>
  </si>
  <si>
    <t>15 MIN</t>
  </si>
  <si>
    <t>Bellavista</t>
  </si>
  <si>
    <t>Se reporta un cilindro con desgaste que presenta fuga de gas, se desplaza personal al sitio para realizar labores de prevencion; El dueño autoriza retirar y desechar el cilindro del sitio.</t>
  </si>
  <si>
    <t>CLL 11</t>
  </si>
  <si>
    <t>Se dirige personal a realizar lavado de una calle</t>
  </si>
  <si>
    <t>CLL 13#20-217</t>
  </si>
  <si>
    <t>MANZANA D CASA 22</t>
  </si>
  <si>
    <t>URB. LOS VIÑEDOS</t>
  </si>
  <si>
    <t>UNA HORA Y TREINTA Y CUATRO MINUTOS</t>
  </si>
  <si>
    <t xml:space="preserve">VIA A SANLUIS </t>
  </si>
  <si>
    <t>LOS VIÑEDOS MANZANA D CASA 2</t>
  </si>
  <si>
    <t xml:space="preserve">VEHICULO INCENDIADO CON RIESGO DE VIVIENDA </t>
  </si>
  <si>
    <t>Informan sobre la caida de un invernadero de semilas, se dan recomendaciones de seguridad y se retiran del sitio</t>
  </si>
  <si>
    <t>25 MIN</t>
  </si>
  <si>
    <t>TIENDA MEDICA</t>
  </si>
  <si>
    <t>CALLE 21 N° 15-26</t>
  </si>
  <si>
    <t xml:space="preserve">REHUBICACION DE OFIDICO (CULEBRA) QUE SE ENCONTRABA EN UN ESTABLECIMIENTO COMERCIAL </t>
  </si>
  <si>
    <t xml:space="preserve">FINCA EL PORVENIR </t>
  </si>
  <si>
    <t xml:space="preserve">SANLUIS </t>
  </si>
  <si>
    <t xml:space="preserve">CONTROS DE ABEJAS </t>
  </si>
  <si>
    <t>SALEN UNIDADES A REALIZAR CORTE DE ARBOL VIA SAN LUS</t>
  </si>
  <si>
    <t>CR 21 # 12 - 103</t>
  </si>
  <si>
    <t>RESCATE DE UN GATO ATRAPADO EN UNA CANAL DE UN SEGUNDO PISO</t>
  </si>
  <si>
    <t xml:space="preserve">CLL 13 CARCA AL CLU DE LEONES </t>
  </si>
  <si>
    <t>9/10/0221</t>
  </si>
  <si>
    <t xml:space="preserve">CARRERA 12 CALLE 13 </t>
  </si>
  <si>
    <t xml:space="preserve">RECUPERACION DE ABEJAS Y REUBICACION DE LAS MISMAS </t>
  </si>
  <si>
    <t>CRA 20A 12-09</t>
  </si>
  <si>
    <t>URB. LA VIÑA</t>
  </si>
  <si>
    <t>2 FELINOS QUE SE QUEDARON ATRAPADOS EN UN TUBO</t>
  </si>
  <si>
    <t xml:space="preserve">Calle 17 # 21- 43 </t>
  </si>
  <si>
    <t>Bella Vista</t>
  </si>
  <si>
    <t>Central Buenas tardes para reportar le fuga de gas en la Calle 17 número 21- 43 Barrio Bella Vista a las 15:26 se recibe reporte por parte de la bombero Mari fierro, a las 15:30 se despacha m2 con 5 unidades al mando del Sargento Rivera se establece comunicación con funcionarios de gases de occidente y a las 15:39 se llega al sitio, a las 15:46 llega el técnico de gases de occidente el lugar, a las 16:13 Se informa que situación controlada no hubo viviendas ni personas afectadas</t>
  </si>
  <si>
    <t>UNA HORA QUINCE MINUTOS</t>
  </si>
  <si>
    <t>KR 17#19-44</t>
  </si>
  <si>
    <t>FUGA DE GAS POR ROTURA DE MANGUERA DOMICILIARIA</t>
  </si>
  <si>
    <t>CLL 17 # 21 - 46</t>
  </si>
  <si>
    <t>Se recibe reporte de vivienda inundad, a lo que se despacha M2 conducida por el Sgt derian a cargo del Sbt Zapata y 2 unidades mas, al llegar al sitio se procede a apoyar a los ocupantes con labores de limpieza y evacuacion del agua de la vivienda.</t>
  </si>
  <si>
    <t>CLL 17 CON CRA 18</t>
  </si>
  <si>
    <t>El Jardin</t>
  </si>
  <si>
    <t>Informan de huecos profundos llenos de agua, poco visibles, a lo que se despacha M3 conducida por el Sgt Herrera a cargo del Tt Castro y 2 unidades. Llevan motobomba, al sitio llega la M2 a apoyar las labores.</t>
  </si>
  <si>
    <t>KR 14 # 15-46</t>
  </si>
  <si>
    <t>1 H 35 MIN</t>
  </si>
  <si>
    <t>CENTRO DE DIAGNOSTICO AUTOMOTOR UVAS SAS</t>
  </si>
  <si>
    <t>FUNERARIA LA OFRENDA</t>
  </si>
  <si>
    <t>CLL 10 # 13 - 65</t>
  </si>
  <si>
    <t>SE DIRIGEN UNIODADES A REALIZAR LABORES DE APERTURA DE UNA PUERTA EN UN SEGUNDO PISO</t>
  </si>
  <si>
    <t>DISFARMA</t>
  </si>
  <si>
    <t>UBR. PORTAL DE LA ANDINA</t>
  </si>
  <si>
    <t>Se dirigen nuevamente las unidades a realizar el control en el lugar, esta vez con las herramientas necesarias para retirar a las abejas del sitio</t>
  </si>
  <si>
    <t>AGRODISTRIBUIDORA EL CAMPO</t>
  </si>
  <si>
    <t>CLL 15#14-66 LA LOCURA PAISA</t>
  </si>
  <si>
    <t>KR 11#8A24Y35</t>
  </si>
  <si>
    <t>3 H 25 MIN</t>
  </si>
  <si>
    <t>LA LOCURA PAISA Y EXPORTACIONES COLOMBIANAS SAS</t>
  </si>
  <si>
    <t>RECORRIDO QUEBRADA</t>
  </si>
  <si>
    <t>ACOMPAÑAMIENTO CON LA ALCALDIA A REALIZAR RECORRIDO A LA QUEBRADA</t>
  </si>
  <si>
    <t>CALLE 15#18-77</t>
  </si>
  <si>
    <t xml:space="preserve">CONTROL DE AVISPAS </t>
  </si>
  <si>
    <t>SE DIRIGEN UNIDADES A REALIZAR CORTE DE ARBOL CAIDO EN ELCAUCE DE LA QUEBRADA LA UNION</t>
  </si>
  <si>
    <t>JOSE EUSEBIO CARO</t>
  </si>
  <si>
    <t>SE REALIZA CAPACITACION EN LA SEDE DEL COLEGIO ARGEMIRO</t>
  </si>
  <si>
    <t>ESTACION DE POLICIA</t>
  </si>
  <si>
    <t>SE DIRIGE UNA UNIDAD A DAR CAPACITACION AL PERSONAL DE POLICIA</t>
  </si>
  <si>
    <t>FUGA DE GAS POR ROTURA DE TUBO</t>
  </si>
  <si>
    <t>CLL 16#11-32</t>
  </si>
  <si>
    <t>CABECERA UNI TV</t>
  </si>
  <si>
    <t>KR 15 # 15-12</t>
  </si>
  <si>
    <t>BANCO DAVIVIENDA</t>
  </si>
  <si>
    <t>DESMOTADORA</t>
  </si>
  <si>
    <t>INFORMAN VEHICULO VOLCADO, CON PERSONA ATRAPADA EN SU INTERIOR</t>
  </si>
  <si>
    <t>BIBLIOTECA MUNICIPAL</t>
  </si>
  <si>
    <t>CONTROL DE ABEJAS, REPROGRAMADO PARA UNA NUEVA VISITA</t>
  </si>
  <si>
    <t>KR 17#10-47</t>
  </si>
  <si>
    <t>ENJAMBRE DE ABEJAS EN VIVIENDA</t>
  </si>
  <si>
    <t>CALL 14</t>
  </si>
  <si>
    <t xml:space="preserve">FACTORIA LA RIVERA GRAJALES </t>
  </si>
  <si>
    <t>INSPECION PARA CONCIERTO</t>
  </si>
  <si>
    <t>VIA TORO, PUENTE EL RODEO</t>
  </si>
  <si>
    <t>EL SBT AGUIRRE REPORTA ARBOL CAIDO EN LA VIA, SALEN UNIDADES A ATENDEL LA SITUACION</t>
  </si>
  <si>
    <t>1 H 3 MIN</t>
  </si>
  <si>
    <t xml:space="preserve">CLL 14 CRA 14 </t>
  </si>
  <si>
    <t>REPORTAN GRANDE FUGA DE GAS EN EL LOCAL DE ZAPATOS UBICADO MAS ABAJO DE TRANSANDINA</t>
  </si>
  <si>
    <t>POSTE METALICO QUE AL PARECER TIENE ENERGIA</t>
  </si>
  <si>
    <t>GASES DE OCCIDENTE</t>
  </si>
  <si>
    <t>ALMACEN MIS PASOS</t>
  </si>
  <si>
    <t>34 MIN</t>
  </si>
  <si>
    <t>ALMACEN TOMATICOS</t>
  </si>
  <si>
    <t>INFORMAN DE LA PRESENCIA DE HUMO EN LA ZONA</t>
  </si>
  <si>
    <t>KR 14 CON CALLE 16</t>
  </si>
  <si>
    <t xml:space="preserve">FUGA DE GAS NATURAL POR DAÑO EN LA TUBERIA </t>
  </si>
  <si>
    <t>CALLE 21 CON 24</t>
  </si>
  <si>
    <t>VEHICULO INCENDIADO, CONTROLADO POR LA COMUNIDAD Y RETIRADO DEL SITIO</t>
  </si>
  <si>
    <t>COLEGIO JOSE EUSEBIO CARO</t>
  </si>
  <si>
    <t>CLL 12 B # 23 A - 27</t>
  </si>
  <si>
    <t>17 MIN</t>
  </si>
  <si>
    <t>CRA 15 # 14 - 35</t>
  </si>
  <si>
    <t>VACAS QUE CAEN EN UN LAGO</t>
  </si>
  <si>
    <t>FACTORIA LA RIVERA CLL 14</t>
  </si>
  <si>
    <t>RYAM CASTRO</t>
  </si>
  <si>
    <t>FACTORIA LA RIVERA</t>
  </si>
  <si>
    <t xml:space="preserve">20 MIN </t>
  </si>
  <si>
    <t>FINCAS ALBERTO ARISTIZABAL</t>
  </si>
  <si>
    <t>INFORMAN DE INCENDIO EN LA FINCAS DEL SEÑOR ARISTIZABAL, SE DESPACHAN UNIDADES, PERO INFORMAN QUE EL FUEGO FUE CONTROLADO, POR LO TANTO PROCEDEN A REGRESAR A LA ESTACION</t>
  </si>
  <si>
    <t>6 H</t>
  </si>
  <si>
    <t>QUEBRADA EL JORDAN</t>
  </si>
  <si>
    <t>CORTE DE ARBOL CAIDO EN EL CAUSE DE LA QUEBRADA</t>
  </si>
  <si>
    <t>CLL 14 # 16 - 52</t>
  </si>
  <si>
    <t>INFORMAR SOBRE QUE QUE ESTA GENERANDO MUCHO HUMO, PERJUDICANDO A LA COMUNIDAD</t>
  </si>
  <si>
    <t>CONFICAFE</t>
  </si>
  <si>
    <t>VISITA DE SEGURIDA</t>
  </si>
  <si>
    <t>CRA 15 CON CLL 16</t>
  </si>
  <si>
    <t>LA PIKETA FOOL DRINKS</t>
  </si>
  <si>
    <t>GUARDERIA CHILDREN PLACE</t>
  </si>
  <si>
    <t>UNIDROGAS S.A</t>
  </si>
  <si>
    <t>UNA HORA Y MEDIA</t>
  </si>
  <si>
    <t>RESTAURANTE CHINO</t>
  </si>
  <si>
    <t>RESTAURANTE CHINO LA COLOMBIANA</t>
  </si>
  <si>
    <t xml:space="preserve">DOS HORAS CON QUINCE MINUTOS </t>
  </si>
  <si>
    <t>ACOMPAÑAMIENTO CABALGATA INFANTIL</t>
  </si>
  <si>
    <t xml:space="preserve">CORREJIMIENTO DE SANLUIS </t>
  </si>
  <si>
    <t xml:space="preserve">RESCATE DE UNA VACA Q CAE A UN POSSO </t>
  </si>
  <si>
    <t>CALLE 14 CON CR 14</t>
  </si>
  <si>
    <t>CRA 15 FRENTE A LA POLICIA</t>
  </si>
  <si>
    <t>REVISION DE TARIMA PARA FIESTAS DELMUNICIPIO</t>
  </si>
  <si>
    <t xml:space="preserve">1:30 </t>
  </si>
  <si>
    <t>KL1 VIA LA UNION ROLDANILLO</t>
  </si>
  <si>
    <t>2 H 20 MIN</t>
  </si>
  <si>
    <t>CLL 13 # 20 - 92</t>
  </si>
  <si>
    <t>REPORTAN RUPTURA DE TUBERIA EN VIA PUBLICA</t>
  </si>
  <si>
    <t>CRA 14 CON CALLE 15</t>
  </si>
  <si>
    <t>PARQUE CENTRO</t>
  </si>
  <si>
    <t>MOTO INCENDIADA</t>
  </si>
  <si>
    <t>DOS HORAS CON DIEZ</t>
  </si>
  <si>
    <t>KR 15 # 12-53</t>
  </si>
  <si>
    <t>INFORMAN LA PRECENCIA DE HUMO A CAUSA DE UNA QUEMA EN AREA ALEDAÑA A SAN LUIS, SE DIRIGEN UNIDADES A VERIFICAR LA SITUACION, PERO NO SE OBSERVA MAYOR NOVEDAD Y PROCEDEN A REGRESAR A LA ESTACION</t>
  </si>
  <si>
    <t>1:00</t>
  </si>
  <si>
    <t>FINCA BELLARELY</t>
  </si>
  <si>
    <t>AVICOLA COLOMBIA PIMPOLLO</t>
  </si>
  <si>
    <t>CONSULTORIO LINA SARRIA</t>
  </si>
  <si>
    <t>VISITA DE SEGURIDA Y ENTREGA DE CERTIFICADOS GRANJA AVICOLA - TIENDA NATURISTA</t>
  </si>
  <si>
    <t>CALLE 8 # 17-80</t>
  </si>
  <si>
    <t>TUBO DE GAS ROTO POR CONSTRUCCION</t>
  </si>
  <si>
    <t>2:00</t>
  </si>
  <si>
    <t>FARMACIA COSMITEC</t>
  </si>
  <si>
    <t>CLL 14 CON CR 13 ESQUINA</t>
  </si>
  <si>
    <t>3:00</t>
  </si>
  <si>
    <t>MONITOREO DEL CAUDAL DEL CAUCA</t>
  </si>
  <si>
    <t>6:00</t>
  </si>
  <si>
    <t>ENENTO DEPORTIVO</t>
  </si>
  <si>
    <t>DOS HORAS DIEZ MINUTOS</t>
  </si>
  <si>
    <t>CALLE 15#15-48</t>
  </si>
  <si>
    <t>INSPECION DE SEGURIDAD ALMACEN QUEST</t>
  </si>
  <si>
    <t xml:space="preserve">DERRAME DE COMBUSTIBLE </t>
  </si>
  <si>
    <t>KL 1 VIA LA UNION LA VICTORIA ESTACION 115</t>
  </si>
  <si>
    <t>SIMULACRO PREVISTO POR LA COMPAÑIA ELECTRICA CELCIA</t>
  </si>
  <si>
    <t>DOS HORAS CON CUARENTA MINUTOS</t>
  </si>
  <si>
    <t xml:space="preserve">VIA LA UNION SANLUIS </t>
  </si>
  <si>
    <t>BARRIO PRADOS DEL NORTE</t>
  </si>
  <si>
    <t xml:space="preserve">FUGA DE GAS POR ROTURA DE TUBERIA </t>
  </si>
  <si>
    <t>3  H</t>
  </si>
  <si>
    <t>VIA EL AJIZAL</t>
  </si>
  <si>
    <t>CR 16 CON CALLE 18 ESQUINA</t>
  </si>
  <si>
    <t>LA GALERIA</t>
  </si>
  <si>
    <t>INCENDIO EN UNA FREIDORA</t>
  </si>
  <si>
    <t>1 H 14 MIN</t>
  </si>
  <si>
    <t>MI DROGUERIA Y.Y</t>
  </si>
  <si>
    <t>FRENTE A BOMBEROS</t>
  </si>
  <si>
    <t>UNA HORA TREINTA</t>
  </si>
  <si>
    <t>KR 24#12-98</t>
  </si>
  <si>
    <t xml:space="preserve">PERSONA QUE CAE DE UN ANDAMIO </t>
  </si>
  <si>
    <t xml:space="preserve">Con las buenas tardes central, para reportar como novedad un incendio vehicular vía a la vereda Sabanazo:
14:13 Se recibe información de un incendio vehicular por parte de los compañeros de Bomberos Zarzal, a quienes llama y reporta la emergencia la señora Dulsay Cel: 3164163446
14:25 Sale M2 conducida por el Sbt. Granados al mando del Sgt. Giraldo con 3 unidades mas
14:40 Sale M3 conducida por el Sgt. Derian con la Cbo. Rosa como unidad de apoyo
14:42 Informan llegada al sitio e inicio del control de la emergencia
14:45 Informan que la situación ha sido controlada
15:59 Regresan sin novedad a la estación
Información adicional: 
Propietario del vehículo: Norberto Abendaño 
C.C: 6356129
Placas: DTR 978
Pérdida total de vehículo 
Posibles causas del incendio, por corto circuito
</t>
  </si>
  <si>
    <t>6/06/0022</t>
  </si>
  <si>
    <t>08/01/0022</t>
  </si>
  <si>
    <t>11/02/0003</t>
  </si>
  <si>
    <t>18/01/0023</t>
  </si>
  <si>
    <t>20/02/0232</t>
  </si>
  <si>
    <t>MAYO</t>
  </si>
  <si>
    <t>JULIO</t>
  </si>
  <si>
    <t>AGOSTO</t>
  </si>
  <si>
    <t>SEPTIEMBRE</t>
  </si>
  <si>
    <t>OCTUBRE</t>
  </si>
  <si>
    <t>NOVIEMBRE</t>
  </si>
  <si>
    <t>DICIEMBRE</t>
  </si>
  <si>
    <t>TOTAL</t>
  </si>
  <si>
    <t>AÑO</t>
  </si>
  <si>
    <t>COLAPSO DE TECHOS</t>
  </si>
  <si>
    <t>ENTRENOS</t>
  </si>
  <si>
    <t>REUNIÓN DE CMGRD</t>
  </si>
  <si>
    <t>REUNIÓN DE OFICIALES</t>
  </si>
  <si>
    <t>BUSCAR</t>
  </si>
  <si>
    <t>CUERPO DE BOMBEROS VOLUNTARIOS - LA UNIÓN VALLE</t>
  </si>
  <si>
    <t xml:space="preserve">CONSOLIDAD ESTADÍSTICO DE: </t>
  </si>
  <si>
    <t>CAÍDA / CORTES DE ARBOL</t>
  </si>
  <si>
    <t>LABORES DE PREVENCION O ACOMPAÑAMIENTO EN GESTION DEL RIESGO</t>
  </si>
  <si>
    <t>MATERIALES PELIGROSOS / DERRAMES</t>
  </si>
  <si>
    <t>RESCATE DE PERSONA / PARAPENTE</t>
  </si>
  <si>
    <t>PROM. X MES</t>
  </si>
  <si>
    <t>GRAN TOTAL POR AÑOS</t>
  </si>
  <si>
    <t>PROM. X AÑO</t>
  </si>
  <si>
    <t>PROM. 
X MES</t>
  </si>
  <si>
    <t>PROM. 
X AÑO</t>
  </si>
  <si>
    <t>ENSEGUIDA DEL ESTADIO</t>
  </si>
  <si>
    <t>ATAQUE DE ABEJAS A PERSONAS Y ANIMALES DE LA FINCA</t>
  </si>
  <si>
    <t>IPS SERVISALUD</t>
  </si>
  <si>
    <t>VISITA DE SEGURIDAD A LA IPS SERVISALUD</t>
  </si>
  <si>
    <t>24 HORAS</t>
  </si>
  <si>
    <t>CR 11 CALLE 7</t>
  </si>
  <si>
    <t>EL PARAISO</t>
  </si>
  <si>
    <t>INUNDACIO POR DESBODAMIENTO DE LA QUEBRADA EL LUCERO RESULTANDO AFECTADAD 2 VIVIENDAS, 1 CON RIESGO DE COLAPSO</t>
  </si>
  <si>
    <t>CRA 17 CALLE19</t>
  </si>
  <si>
    <t>SECTOR DE LA GALERIA Y EL JARDIN</t>
  </si>
  <si>
    <t>INUNDACION DE VIVIENDAS POR DESBORDAMIENTO DEL SANJON DE LOS MUERTOS, RESULTANDO AFECTADAS 6 VIVIENDAS</t>
  </si>
  <si>
    <t>B-1, L-2</t>
  </si>
  <si>
    <t>INUNDACION POR DESBORAMIENTO DE LA QUEBRADA RESULTANDO AFECTADAS 6 VIVIENDAS APOYO BOMBEROS LA VICTORIA</t>
  </si>
  <si>
    <t>8 HORAS</t>
  </si>
  <si>
    <t>CRA 18 VILLA ESTERILLA</t>
  </si>
  <si>
    <t>INUNDACION POR DESBORDAMIENTO DE LA QUEBRADA SAN PEDRO RESULTANDO AFECTADAS 18 VIVIENDAS APOYO CBV TORO</t>
  </si>
  <si>
    <t>B-3, L-1</t>
  </si>
  <si>
    <t>BELLA VISTA SECTOR DE PUNTO ROJO</t>
  </si>
  <si>
    <t>INUDACION POR COLAPSO DEL ALCANTARILLADO Y OBRAS DE VIAS POR LA ALCALDIA MNPAL RESULTANDO AFECTADAS 3 VIVIENDAS</t>
  </si>
  <si>
    <t>PUENTE DE LA CIUDADELA</t>
  </si>
  <si>
    <t>POPULAR Y SECTOR DEL MATADERO</t>
  </si>
  <si>
    <t>INUNDACIONES POR AGUAS LLUVIAS Y DESBORDAMIENTO DEL SANJON DE LOS MUERTOS RESULTANDO 9 VIVIENDAS AFECTADAS</t>
  </si>
  <si>
    <t>B-1, B-3, L-2</t>
  </si>
  <si>
    <t>INUNDACION POR DESBORDAMIENTO DE LA QUEBRADA EL LUCERO RESULTANDO AFECTADAS 6 VIVIENDAS .APOYO BOMBEROS ROLDANILLO</t>
  </si>
  <si>
    <t>LAS PALMAS</t>
  </si>
  <si>
    <t>INUNDACION POR DESBORAMIENTO DE LA QUEBRADA EL LUCERO RESULTANDO AFECTADA 1 VIVIENDA</t>
  </si>
  <si>
    <t>INUNDACION POR DESBORDAMIENTO DE LA QUEBRADA SAN PEDRO RESULTA AFECTADA 1 VIVIENDA APOYO BOMBEROS OBANDO</t>
  </si>
  <si>
    <t>INUNDACION POR DESBORDAMIENTO DE LA QUEBRADA SAN PEDRO, RESULTAN AFECTADAS 2 VIVIENDAS APOYO BOMBEROS OBANDO</t>
  </si>
  <si>
    <t>CASETA COMUNAL</t>
  </si>
  <si>
    <t>INUNDACION POR DESBORDAMIENTO DE LA QUEBRADA EL LUCERO RESULTAN AFECTADAS 2 VIVIENDAS UNA CON RIESGO DE COLAPSO A LA ORILLA DE LA QUEBRADA</t>
  </si>
  <si>
    <t>B-2, B-3, L-1</t>
  </si>
  <si>
    <t xml:space="preserve">CRA 17 CALLE 19 </t>
  </si>
  <si>
    <t>LAVADO DE CALLES Y VIVIENDAS EN EL SECTOR DE LA GALERIA,DEBIDO A FUERTE INUNDACION EL DIA ANTERIOR,</t>
  </si>
  <si>
    <t>B-1, B-2, L-2</t>
  </si>
  <si>
    <t>CR 23 22 76</t>
  </si>
  <si>
    <t xml:space="preserve">LA LLEGAR AL SITIO YA LOS VECINOS HABIAN CONTROLADO EL INCENDIO DONDE RESULTO UNA PIESA AFETADA </t>
  </si>
  <si>
    <t>CALLEJON #1 MARTINDOZA</t>
  </si>
  <si>
    <t>ARBOL QUE CAE SOBRE UN CAMION TIPO TURBO OCASIONANDO DAÑOS EN LA CARROCERIA</t>
  </si>
  <si>
    <t>CRA C11 #18 45</t>
  </si>
  <si>
    <t>NIÑA DE 9 AÑOS LA CUAL SE LE QUEDA ATORADO EL PIE, ENTRE LA VIELA Y EL MARCO DE UNA BICICLETA.SIENDO NECESARIO REALIZAR CORTES CON LA CIZALLA PARA LA LIBERACION DE LA EXTREMIDAD</t>
  </si>
  <si>
    <t xml:space="preserve">FINCA LA ISABELLA </t>
  </si>
  <si>
    <t>MARTINDOSA</t>
  </si>
  <si>
    <t xml:space="preserve">SE REALIZA VISTA DE SEGURIDAD PARA EXPEDIR CERTIFICADO </t>
  </si>
  <si>
    <t xml:space="preserve">MARTINDOSA </t>
  </si>
  <si>
    <t xml:space="preserve">SE REALIZA VISITA DE SEGURIDADPARA EXPEDIR CERTIFICADO </t>
  </si>
  <si>
    <t xml:space="preserve">SE REALIZ VISISTA DE SEGURIDAD PARA EXPEDIR CERTIFICADO </t>
  </si>
  <si>
    <t xml:space="preserve">SALON # 3 BOMBEROS </t>
  </si>
  <si>
    <t xml:space="preserve">UN AHORA </t>
  </si>
  <si>
    <t>URB LOS HATEÑOS MANZANA E CASA 5</t>
  </si>
  <si>
    <t xml:space="preserve">AL LLEGAR AL SITIO SE OBSEBBA UNA CULEBRA NEGRA EN EL PATIO DE LA CASA EL CUAL SE PROCEDE A CATURAR Y EXTRAERLA DE LA VIVIENDA Y FUE LIBERADA  EN UNA PARTE BOSCOSA POR LA CANAL DEL RODEO </t>
  </si>
  <si>
    <t>CR 17 17 55</t>
  </si>
  <si>
    <t xml:space="preserve">VERIFICACION DE UN ENJAMBRE DE ABEJAS </t>
  </si>
  <si>
    <t>VARIANTE MOTEL LOS DOS</t>
  </si>
  <si>
    <t>TRACTOMULA QUE CHOCA CON RAMA DE UN ARBOL, CAYENDO SOBRE LA VIA</t>
  </si>
  <si>
    <t xml:space="preserve">FINCA DE LOS PADRES </t>
  </si>
  <si>
    <t>SEMOVIENTE QUE CAE A CANAL DE RIEGO, DE DIFICIL ASCESO PARA EL VEHICULO,LOS PROPIETARIOS DE LA FINCA APOYAN CON PERSONBAL PARA EL RESCATE DEL ANIMAL</t>
  </si>
  <si>
    <t>1 hora</t>
  </si>
  <si>
    <t>PEREZOZO QUE SE QUEDA ATRAPADO EN CUERDAS DE ENERGIA</t>
  </si>
  <si>
    <t>2.50 HORAS</t>
  </si>
  <si>
    <t>REUNION DEL GRUPO ADULTO MAYOR SIEMPRE UNIDOS</t>
  </si>
  <si>
    <t>31 MNTOS</t>
  </si>
  <si>
    <t>CRA 15 VIA PRADOS DEL NORTE</t>
  </si>
  <si>
    <t>PERSONA QUE PIERDE EL CONTROL DE LA MOTOCICLETA POR CAUSA DE UN PERRO,Y COLISIONA CON UN MOTO CARGUERO</t>
  </si>
  <si>
    <t>SALON SOCIAL CUERPOMDE BOMBEROS</t>
  </si>
  <si>
    <t>REUNION DEL GRUPO SEMILAS DE AMOR  DEL ADULTO MAYOR</t>
  </si>
  <si>
    <t>finca la argentina</t>
  </si>
  <si>
    <t>se prndio una simgla aproximadamente 20mts 2</t>
  </si>
  <si>
    <t>CR 8 ENTRE  13 Y 14</t>
  </si>
  <si>
    <t xml:space="preserve">AL LLEGAR AL SITIO SE OBSERVA FUGA DE GAS POR ROTURA EN ESCABACION 
</t>
  </si>
  <si>
    <t>CRA 13 #10 32</t>
  </si>
  <si>
    <t xml:space="preserve">FUGA DE GLP  POR PROBLEMAS EN LA VALVULA DE CIERRE, </t>
  </si>
  <si>
    <t>SALON # 3 BOMBEROS</t>
  </si>
  <si>
    <t xml:space="preserve">REUNION DEL ADULTO MAYOR 42 PERSONA </t>
  </si>
  <si>
    <t xml:space="preserve">RECORRIDO POR EL PUEBLO </t>
  </si>
  <si>
    <t xml:space="preserve">ACOMPAÑAMIENTO CICLO PASEO </t>
  </si>
  <si>
    <t>CRA 17 # 31 17</t>
  </si>
  <si>
    <t>REUNION DEL ADULTO MAYOR SALON # 3</t>
  </si>
  <si>
    <t>CRA 15 CLL 18</t>
  </si>
  <si>
    <t>PEROSONAS ATRAPADAS POR UNA ALUD DE TIERRA</t>
  </si>
  <si>
    <t xml:space="preserve">39 MINUTOS </t>
  </si>
  <si>
    <t xml:space="preserve">PARQUE PRINCIPAL ARGEMIRO ESCOBAR CARDONA </t>
  </si>
  <si>
    <t xml:space="preserve">INCENDIO EN HORNO DE PANADERIA </t>
  </si>
  <si>
    <t>CALLE 18# 11-43</t>
  </si>
  <si>
    <t>FUGA DE GAS EN  TUBERIA</t>
  </si>
  <si>
    <t>CARRERA 13 # 13-64</t>
  </si>
  <si>
    <t xml:space="preserve">KM 1 VIA LA UNION SAN LUIS </t>
  </si>
  <si>
    <t>URBANIZACION LUIS ALFREDO GRAJALES</t>
  </si>
  <si>
    <t xml:space="preserve">QUEMA FORESTAL SALIDA DE CONTROL 
</t>
  </si>
  <si>
    <t>KM 2 VIA LA UNION ROLDANILLO</t>
  </si>
  <si>
    <t>ACCIDENTE DE TRANSITO MOTOCICLETA - JEEP WILLYS</t>
  </si>
  <si>
    <t xml:space="preserve">1.13 MINUTOS </t>
  </si>
  <si>
    <t>CARRERA 13 13 64</t>
  </si>
  <si>
    <t>INSPECCION A ESTABLECIMIENTO PUBLICO</t>
  </si>
  <si>
    <t xml:space="preserve">54  MINUTOS </t>
  </si>
  <si>
    <t>CARRERA 13 CALLE 18 ESQUINA</t>
  </si>
  <si>
    <t>CL 14 16-50  CL 17 14-90</t>
  </si>
  <si>
    <t>POPULAR - LA CRUZ</t>
  </si>
  <si>
    <t>INSPECCION DE SEGURIDAD REMATES KANUTO Y CELLMANIA</t>
  </si>
  <si>
    <t>CARRERA 17 # 12-18</t>
  </si>
  <si>
    <t>INCENDIO VEHICULAR DE UNA MOTO</t>
  </si>
  <si>
    <t xml:space="preserve">FINCA LA FRANCIA </t>
  </si>
  <si>
    <t xml:space="preserve">SAN RAFAEL </t>
  </si>
  <si>
    <t xml:space="preserve">SE QUEMARON 3 PLAZAS EN PASTIZAL EN UNOS LAGOS SIN USO EN LA FINCA EN LA FRANCIA TUBIMOS APOYO DE CBV DE LA VICTORIA CON SEIS UNIDADES </t>
  </si>
  <si>
    <t>B-1, B-2, OTROS</t>
  </si>
  <si>
    <t>CRA 13 # 13-64</t>
  </si>
  <si>
    <t>CL 11 # 12-06</t>
  </si>
  <si>
    <t xml:space="preserve">INCENDIO FORESTAL EN LA FINCA LA FRANCIA AL LLEGAR AL SITIO INFORMAN QUE YA LO HABIAN CONTROLADO </t>
  </si>
  <si>
    <t>B-2, B-3</t>
  </si>
  <si>
    <t xml:space="preserve">CALLE 16 CARRERA 11 ESQUINA </t>
  </si>
  <si>
    <t>QUEMA DE PASTIZAL EN LOTE VALDIO</t>
  </si>
  <si>
    <t xml:space="preserve">KM 3 VIA LA UNION-TORO </t>
  </si>
  <si>
    <t>AL LLEGAR AL SITIO ENCUENTRAN  QUEMA DE PASTIZAL SOBRE LA MONTAÑA DE LA VEREDA PEDREGAL, EN EL SITIO SE QUEMA APROX 3 HECTAREAS DE PASTIZAL SE REALIZA CONTROL CON HERRAMIENTAS DE MANO FUE NECESARIO SOLICITAR EL APOYO DE BOMBEROS TORO  Y BOMBEROS LA VICTORIA.</t>
  </si>
  <si>
    <t xml:space="preserve">1.32 HORAS </t>
  </si>
  <si>
    <t xml:space="preserve">KM 3 VIA LA UNION - LA VICTORIA </t>
  </si>
  <si>
    <t>VEREDA SAN RAFAEL</t>
  </si>
  <si>
    <t xml:space="preserve">INSPECCION ARBOL RAMA SOBRE LA VIVIENDA </t>
  </si>
  <si>
    <t xml:space="preserve">QUINCE MINUTOS </t>
  </si>
  <si>
    <t xml:space="preserve">CUARTEL DE BOMBEROS </t>
  </si>
  <si>
    <t xml:space="preserve">SE REALIZA CORTE DE ANILLO ATORADO EN EL DEDO DE LA NIÑA MARIANA CASTAÑEDA DE 15 AÑOS DE EDAD </t>
  </si>
  <si>
    <t xml:space="preserve">SE REALIZA ACOMPAÑAMIENTO A EVENTO EN EL PARQUE DE SAN PEDRO POR QUEMA DE POLVORA </t>
  </si>
  <si>
    <t xml:space="preserve">EL RODEO </t>
  </si>
  <si>
    <t xml:space="preserve">QUEMA  DE MATERIAL VEGETAL A ORILLA DEL CANAL DE LA PRIMERA CANAL SE REALIZA LA INSTICION  </t>
  </si>
  <si>
    <t>1.57 HORAS</t>
  </si>
  <si>
    <t>EL RODEO VIA SAN LUIS TORO</t>
  </si>
  <si>
    <t>INCENDIO EN  PASTIZAL CON POSIBILIDAD DE AFECTAR CULTIVO DE GUAYABA</t>
  </si>
  <si>
    <t>CL 18A # 15-38</t>
  </si>
  <si>
    <t>CL 18A # 15-38 SEGUNDO PISO</t>
  </si>
  <si>
    <t>CL 23 15-06</t>
  </si>
  <si>
    <t>CR 14 # 15-20</t>
  </si>
  <si>
    <t>CL 15 15 37</t>
  </si>
  <si>
    <t>PARED QUE ESTABA CALIENTE</t>
  </si>
  <si>
    <t>2.04 HORAS</t>
  </si>
  <si>
    <t>TIENDA DE BELLEZA GLAMOUR CHILAX MUNDIAL TENIS NILOP TIENDA DE ROPA  CLON TIENDA DE ROPA</t>
  </si>
  <si>
    <t xml:space="preserve">ZONA CENTRO </t>
  </si>
  <si>
    <t xml:space="preserve">INSPECCION CON CAMARA TERMICA A PARED QUE PRESENTA ALTA TEMPERATURA SIN UN PUNTO DE ORIGEN </t>
  </si>
  <si>
    <t>CR 11 CON CLL 9    9-102</t>
  </si>
  <si>
    <t>INCENDIO EN FABRICA FRUTIOROS</t>
  </si>
  <si>
    <t>B-2, B-3, B-4</t>
  </si>
  <si>
    <t>portachuelo picacho</t>
  </si>
  <si>
    <t>portachuelo</t>
  </si>
  <si>
    <t xml:space="preserve">se realiza inspecion de unas abejas no se pudo hacer control por que estan muy altas toca cordinar para cojerlas 
</t>
  </si>
  <si>
    <t>EL AMPARO VIA SAN LUIS KM0.5</t>
  </si>
  <si>
    <t>QUEMA DE PASTIZAL,QUESE PASA AUN CULTIVO DE GUAYABA</t>
  </si>
  <si>
    <t>B-2, L-1</t>
  </si>
  <si>
    <t xml:space="preserve">CINCO HORAS Y Y MEDIA </t>
  </si>
  <si>
    <t xml:space="preserve">SE REALIZA REPARTICION DE AGUA POTABLE  ALAS VIVIENDAS POR DAÑO EN EL SISTEMA DE ABASTECIMIENTO EN LA VEREDA </t>
  </si>
  <si>
    <t>CARR 13 BCON CALLE 10</t>
  </si>
  <si>
    <t xml:space="preserve">AL LLEGAR AL SITIO SE OBSERVA UN CAMION QUE TUMBA POSTE Y LE QUEDA ENCIMA DE CARROCERIA AL NO HABER LECIONADO SE LE RECOMIENDA CONTRATAR UNA GRUA PARA LIBERAR EL CAMION </t>
  </si>
  <si>
    <t xml:space="preserve">ROMBOY EL AMPARO AL PARQUE </t>
  </si>
  <si>
    <t xml:space="preserve">ACOMPAÑAMIENTO DESFILE DEL DI ADE LA VIRGEN DE TRAS ANDINA </t>
  </si>
  <si>
    <t xml:space="preserve">TRE SHORAS Y MEDIA </t>
  </si>
  <si>
    <t xml:space="preserve">SE REALIZA SUMINISTRO DE AGUA A LAS VIVIENDAS DE LA VEREDAD LA ISLA POR DAÑO EN EL SISTEMA DE ABASTECIMIENTO </t>
  </si>
  <si>
    <t xml:space="preserve">CUATRO HORAS Y MEDIA </t>
  </si>
  <si>
    <t xml:space="preserve">COLICEO </t>
  </si>
  <si>
    <t xml:space="preserve">CELEBRACION DIA DE INDEPENDENCIA LA ALCALDIA MUNICIPAL </t>
  </si>
  <si>
    <t>CLL 19 14 29</t>
  </si>
  <si>
    <t xml:space="preserve">RESCATE DE FELINO LLAMECE GATO QUE STAB AEN UN TECHO DONDE FUE RESCATADO Y ENTREGADO A SU DUEÑO </t>
  </si>
  <si>
    <t>38 MINUTOS</t>
  </si>
  <si>
    <t>TRANSVERSAL 15 VIA SAN LUIS VIVERO LUZ</t>
  </si>
  <si>
    <t>VIA SAN LUIS</t>
  </si>
  <si>
    <t>QUEMA DE PASTIZAL  APROX 200 M2</t>
  </si>
  <si>
    <t xml:space="preserve">INSPECCION ESTABLECIMIENTO M&amp;G SOLUCIONES EFECTIVAS </t>
  </si>
  <si>
    <t xml:space="preserve">24 MIMUTOS </t>
  </si>
  <si>
    <t xml:space="preserve">CRA 11 </t>
  </si>
  <si>
    <t xml:space="preserve">URBANIZACION MIRADOR DE LAS BRISAS </t>
  </si>
  <si>
    <t xml:space="preserve">QUEMA DE BASURA APILADA POR DEFORESTACION </t>
  </si>
  <si>
    <t>MIRADOR DE LAS BRISAS</t>
  </si>
  <si>
    <t>QUEMA DE RESIDUO VEJETAL</t>
  </si>
  <si>
    <t>CL 14 # 13-47</t>
  </si>
  <si>
    <t>45 MINUTOS</t>
  </si>
  <si>
    <t>ADELANTE DEL 2° PASO</t>
  </si>
  <si>
    <t xml:space="preserve">VEREDA PAJARO DE ORO </t>
  </si>
  <si>
    <t>QUEMA DE BASURA SALIDA DE COTROL</t>
  </si>
  <si>
    <t>3 horas</t>
  </si>
  <si>
    <t>CL 15 # 14-50</t>
  </si>
  <si>
    <t>SEGUNDA CANAL CERCA A LA FINCA DE EDUARDO JIMENEZ</t>
  </si>
  <si>
    <t xml:space="preserve">CORSEGA </t>
  </si>
  <si>
    <t xml:space="preserve">FALSA ALARMA AL LLEGAR AL SITIO NO SE OBSERVA NINGUN INCENDIO EL CUAL SE VERIFICO EN VARIAS FINCAS </t>
  </si>
  <si>
    <t>CALLE 14 # 6 - 01</t>
  </si>
  <si>
    <t xml:space="preserve">VISITAS DE SEGURIDAD ESTABLECIMIENTOS FRUTAS SANTI, LA SANDUCHERIA </t>
  </si>
  <si>
    <t xml:space="preserve">URBANIZACION EL AMPARO </t>
  </si>
  <si>
    <t xml:space="preserve">SE HACE CORTE RAMA DE ARBOL Y SE RETIRA DE LA VIA PUBLICA LA UNION TORO </t>
  </si>
  <si>
    <t>CL 19 # 14-23</t>
  </si>
  <si>
    <t>FELINO QUE ESTA EN EL TECHO</t>
  </si>
  <si>
    <t xml:space="preserve">VIA ROLDANILLO EL DOVIO </t>
  </si>
  <si>
    <t xml:space="preserve">LA MONTAÑUELA </t>
  </si>
  <si>
    <t xml:space="preserve">APOYO AL CUERPO DE BOMBEROS ROLDANILLO A INCENDIO FORESTAL EL LA FINCA LA SIERRA VIA AL DOVIO SECTOR LA MOTAÑUELA </t>
  </si>
  <si>
    <t>TRASVERSAL 17 17 55</t>
  </si>
  <si>
    <t xml:space="preserve">SE REALIZA INSPECCION DE ABEJAS Y SE DEJAN RECOMENDACION POR SE ENCUENTRAN DENTRO DE UNA PLANCHA </t>
  </si>
  <si>
    <t xml:space="preserve">ARBOL QUE CAE SOBRE LA VIA GENERANDO DAÑO EN CUERDAS DE ALTA TENSION Y OBSTRUCCION TOTAL  EN LA VIA </t>
  </si>
  <si>
    <t>2.18 MINUTOS</t>
  </si>
  <si>
    <t>SALON SOCIAL 1</t>
  </si>
  <si>
    <t xml:space="preserve">CUERPO DE BOMBROS LA UNION </t>
  </si>
  <si>
    <t xml:space="preserve">REUNION ADULTO MAYOR </t>
  </si>
  <si>
    <t>1.46 HORAS</t>
  </si>
  <si>
    <t>CALLE 15 # 5-55</t>
  </si>
  <si>
    <t xml:space="preserve">INSPECCION DE SEGURIDAD ESTABLECIMIENTO PUBLICO </t>
  </si>
  <si>
    <t xml:space="preserve">1.46 HORAS </t>
  </si>
  <si>
    <t>CALLE 16 # 11-56</t>
  </si>
  <si>
    <t xml:space="preserve">INSPECCION DE SEGURIDAD A ESTABLECIMIENTO PUBLICO </t>
  </si>
  <si>
    <t xml:space="preserve">CARRERA 11 </t>
  </si>
  <si>
    <t xml:space="preserve">VEREDA LUCERO ALTO </t>
  </si>
  <si>
    <t xml:space="preserve">QUEMA DE PASTIZAL EN LA QUE SE QUEMA APROXIMADAMENTE 1 PLAZA </t>
  </si>
  <si>
    <t xml:space="preserve">29 MINUTOS </t>
  </si>
  <si>
    <t>CALLE 19 #18-96</t>
  </si>
  <si>
    <t xml:space="preserve">INCENDIO EN CONTADOR DE ENERGIA  POR CORTO CIRCUITO </t>
  </si>
  <si>
    <t>35 MINUTOS</t>
  </si>
  <si>
    <t>CALLE 18 # 19-02</t>
  </si>
  <si>
    <t xml:space="preserve">RECUPERACION DE UN OFIDIO AL INTERIOR DE UNA VIVIENDA </t>
  </si>
  <si>
    <t>27 MINUTOS</t>
  </si>
  <si>
    <t xml:space="preserve"> VIA LAS TRES CRUCES </t>
  </si>
  <si>
    <t xml:space="preserve">QUEMA DE UNA LLANTA EL CUAL FUE REPORTADO COMO UNA QUEMA DE COBERTURA VEGETAL </t>
  </si>
  <si>
    <t>1.30 MINUTOS</t>
  </si>
  <si>
    <t>CALLE 15 FRENTE A LA ALCALDIA</t>
  </si>
  <si>
    <t>LAVADO DE CALLE RECIEN PAVIMENTADA</t>
  </si>
  <si>
    <t xml:space="preserve">VIA LA UNION - VERSALLES </t>
  </si>
  <si>
    <t xml:space="preserve">SABANAZO </t>
  </si>
  <si>
    <t xml:space="preserve">INCENDIO VEHICULAR LLEGANDO AL MIRADOR VIA A VERSALLES AL LLEGAR AL SITIO ENCUENTRAN MOTOCICLETA TOTALMENTE INCENERADA DE PLACA KIP92C CONDUCIDA POR EL SEÑOR CARLOS OBANDO </t>
  </si>
  <si>
    <t>calle 14 6-01</t>
  </si>
  <si>
    <t>40 minutos</t>
  </si>
  <si>
    <t>klm 1 la union la victoria</t>
  </si>
  <si>
    <t>INCENDIO DE CAPA VEJETAL AL BORDE DE CARRETERA</t>
  </si>
  <si>
    <t>KLM 1 VIA LA UNION LA VICTORIA</t>
  </si>
  <si>
    <t>10 minutos</t>
  </si>
  <si>
    <t xml:space="preserve">carrera 12 entre calle 14 y 15 </t>
  </si>
  <si>
    <t>incendio vehicular</t>
  </si>
  <si>
    <t>KLM 4 VIA LA UNION LA VICTORIA</t>
  </si>
  <si>
    <t>QUEMA DE BASURA AGRICOLA</t>
  </si>
  <si>
    <t>37 MINUTOS</t>
  </si>
  <si>
    <t>COLEGIO PERPETUO SOCORRO</t>
  </si>
  <si>
    <t>AVISPAS QUE ESTABAN ALBOROTADAS Y QUE PICAN UN NIÑO</t>
  </si>
  <si>
    <t>EXTRICACIÓN VEHICULAR</t>
  </si>
  <si>
    <t>RESCATE DE UN PERESOSO</t>
  </si>
  <si>
    <t>FINCA VILLA NIDIA</t>
  </si>
  <si>
    <t>FINCA LOS CORRALES</t>
  </si>
  <si>
    <t>CAIDA DE UNA CUERDA DE ENERGIA</t>
  </si>
  <si>
    <t>ABEJAS ALBOROTADAS EN UNA VIVIENDA</t>
  </si>
  <si>
    <t>2.05 HORAS</t>
  </si>
  <si>
    <t>INCENDIO FORESTAL EN PASTIZAL Y RASTROJO APOYA BROS LA VICTORIA M-2 Y 4 UND</t>
  </si>
  <si>
    <t xml:space="preserve">35 MINUTOS </t>
  </si>
  <si>
    <t>FINCA LAS MARIAS</t>
  </si>
  <si>
    <t xml:space="preserve">BARRIO LA CAMPESINA </t>
  </si>
  <si>
    <t xml:space="preserve">QUEMA DE BASURA QUE SE SALE DE CONTROL </t>
  </si>
  <si>
    <t xml:space="preserve">3.17 HORAS </t>
  </si>
  <si>
    <t xml:space="preserve">5.28 HORAS </t>
  </si>
  <si>
    <t xml:space="preserve">VEREDA EL JORDAN </t>
  </si>
  <si>
    <t>APOYO ABOMBEROS VERSALLES EN INCENDIO FORESTAL EN ZONA BOSCOSA DE EUCALIPTOS</t>
  </si>
  <si>
    <t xml:space="preserve">48 MINUTOS </t>
  </si>
  <si>
    <t>CARRERA 13 CALLE 19</t>
  </si>
  <si>
    <t xml:space="preserve">POPULAR </t>
  </si>
  <si>
    <t>VISITA DE SEGURIDAD A CIRCO</t>
  </si>
  <si>
    <t xml:space="preserve">SE REALIA CORTE DE RAMA DE ARBOL QU ECAE SOBRE LA VIA PUBLICA VIA LA UNION ROLDANIOLLO CON EL APOYO DE FUNCIONARIOS DE ENVIA </t>
  </si>
  <si>
    <t>1.25 HORAS</t>
  </si>
  <si>
    <t xml:space="preserve">CARRERA 13 CALLE 21 </t>
  </si>
  <si>
    <t>INSPECCION A CENTRO DE ACOPIO Y RECICLAJE TORRES</t>
  </si>
  <si>
    <t>REUNION DEL ADULTO MAYO</t>
  </si>
  <si>
    <t>CLL 22 # 15-73</t>
  </si>
  <si>
    <t>YA SE HABIA IDO</t>
  </si>
  <si>
    <t>3 horas 49 minutos</t>
  </si>
  <si>
    <t>INCENDIO FORESTAL EN MONTAÑA</t>
  </si>
  <si>
    <t>DROGUERIAS EXITO</t>
  </si>
  <si>
    <t>B-4, L-1, L-2</t>
  </si>
  <si>
    <t>FINCA DE EDUARDO JIMENEZ</t>
  </si>
  <si>
    <t>INCENDIO FORESTAL APROX. 2 HECTARES</t>
  </si>
  <si>
    <t>FINCA LA NATALIA</t>
  </si>
  <si>
    <t>KL 2 VIA LA UNION LA VICTORIA</t>
  </si>
  <si>
    <t>QUEMA DE RESIDUO AGRICOLA EN FINCA ALEDAÑA NO DEJARON CONTROLAR</t>
  </si>
  <si>
    <t>KL 1 VIA LA UNION SABANAZO</t>
  </si>
  <si>
    <t>INCENDIO EN LA CARRETERA QUE VA DE LA UNION A SABANAZO</t>
  </si>
  <si>
    <t>B-2, B-4, OTROS</t>
  </si>
  <si>
    <t>ACIDENTE DE TRANCITO CON PERSONAS ATRAPADAS</t>
  </si>
  <si>
    <t>SALON SOCIAL 3</t>
  </si>
  <si>
    <t xml:space="preserve">LAS LAJS </t>
  </si>
  <si>
    <t xml:space="preserve">PEATONAL FRENTE A BOMBEROS </t>
  </si>
  <si>
    <t xml:space="preserve">SE REALIZAN DOS CATURAS DE SEPIENTE QUE SE ENCONTRABAN EN LA PEATONAL FRENTE A BOMBEROS </t>
  </si>
  <si>
    <t>VIA LA UNION SABANAZO</t>
  </si>
  <si>
    <t>CORREGIMIENTO SABANAZO</t>
  </si>
  <si>
    <t xml:space="preserve">SE ATIENDE LLAMADO DE LA COMUNIDAD POR INCENDIO FORESTAL VIA A SABANAZO DONDE SE QUEMAN APROXIMADAMENTE DOS HETAREAS DE RASTROJO EN LA FINCAS VILLA LUZ ASITIERON 13 UNIDADES DE LA UNION Y CINCO DE LA VICTORIA </t>
  </si>
  <si>
    <t>B-2, B-3, B-4, L-2</t>
  </si>
  <si>
    <t>SEIS HORAS</t>
  </si>
  <si>
    <t>LA TERCERA CANAL</t>
  </si>
  <si>
    <t>EL BANCO</t>
  </si>
  <si>
    <t xml:space="preserve">SE REALIZA JORNADA DE LIMPIENZA EN LA VEREDA EL BANCO EN COMPAÑIA DE GESTION DE RIESGO 
</t>
  </si>
  <si>
    <t>TRES HORAS Y CUARENTA MINUTOS</t>
  </si>
  <si>
    <t>FUERTE VENDABAL QUE TUMBO VARIOS ARBOLES Y QUEDARON ATRAVEZADOS EN LA VIA Y SE RETIRARON DEJANDO LA VIA HABILITADA</t>
  </si>
  <si>
    <t>GUAVINEROS</t>
  </si>
  <si>
    <t>VEREDA TEJEDAS</t>
  </si>
  <si>
    <t>QUEMA DE PASTIZAL SE QUEMA APROXIMADAMENTE 6400 M2</t>
  </si>
  <si>
    <t>3.47 HORAS</t>
  </si>
  <si>
    <t>FINCA CORCEGA</t>
  </si>
  <si>
    <t>RECUPERACION Y REUBICACION DE ABEJAS</t>
  </si>
  <si>
    <t>EMPRESA ASORUT</t>
  </si>
  <si>
    <t>KM 3 VIA LA UNION - LA VICTORIA</t>
  </si>
  <si>
    <t>RECUPERACION DE ENJAMBRES DE ABEJAS</t>
  </si>
  <si>
    <t>2.2 HORAS</t>
  </si>
  <si>
    <t>FINCA AGUSTIN GRAJALES</t>
  </si>
  <si>
    <t>QUEMA CONTROLADA</t>
  </si>
  <si>
    <t>20/9/0023</t>
  </si>
  <si>
    <t>2.28 HORAS</t>
  </si>
  <si>
    <t>FUNDACION DE LA MUJER CL 14 # 15-76</t>
  </si>
  <si>
    <t>INSPECCION DE SEGURIDAD A ESTABLECIMIENTO PUBLICO</t>
  </si>
  <si>
    <t>CLL 21 14-12</t>
  </si>
  <si>
    <t>URB LAS PALMAS</t>
  </si>
  <si>
    <t xml:space="preserve">SE ATIENDE INCENDIO FORESTAL EN LOTE DE LA URBANIZACION LAS PALMAS QUE SE SALE DE CONTROL CON VIVIENDAS ALEDAÑAS SIN NINGUNA AFECTADA
</t>
  </si>
  <si>
    <t>CALLE 4 # 11-46</t>
  </si>
  <si>
    <t>VEREDA EL LUCERO</t>
  </si>
  <si>
    <t>QUEMA DE MATORRAL SUIMGLA</t>
  </si>
  <si>
    <t>3.17 HORAS</t>
  </si>
  <si>
    <t>CRA 20 # 13-25</t>
  </si>
  <si>
    <t>ESTRUCTURA DE TECHO EN ZINK QUE FUE ELEVADA POR FUERTES VIENTOS LANZADA SOBRE CUERDAS DE ALTA TENSION</t>
  </si>
  <si>
    <t>KM 4 VIA LA VICTORIA</t>
  </si>
  <si>
    <t>VEHICULO QUE COLISIONA CON MOTOCICLETA Y SUFRE VOLCAMIENTO CON PERSONAS ATRAPADAS Y QUIENES SALEN POR SUS PROPIOS MEDIOS</t>
  </si>
  <si>
    <t>CLL 18A # 12-82</t>
  </si>
  <si>
    <t>ENJAMBRE DE ABEJA</t>
  </si>
  <si>
    <t>PERSONA QUE SE CAE EN UNA MOTO Y CAE AL BARRANCO</t>
  </si>
  <si>
    <t>dos horas</t>
  </si>
  <si>
    <t>via al rincon</t>
  </si>
  <si>
    <t>el rincon</t>
  </si>
  <si>
    <t>incendio forestal via la ricon amenzando unas viviendas el cual se quema media plaza de pastizal siendo controlado exitosa mente</t>
  </si>
  <si>
    <t>2 HORAS TREINTA MINUTOS</t>
  </si>
  <si>
    <t>CL 16 # 5-80</t>
  </si>
  <si>
    <t>CR 14 CON CL 14 ESQUINA</t>
  </si>
  <si>
    <t>CARRERA 5 # 14-84</t>
  </si>
  <si>
    <t>INUNDACION EN VIVIENDA POR REVOSAMIENTO DE ALCANTARILLADO</t>
  </si>
  <si>
    <t>46 MINUTOS</t>
  </si>
  <si>
    <t>CRA 20 # 17-68</t>
  </si>
  <si>
    <t>INUNDACION POR REVOSAMIENTO DE AGUAS DE ALCANTARILLADO</t>
  </si>
  <si>
    <t>VIA LA UNION TORO FINCA VILLA PECAS</t>
  </si>
  <si>
    <t>ARBOL QUE HACE CONTACTO CON CUERDAS DE ALTA TENSION GENERANDO CORTO CIRCUITO</t>
  </si>
  <si>
    <t>2.20 HORAS</t>
  </si>
  <si>
    <t>CALLE 18 # 18-08</t>
  </si>
  <si>
    <t>VISITA DE SEGURIDAD A ESTABLECIMIENTO PUBLICO</t>
  </si>
  <si>
    <t>2.2</t>
  </si>
  <si>
    <t>CONCIERTO POPULAR INSPECCION DE SEGURIDAD</t>
  </si>
  <si>
    <t>URBANIZACION LA ERMITA</t>
  </si>
  <si>
    <t>URB LA ERMITA</t>
  </si>
  <si>
    <t>SE ATIENDE LLAMADO DE LA COMUNIDAD POR UN ATAQUE DE ABEJAS A LA POBLACION DONDE RESULTARON CUATRO CANINOS MUERTOS Y MAS DE QUINCE PERSONAS PICADAS DE LA ABEJAS</t>
  </si>
  <si>
    <t>SALON SOCIAL</t>
  </si>
  <si>
    <t>REUNION DEL ADULTO MAYOR EN EL SALON SOCIAL</t>
  </si>
  <si>
    <t>CL 12 CON CR 17</t>
  </si>
  <si>
    <t>SE REALIZA CONTROL DE ABEJAS ASINDO CATURA Y LIBERANDO EN UN LUGAR FUERA DEL PUEBLO</t>
  </si>
  <si>
    <t>CLL 11 # 18-17</t>
  </si>
  <si>
    <t>RESCATE DE UN FELINO</t>
  </si>
  <si>
    <t>CRA 15 16-56</t>
  </si>
  <si>
    <t>CENTRO BANCAMIA</t>
  </si>
  <si>
    <t>INSPECCION DE SEGURIDAD BANCAMIA</t>
  </si>
  <si>
    <t>CL 16 3 51</t>
  </si>
  <si>
    <t>ACTO DE LEMOS</t>
  </si>
  <si>
    <t>INSPECCION DE SEGURIDAD DISCOTECA LUXU</t>
  </si>
  <si>
    <t>CALLE 16 14# 6-01</t>
  </si>
  <si>
    <t>CAPTURA DE 2 SERPIENTES</t>
  </si>
  <si>
    <t>2 VIVORAS QUE ESTABAN NEN UNA VIVIENDA</t>
  </si>
  <si>
    <t>MADERAS PLASTICAS POR EL RODEO</t>
  </si>
  <si>
    <t>CR 15 # 15-12</t>
  </si>
  <si>
    <t>VISITA DE SEGURIDAD DAVIVIENDA</t>
  </si>
  <si>
    <t>CL 16 # 4-61</t>
  </si>
  <si>
    <t>VISITA DE SEGURIDAD A COCKTAIL MAE DISCO BAR</t>
  </si>
  <si>
    <t>CUARENTA Y CINCO MINUTOS</t>
  </si>
  <si>
    <t>VIA LA UNIO ROLDANILLO</t>
  </si>
  <si>
    <t>SE REALIZA CORTE DE ARBOL QUE CAE SOBRE LA VIA QUE CONDUCE A ROLDANILLO DESPEJANDO LA VIA</t>
  </si>
  <si>
    <t>CONSIULTORIO DEL JULIAN HURTADO</t>
  </si>
  <si>
    <t>CARRERA 14 8 - 10</t>
  </si>
  <si>
    <t xml:space="preserve">REPORTAN INUNDACION EN VIVIENDA, AL MOMENTO DE LA VERIFICACION SE EVIDENCIA REPRESAMIENTO DE AGUA POR COLAPSO DE ALCANTARILLADO
</t>
  </si>
  <si>
    <t>CRA 20 16-72 CRA 19 17-02 CLL 17 19-10</t>
  </si>
  <si>
    <t>TRES VIVIENDAS AFECTADAS POR COLAPSO DE ALCANTARILLADO Y REPRESAMIENTO DE AGUA</t>
  </si>
  <si>
    <t>CALLE 15 # 11-63</t>
  </si>
  <si>
    <t>CABLE DE ACOMETIDA CON EL CONMTADOR QUE ARRANMCO UN CAMION Y YA NOS HAT SUMINISTRO DE ENERGIA</t>
  </si>
  <si>
    <t>ENSEGUIDA DE PRADOS DEL NORTE</t>
  </si>
  <si>
    <t>QUEMA QUE SE SALE DE CONTROL</t>
  </si>
  <si>
    <t>CL 12 # 15-75</t>
  </si>
  <si>
    <t>NO SE SALIO</t>
  </si>
  <si>
    <t>SALON DE COFERENCIAS # 03</t>
  </si>
  <si>
    <t>CRA 15 CL 21 SAN PEDRO</t>
  </si>
  <si>
    <t>SARIHUELLA QUE INGRESA A UNA VIVIENDA Y AL MOMENTO DE COGERLA HUYE DEL LUGAR SIN PODER RECUPERARLA</t>
  </si>
  <si>
    <t>KM 1 VIA LA UNION LA VICTORIA</t>
  </si>
  <si>
    <t>1.04 HORAS</t>
  </si>
  <si>
    <t>CALLE 16 # 4 14</t>
  </si>
  <si>
    <t>INSPECCION A ESTRABLECIMIENTO PUBLICO</t>
  </si>
  <si>
    <t>1.08 HORAS</t>
  </si>
  <si>
    <t>CALLE 13 12 77</t>
  </si>
  <si>
    <t>INSPECCION DE SEGURIDAD A POLVORERIA</t>
  </si>
  <si>
    <t>58 MINUTOS</t>
  </si>
  <si>
    <t>CL 15 17 58</t>
  </si>
  <si>
    <t>1.34 HORAS</t>
  </si>
  <si>
    <t>CALLE 20 # 15-24 SAN PEDRO</t>
  </si>
  <si>
    <t>INCENDIO ESTRUCTURAL EN VIVIENDA</t>
  </si>
  <si>
    <t>HOTELLOS VIÑEDOS</t>
  </si>
  <si>
    <t>ABEJAS</t>
  </si>
  <si>
    <t>ATAQUE DE ABEJAS QUE DEJO UN SALDO DE 15 PERSONAS LLEVADAS AL HOSPITAL</t>
  </si>
  <si>
    <t>GALPON SAN ANTONIO</t>
  </si>
  <si>
    <t>AL LLEGAR AL SITIO SE OBSERBA INCENDI FORESTAL A ORILLA DE CARRETERA PRODUCIDO POR QUEMA DE LLANTAS SE QUEMA 20 ,METROS LINEALES EN RASTROJO.</t>
  </si>
  <si>
    <t>CL 13 12-77</t>
  </si>
  <si>
    <t>VISITA DE SEGURIDAD A PIROCTENIA SHUCK</t>
  </si>
  <si>
    <t>CR 13 # 13-78</t>
  </si>
  <si>
    <t>VICITA DE SEGURIDAD CONSULTORIO ODONTOLOGICO</t>
  </si>
  <si>
    <t>CR 13 CON CALLE 21 ESQUINA</t>
  </si>
  <si>
    <t>SE REALIZA VERIFICACION DE ABEJAS NO S ENCUENTRAN ABEJAS SOLO SE ENCONTRO UN NIDO DE AVISPAS PQUEÑO SE RELAIZO CONTROL</t>
  </si>
  <si>
    <t>AL LLEGAR AL SITIO SE OBSERBA QUE YA SE HABIAN DESPLAZO DEL LUGAR SE VERIFICO EN TODA EL AREA CON LA CAMARA TERMICA NO SE ENCONTRO NADA</t>
  </si>
  <si>
    <t>HOTEL LOS VIÑEDOS</t>
  </si>
  <si>
    <t>VIA PANORAMA HOTEL LOS VIÑEDOS</t>
  </si>
  <si>
    <t>2.45 HORAS</t>
  </si>
  <si>
    <t>CALLE 14 CRA 10 ESQUINA</t>
  </si>
  <si>
    <t>ATAQUE DE ABEJAS A PERSONAS.RESULTANDO TRES PERSONAS PICADAS POR LOS INSECTOS</t>
  </si>
  <si>
    <t>CORCEGA VIA LA ISLA</t>
  </si>
  <si>
    <t>QUEMA DE PASTOS A ORILLAS DE LA VIA A LA ISLA</t>
  </si>
  <si>
    <t>CALLE 12 #12-77</t>
  </si>
  <si>
    <t>VISITA DE SEGURIDAD A DISTRIBUIDORA DE FUEGOS PIROTECNCOS SHUICK</t>
  </si>
  <si>
    <t>CRA 13 # 13-78</t>
  </si>
  <si>
    <t>VISITA DE SEGURIDAD CONSULTORIO LINA SARRIA</t>
  </si>
  <si>
    <t>CRA 10 #15-34</t>
  </si>
  <si>
    <t>VERIFICACION ABEJAS</t>
  </si>
  <si>
    <t>CRA 13 #11-21</t>
  </si>
  <si>
    <t>VISITA DE SEGURIDAD A CENTRO DE ACOPIO DE RECICLAJE TORRES</t>
  </si>
  <si>
    <t>3.50 HORA</t>
  </si>
  <si>
    <t>CRA 13 CALLES 10 Y 11</t>
  </si>
  <si>
    <t>PUENTE DE LOS MIRANDAS</t>
  </si>
  <si>
    <t>CUERDA DE LA RED ELECTRICA QUE CAE EN LA VIA</t>
  </si>
  <si>
    <t>10 MNTOS</t>
  </si>
  <si>
    <t>ABEJAS QUE LLEGAN A UN SURTIDOR DE COMBUSTIBLE</t>
  </si>
  <si>
    <t>URBA PRADOS DEL NORTE</t>
  </si>
  <si>
    <t>RESCATE DE UN FELINO (GATO) QUE ESTA DESDE LAS HORAS DELA MAÑANA EN UN ARBOL</t>
  </si>
  <si>
    <t>CALLE 21#25-85</t>
  </si>
  <si>
    <t>FUGA DE GAS EN VIA PUBLICA</t>
  </si>
  <si>
    <t>CALLE 21 #25-85</t>
  </si>
  <si>
    <t>FUGA DE GAS EN VIA PUBLICA POR ROMPIMIENTO DE TUBERIA</t>
  </si>
  <si>
    <t>POSIBLE INCENDIO DETRAS DEL HOTEL LOS VIÑEDOS</t>
  </si>
  <si>
    <t>SAN LUIS Y LA ERMITA</t>
  </si>
  <si>
    <t>SAN LUIS Y BELEN</t>
  </si>
  <si>
    <t>ACOMPAÑAMIENTO A LA ALCALDIA POR QUEMA DE FUEGOS PIROCTENICOS</t>
  </si>
  <si>
    <t>ESCUELA JUAN DE DIOS GIRON</t>
  </si>
  <si>
    <t>LOS VIÑEDOS</t>
  </si>
  <si>
    <t>POSIBLE QUEMA DE PASTOS, SIENDO FALSA LA INFORMACION</t>
  </si>
  <si>
    <t>PERSONA QUE SE ACERCA A LA GUARDIA INFORMANDO DE UN VEHICULO QUE SE SALE DE LA VIA ENTRE LA UNION Y LA VICTORIA</t>
  </si>
  <si>
    <t>26 MNTOS</t>
  </si>
  <si>
    <t>INFORMAN DE UN VEHICLO QUE SE VOLCA EN LA VIA A LA VICTORIA,RESULTANDO FALSA LA INFORMACION</t>
  </si>
  <si>
    <t>VIA AL GUASIMO</t>
  </si>
  <si>
    <t>QUEMA DE PASTIZAL ,LA CUAL FUE CONTROLADADA POR LA COMUNIDAD</t>
  </si>
  <si>
    <t>B-4, L-1</t>
  </si>
  <si>
    <t>SE REALIZA CORTE DE RAIZ DE ARBOL EN EL CEMENTERIO</t>
  </si>
  <si>
    <t>CEMENTERIO MUNICIPAL</t>
  </si>
  <si>
    <t>CORTE DE RAICES EN EL CEMENTERIO</t>
  </si>
  <si>
    <t>CARRERA 18 CALLE 22</t>
  </si>
  <si>
    <t>QUEMA DE BASURA QUE SE SALE DECONTROL AFECTANDO TECHO DE VIVIENDA CERCANA</t>
  </si>
  <si>
    <t>CARRERA 15 CALLE 11</t>
  </si>
  <si>
    <t>PERSONA</t>
  </si>
  <si>
    <t>calle 14 # 6-01</t>
  </si>
  <si>
    <t>reunion del adulto mayor</t>
  </si>
  <si>
    <t>CL 21 25 320</t>
  </si>
  <si>
    <t>AL LLEGAR AL SITIO SE ENCUENTRAN UNA QUEMA CONTROLADA QUE ESTABA CERCA A UNAS CASAS</t>
  </si>
  <si>
    <t>1.40 HORAS</t>
  </si>
  <si>
    <t>SAN PEDRO ARRIBA POR SILOE</t>
  </si>
  <si>
    <t>POSIBLE INCENDIO ESTRUCRURAL SE DESPACHA B2 AL LLEGAR AL SITIO SE OBSERVA QUEMA DE COVERTURA VEGETAL.LA CUAL ESTAN REALIZANDO DESDE HORAS DE LA MAÑANA,INFORMA LA COMUNIDAD</t>
  </si>
  <si>
    <t>CALLE 14 CON CUARTA</t>
  </si>
  <si>
    <t>SE REALIZA CONTROL DE DERRAME DE COMBUSTIBLE REGANDO CISCO</t>
  </si>
  <si>
    <t>CALLE 14 RENTE A LA EMPRESA GRAJALES</t>
  </si>
  <si>
    <t>DERRAME DE COMBUSTIBLE ACPM EN LA VIA PUBLICA</t>
  </si>
  <si>
    <t>1.53 HORAS</t>
  </si>
  <si>
    <t>FINCA #15 CASA BLANCA</t>
  </si>
  <si>
    <t>CAPTURA DE SERPIENTE QUE SE ENCUENTRA EN EL CIELO RASO DE UNA VIVIENDA</t>
  </si>
  <si>
    <t>CALLE 12 # 20 289</t>
  </si>
  <si>
    <t>AL LEGAR AL SITIO SE OBSERVA UN MUEBLE INSENDIADO EN LA PARTE DE LA COCINA EL CUAL SE PROCEDE APAGAR</t>
  </si>
  <si>
    <t>GALPON 2 CANAL VIA LA UNION LA VICTORIA</t>
  </si>
  <si>
    <t>INCENDIO EN UN PASTISAL SERCA AUNOS GALPONE</t>
  </si>
  <si>
    <t>B-1, B-2, B-3, OTROS</t>
  </si>
  <si>
    <t>CALLE 13 CRA 20</t>
  </si>
  <si>
    <t>URB LA VIÑA</t>
  </si>
  <si>
    <t>QUEMA DE DESECHOS AGRICOLAS EN LOTE VALDIO ALEDAÑO A LA URB LA VIÑA</t>
  </si>
  <si>
    <t>5 MNTOS</t>
  </si>
  <si>
    <t>POR LOS LAGOS DE MONICA</t>
  </si>
  <si>
    <t>QUEMA CONTROLADA POR TRABAJADORES DE LA FINCA EL CUAL NO PERMITEN EL INGRESO DE LOS VEHICULOS DE EMERGENCIA AL SITIO</t>
  </si>
  <si>
    <t>INFORMAN DE UN VOLCAMIENTO DE UNA CAMIONETA VIA LA UNION LA VICTORIA A LA ALTURA DEL PUENTE MARIANO OSPINA DE LA VICTORIA SE LE INFORMA AL COMANDANTE SUBTT JULIAN ANDRES GRANADOS QUE SE ENCONTRA POR ESOS LADOS PARA VERIFICAR EL CUAL INFORMA QUE SE ENCUENTRA CAMIONETA VOLCADA CARGADA DE MADERA DONDE EL CONDUCTOR SALIO ILESO SE REALIZO PREVENCION VIAL MIENTRAS LLEGO AGENTES DE TRANCITO</t>
  </si>
  <si>
    <t>media hora</t>
  </si>
  <si>
    <t>cll 13 # 17 40</t>
  </si>
  <si>
    <t>al llegar al sitio se observa una fugas de gas el cual se hace prevencion hasta que llega tecnico de gases de occidente el cual hace control</t>
  </si>
  <si>
    <t>6.25 HORAS</t>
  </si>
  <si>
    <t>LAS CINTAS</t>
  </si>
  <si>
    <t>HOTEL LOS VIÑEDOS KM 1 VIA ROLDANILLO</t>
  </si>
  <si>
    <t>QUEMA DE BOSQUE Y PASTOS DESDE EL SECTOR DE LAS CINTAS HASTA CERRO CONTIGUO AL HOTEL LOS VIÑEDOS</t>
  </si>
  <si>
    <t>B-1, B-4, L-1, L-2, OTROS</t>
  </si>
  <si>
    <t>VIA SABANAZO MIRADOR DE LA VIRGEN</t>
  </si>
  <si>
    <t>INFORMAN DE UN VEHICULO QUE SE RODO POR EL MIRADOR, SIENDO UNA FALSA ALARMA</t>
  </si>
  <si>
    <t>CANTIDAD DE</t>
  </si>
  <si>
    <t>UNA HORA Y TREINTA MINUTOS</t>
  </si>
  <si>
    <t>CAMPESINA PARTE BAJA</t>
  </si>
  <si>
    <t>FUGA DE GAS POR RUTURA EN ESCABACION</t>
  </si>
  <si>
    <t>NO APLICA</t>
  </si>
  <si>
    <t>CARRERA 15 CON CALLE</t>
  </si>
  <si>
    <t>SE REALIZA RERCUPERACION DE ABEJAS EN EL ANDEN DEL BANCO DE DAVIVIENDA SON LIBERADAS POR LA BALASTRERA LLENDO PARA VERSALLES</t>
  </si>
  <si>
    <t>INFORMAN DE UN PARAPENTE QUE PIERDE CONTROL SE PRESIPITA AL SUELO SE BUSCOO POR LOS LADOS DE LA SEGUNDA CANAL NO ENCONTRARON NADA</t>
  </si>
  <si>
    <t>CUARENTA MINUTOS</t>
  </si>
  <si>
    <t>CALLE 24 13 38</t>
  </si>
  <si>
    <t>SE REALIZA LIQUIDACION DEL FUEGO A UN CONTROL DE QUE CONTROLADA QUE ESTABA AFETANDO LOS VECINOS CON EL HUMO</t>
  </si>
  <si>
    <t>100 METROS CUADRADOS</t>
  </si>
  <si>
    <t>EL ESPINAL</t>
  </si>
  <si>
    <t>AL LLEGAR AL SITIO ES UNA QUEMA CONTROLADA A LA ORRILLA DE LA CANAL POR UN TRABAJOR DE LA FINCA</t>
  </si>
  <si>
    <t>100 MTROS LINEALES</t>
  </si>
  <si>
    <t>TREINTA MINUTOS</t>
  </si>
  <si>
    <t>MOTOCICLETA INCENDIADA</t>
  </si>
  <si>
    <t>PARTE TRACERA EMPRESA GRAJALES</t>
  </si>
  <si>
    <t>INCENDO COSINA FOGON DE LEÑA DEL RESTAURANTE EL SANCOCHASO</t>
  </si>
  <si>
    <t>B-4, L-2, L-3</t>
  </si>
  <si>
    <t>MIRADOR DE LA BRISAS</t>
  </si>
  <si>
    <t>B-1, B-4, L-2</t>
  </si>
  <si>
    <t>AREA AFECTADA (SOLO SI APLICA)</t>
  </si>
  <si>
    <t>CALLE 16 # 2-55</t>
  </si>
  <si>
    <t>VARIACION % ANUAL</t>
  </si>
  <si>
    <t>CANTIDAD DE EMERGENCIAS Y ACTIVIDADES ANUALES</t>
  </si>
  <si>
    <t>TOTAL 
EMERGENCIAS Y ACTIVIDADES ANUAL</t>
  </si>
  <si>
    <t>FRENTE A LA URB LAS BRISAS</t>
  </si>
  <si>
    <t>SE REALIZA CONTROL DE INCENDIO DE MADERA DESTROZADA QUE HABIAN AMONTONADO DESE VARIOS DIAS ATRAS</t>
  </si>
  <si>
    <t>UNA PLAZA</t>
  </si>
  <si>
    <t>B-1, B-3, B-4, L-2</t>
  </si>
  <si>
    <t>CALLE 14 # 13 44</t>
  </si>
  <si>
    <t>SE REALIZA CONTROL DE ABEJAS POR AFETACION A UNA VIVIENDA SIENDO CATURADAS Y LIBERADAS EN LAS AFUERA DEL MUNICIPIO</t>
  </si>
  <si>
    <t>KR 10#7-27</t>
  </si>
  <si>
    <t>EL GUASIMO</t>
  </si>
  <si>
    <t>QUEMA CONTROLADA POR EL DUEÑO DEL PREVIO</t>
  </si>
  <si>
    <t>VIA TORO ANSERMANUEVO</t>
  </si>
  <si>
    <t>SANPACHO</t>
  </si>
  <si>
    <t>PERSONA ATRAPADA POR ACCIDENTE DE TRANSITO</t>
  </si>
  <si>
    <t>UNA HORA Y SEIS MINUTOS</t>
  </si>
  <si>
    <t>HOSPITAL GONZALO CONTRERAS</t>
  </si>
  <si>
    <t>RESCATE ANIMAL ATRAPADO EN EL AREA DE LAVANDERIA</t>
  </si>
  <si>
    <t>MZ F CS 3</t>
  </si>
  <si>
    <t>SE ENCUENTRA ENJAMBRE DE ABEJAS A LA ENTRADA DE UNA VIVIENDA</t>
  </si>
  <si>
    <t>VIVIENDA</t>
  </si>
  <si>
    <t xml:space="preserve">EMERGENCIAS  Y SERVICIOS PRESTADOS MES DE ENERO 2013 BRO JUAN DAVID HERRERA </t>
  </si>
  <si>
    <t>Nº</t>
  </si>
  <si>
    <t>DIA</t>
  </si>
  <si>
    <t>HORA DE SALIDA</t>
  </si>
  <si>
    <t>HORA DE REGRESO</t>
  </si>
  <si>
    <t xml:space="preserve">MQ # </t>
  </si>
  <si>
    <t>OPERADOR MQ #</t>
  </si>
  <si>
    <t>CLASE DE EMERGENCIA</t>
  </si>
  <si>
    <t>DIRECCION</t>
  </si>
  <si>
    <t>PROPIETARIO</t>
  </si>
  <si>
    <t>HERIDOS</t>
  </si>
  <si>
    <t>MUERTOS</t>
  </si>
  <si>
    <t>AREAS QUEMADAS</t>
  </si>
  <si>
    <t>TIPO DE QUEMA</t>
  </si>
  <si>
    <t>OBSERVACION</t>
  </si>
  <si>
    <t>01.05</t>
  </si>
  <si>
    <t>02.10</t>
  </si>
  <si>
    <t>giraldo</t>
  </si>
  <si>
    <t>accidente de transito</t>
  </si>
  <si>
    <t>via toro</t>
  </si>
  <si>
    <t xml:space="preserve">via publica </t>
  </si>
  <si>
    <t>si</t>
  </si>
  <si>
    <t xml:space="preserve">asistieron 3 unidades </t>
  </si>
  <si>
    <t>06.41</t>
  </si>
  <si>
    <t>07.11</t>
  </si>
  <si>
    <t xml:space="preserve">persona que cae de su altura </t>
  </si>
  <si>
    <t>calle 15 · 17-45</t>
  </si>
  <si>
    <t xml:space="preserve">lucila garcia </t>
  </si>
  <si>
    <t>10.44</t>
  </si>
  <si>
    <t>11.37</t>
  </si>
  <si>
    <t>zapata</t>
  </si>
  <si>
    <t xml:space="preserve">via roldanillo </t>
  </si>
  <si>
    <t>finca la pista</t>
  </si>
  <si>
    <t>SI</t>
  </si>
  <si>
    <t>13.21</t>
  </si>
  <si>
    <t>14.11</t>
  </si>
  <si>
    <t>carvajal</t>
  </si>
  <si>
    <t>via roldanillo por el portachuelo</t>
  </si>
  <si>
    <t>09.07</t>
  </si>
  <si>
    <t>09.38</t>
  </si>
  <si>
    <t>arma de fuego</t>
  </si>
  <si>
    <t>parque de sanpedro</t>
  </si>
  <si>
    <t xml:space="preserve">asistieron 5 unidades </t>
  </si>
  <si>
    <t>16.41</t>
  </si>
  <si>
    <t>17.30</t>
  </si>
  <si>
    <t xml:space="preserve">fuga de gas </t>
  </si>
  <si>
    <t>cra 15 con cll 25</t>
  </si>
  <si>
    <t>no</t>
  </si>
  <si>
    <t>22.03</t>
  </si>
  <si>
    <t>22.26</t>
  </si>
  <si>
    <t>caceres</t>
  </si>
  <si>
    <t>parque principal</t>
  </si>
  <si>
    <t xml:space="preserve">asistieron 4 unidades </t>
  </si>
  <si>
    <t>21.30</t>
  </si>
  <si>
    <t>22.00</t>
  </si>
  <si>
    <t>incendio forestal</t>
  </si>
  <si>
    <t>via versalles por la balastrera</t>
  </si>
  <si>
    <t>asistieron 9 unidades</t>
  </si>
  <si>
    <t>04.55</t>
  </si>
  <si>
    <t>05.57</t>
  </si>
  <si>
    <t>cra 15 con cll 18</t>
  </si>
  <si>
    <t>19.43</t>
  </si>
  <si>
    <t>20.18</t>
  </si>
  <si>
    <t>calle 9 con 12</t>
  </si>
  <si>
    <t>basura</t>
  </si>
  <si>
    <t>02.59</t>
  </si>
  <si>
    <t>03.33</t>
  </si>
  <si>
    <t>villa</t>
  </si>
  <si>
    <t xml:space="preserve">auxilio a persona </t>
  </si>
  <si>
    <t>13.38</t>
  </si>
  <si>
    <t>14.29</t>
  </si>
  <si>
    <t xml:space="preserve">en grajales </t>
  </si>
  <si>
    <t>finca la rivera</t>
  </si>
  <si>
    <t>150mts</t>
  </si>
  <si>
    <t>pastizal</t>
  </si>
  <si>
    <t>21.12</t>
  </si>
  <si>
    <t>22.35</t>
  </si>
  <si>
    <t>calle 11 con 14</t>
  </si>
  <si>
    <t>17.33</t>
  </si>
  <si>
    <t>17.58</t>
  </si>
  <si>
    <t>miguel</t>
  </si>
  <si>
    <t xml:space="preserve">cra 15 </t>
  </si>
  <si>
    <t xml:space="preserve">estacion de servicio la andina </t>
  </si>
  <si>
    <t>15.57</t>
  </si>
  <si>
    <t>16.40</t>
  </si>
  <si>
    <t>cra 16 19-02</t>
  </si>
  <si>
    <t>04.12</t>
  </si>
  <si>
    <t>04.40</t>
  </si>
  <si>
    <t>casa blanca</t>
  </si>
  <si>
    <t>jose fernando ariztizabal</t>
  </si>
  <si>
    <t>asistieron 6 unidades</t>
  </si>
  <si>
    <t>09.52</t>
  </si>
  <si>
    <t>11.04</t>
  </si>
  <si>
    <t>5-2.</t>
  </si>
  <si>
    <t>herrera</t>
  </si>
  <si>
    <t>rescate persona</t>
  </si>
  <si>
    <t>via sabanaso</t>
  </si>
  <si>
    <t>asistieron 11 unidades</t>
  </si>
  <si>
    <t>14.15</t>
  </si>
  <si>
    <t>15.09</t>
  </si>
  <si>
    <t>cra 15 con cll 11</t>
  </si>
  <si>
    <t>08.13</t>
  </si>
  <si>
    <t>09.17</t>
  </si>
  <si>
    <t xml:space="preserve">barrio la campesina </t>
  </si>
  <si>
    <t>13.23</t>
  </si>
  <si>
    <t>13.35</t>
  </si>
  <si>
    <t>tabares</t>
  </si>
  <si>
    <t>transporte de enfermo</t>
  </si>
  <si>
    <t xml:space="preserve">EMERGENCIAS  Y SERVICIOS PRESTADOS MES DE FEBRERO 2013 BRO JUAN DAVID HERRERA </t>
  </si>
  <si>
    <t>08.38</t>
  </si>
  <si>
    <t xml:space="preserve">N.R. </t>
  </si>
  <si>
    <t>gaviria</t>
  </si>
  <si>
    <t xml:space="preserve">colegio san jose </t>
  </si>
  <si>
    <t>publico</t>
  </si>
  <si>
    <t xml:space="preserve">asistieron 2 unidades </t>
  </si>
  <si>
    <t>12.25</t>
  </si>
  <si>
    <t>02.28</t>
  </si>
  <si>
    <t>3-5.</t>
  </si>
  <si>
    <t xml:space="preserve">vereda santa elena </t>
  </si>
  <si>
    <t>N.R.</t>
  </si>
  <si>
    <t>asistieron 10 unidades</t>
  </si>
  <si>
    <t>22.08</t>
  </si>
  <si>
    <t>22.20</t>
  </si>
  <si>
    <t>polideportivo</t>
  </si>
  <si>
    <t>15.49</t>
  </si>
  <si>
    <t>16.20</t>
  </si>
  <si>
    <t>sector de las palmas</t>
  </si>
  <si>
    <t>11.34</t>
  </si>
  <si>
    <t>12.29</t>
  </si>
  <si>
    <t>1-2.</t>
  </si>
  <si>
    <t xml:space="preserve">inundacion </t>
  </si>
  <si>
    <t>cra 16 22-03</t>
  </si>
  <si>
    <t>magdalena ramirez</t>
  </si>
  <si>
    <t>15.19</t>
  </si>
  <si>
    <t>15.48</t>
  </si>
  <si>
    <t>maria fatima</t>
  </si>
  <si>
    <t>00.23</t>
  </si>
  <si>
    <t>00.43</t>
  </si>
  <si>
    <t>falsa alarma</t>
  </si>
  <si>
    <t xml:space="preserve">via paso ancho </t>
  </si>
  <si>
    <t>asistieron 7 unidades</t>
  </si>
  <si>
    <t>12.45</t>
  </si>
  <si>
    <t>13.17</t>
  </si>
  <si>
    <t>colegio argemiro</t>
  </si>
  <si>
    <t>16.00</t>
  </si>
  <si>
    <t>16.25</t>
  </si>
  <si>
    <t>frente a grajales cll 14</t>
  </si>
  <si>
    <t>01.49</t>
  </si>
  <si>
    <t>02.14</t>
  </si>
  <si>
    <t xml:space="preserve">ferreteria la 15 frente </t>
  </si>
  <si>
    <t>05.55</t>
  </si>
  <si>
    <t>06.33</t>
  </si>
  <si>
    <t xml:space="preserve">por la desmontadora via la via la victoria </t>
  </si>
  <si>
    <t>11.29</t>
  </si>
  <si>
    <t>12.05</t>
  </si>
  <si>
    <t xml:space="preserve">en la cancha de san luis </t>
  </si>
  <si>
    <t>11.07</t>
  </si>
  <si>
    <t>11.06</t>
  </si>
  <si>
    <t>13.37</t>
  </si>
  <si>
    <t>14.55</t>
  </si>
  <si>
    <t>entrada a los viñedos</t>
  </si>
  <si>
    <t>09.22</t>
  </si>
  <si>
    <t>10.04</t>
  </si>
  <si>
    <t>frente al colegio argemiro</t>
  </si>
  <si>
    <t>18.35</t>
  </si>
  <si>
    <t>19.05</t>
  </si>
  <si>
    <t>abejas</t>
  </si>
  <si>
    <t>16.28</t>
  </si>
  <si>
    <t>16.52</t>
  </si>
  <si>
    <t>cll 12 con cra 20</t>
  </si>
  <si>
    <t>19.26</t>
  </si>
  <si>
    <t>19.57</t>
  </si>
  <si>
    <t xml:space="preserve">via la victoria </t>
  </si>
  <si>
    <t xml:space="preserve">si </t>
  </si>
  <si>
    <t>18.28</t>
  </si>
  <si>
    <t>18.33</t>
  </si>
  <si>
    <t xml:space="preserve">entrada a valle lindo </t>
  </si>
  <si>
    <t>10.33</t>
  </si>
  <si>
    <t xml:space="preserve">rompoing entrada a la union </t>
  </si>
  <si>
    <t>19.30</t>
  </si>
  <si>
    <t xml:space="preserve">por la habana </t>
  </si>
  <si>
    <t>terreno publico</t>
  </si>
  <si>
    <t>05.45</t>
  </si>
  <si>
    <t>06.20</t>
  </si>
  <si>
    <t>cll 23 25-73</t>
  </si>
  <si>
    <t>14.40</t>
  </si>
  <si>
    <t>cra 14 a 7a-48</t>
  </si>
  <si>
    <t>20.28</t>
  </si>
  <si>
    <t>21.15</t>
  </si>
  <si>
    <t xml:space="preserve">por las cintas </t>
  </si>
  <si>
    <t>20.20</t>
  </si>
  <si>
    <t>21.06</t>
  </si>
  <si>
    <t xml:space="preserve">avicola villa elena </t>
  </si>
  <si>
    <t>21.36</t>
  </si>
  <si>
    <t>ur. Amparo ma. B casa 32</t>
  </si>
  <si>
    <t xml:space="preserve">EMERGENCIAS  Y SERVICIOS PRESTADOS MES DE MARZO 2013 BRO JUAN DAVID HERRERA </t>
  </si>
  <si>
    <t>06.52</t>
  </si>
  <si>
    <t>07.20</t>
  </si>
  <si>
    <t>11.22</t>
  </si>
  <si>
    <t>11.42</t>
  </si>
  <si>
    <t xml:space="preserve">ataque de abejas </t>
  </si>
  <si>
    <t>barrio el amparo</t>
  </si>
  <si>
    <t>19.18</t>
  </si>
  <si>
    <t>20.02</t>
  </si>
  <si>
    <t>san luis finca mira florez</t>
  </si>
  <si>
    <t>N.R</t>
  </si>
  <si>
    <t>15.15</t>
  </si>
  <si>
    <t>15.21</t>
  </si>
  <si>
    <t>fierro</t>
  </si>
  <si>
    <t>parque recreacional</t>
  </si>
  <si>
    <t>18.55</t>
  </si>
  <si>
    <t>19.20</t>
  </si>
  <si>
    <t>cll 13 con 20-261</t>
  </si>
  <si>
    <t>mauricio moralez</t>
  </si>
  <si>
    <t>06.03</t>
  </si>
  <si>
    <t>06.27</t>
  </si>
  <si>
    <t>vehiculo incendiado</t>
  </si>
  <si>
    <t>cll 8a 15-70</t>
  </si>
  <si>
    <t>luis tejada</t>
  </si>
  <si>
    <t>13.47</t>
  </si>
  <si>
    <t>16.09</t>
  </si>
  <si>
    <t>via toro pedregal</t>
  </si>
  <si>
    <t>1 1/2 plaza</t>
  </si>
  <si>
    <t>asistieron 8 unidades</t>
  </si>
  <si>
    <t>19.10</t>
  </si>
  <si>
    <t>19.45</t>
  </si>
  <si>
    <t>b/ esperanza M 2d casa 28</t>
  </si>
  <si>
    <t>19.40</t>
  </si>
  <si>
    <t>19.49</t>
  </si>
  <si>
    <t>portachuelo via roldanillo</t>
  </si>
  <si>
    <t>18.08</t>
  </si>
  <si>
    <t>18.26</t>
  </si>
  <si>
    <t>cll 16 10-33</t>
  </si>
  <si>
    <t>victor romero</t>
  </si>
  <si>
    <t>15.30</t>
  </si>
  <si>
    <t>15.54</t>
  </si>
  <si>
    <t>cll 25 15-22</t>
  </si>
  <si>
    <t>jose ramon ortiz</t>
  </si>
  <si>
    <t>12.57</t>
  </si>
  <si>
    <t xml:space="preserve">sector de la galeria </t>
  </si>
  <si>
    <t>14.24</t>
  </si>
  <si>
    <t xml:space="preserve">lavores de prevencion </t>
  </si>
  <si>
    <t>cra 16 con cr 17y 18</t>
  </si>
  <si>
    <t>18.18</t>
  </si>
  <si>
    <t>18.54</t>
  </si>
  <si>
    <t>casa del adulto mayor via casablanca</t>
  </si>
  <si>
    <t>09.32</t>
  </si>
  <si>
    <t>10.15</t>
  </si>
  <si>
    <t xml:space="preserve">rescate a animal </t>
  </si>
  <si>
    <t>cll 20 15-76</t>
  </si>
  <si>
    <t>22.45</t>
  </si>
  <si>
    <t>23.44</t>
  </si>
  <si>
    <t>cll 12b 23-47</t>
  </si>
  <si>
    <t>nelson restrepo</t>
  </si>
  <si>
    <t>00.59</t>
  </si>
  <si>
    <t>01.21</t>
  </si>
  <si>
    <t>via quebrada grande</t>
  </si>
  <si>
    <t>22.12</t>
  </si>
  <si>
    <t>22.29</t>
  </si>
  <si>
    <t>b/ bella vista</t>
  </si>
  <si>
    <t>10.39</t>
  </si>
  <si>
    <t>11.39</t>
  </si>
  <si>
    <t xml:space="preserve">via san luis </t>
  </si>
  <si>
    <t>10.43</t>
  </si>
  <si>
    <t>11.10</t>
  </si>
  <si>
    <t>pedestal de la virgen san pedro</t>
  </si>
  <si>
    <t>17.10</t>
  </si>
  <si>
    <t>19.37</t>
  </si>
  <si>
    <t>cra 13 15-44</t>
  </si>
  <si>
    <t xml:space="preserve">jose uriel medina </t>
  </si>
  <si>
    <t>18.50</t>
  </si>
  <si>
    <t>estanquillo la 16</t>
  </si>
  <si>
    <t>10.50</t>
  </si>
  <si>
    <t>1,2.</t>
  </si>
  <si>
    <t>incendio estructural</t>
  </si>
  <si>
    <t>cll 15  con cra  16</t>
  </si>
  <si>
    <t>06.01</t>
  </si>
  <si>
    <t>06.28</t>
  </si>
  <si>
    <t>18.04</t>
  </si>
  <si>
    <t>18.41</t>
  </si>
  <si>
    <t>entrada a la cuidadela</t>
  </si>
  <si>
    <t>18.20</t>
  </si>
  <si>
    <t>20.22</t>
  </si>
  <si>
    <t>toro</t>
  </si>
  <si>
    <t>cementerio municipal</t>
  </si>
  <si>
    <t>17.35</t>
  </si>
  <si>
    <t>19.38</t>
  </si>
  <si>
    <t>19.21</t>
  </si>
  <si>
    <t>20.07</t>
  </si>
  <si>
    <t>quesera la union cll 16</t>
  </si>
  <si>
    <t>02.31</t>
  </si>
  <si>
    <t>03.02</t>
  </si>
  <si>
    <t xml:space="preserve">cra 15 con cll 16 esquina </t>
  </si>
  <si>
    <t>15.35</t>
  </si>
  <si>
    <t xml:space="preserve">cra 15 en la estacion de trasandina </t>
  </si>
  <si>
    <t>19.58</t>
  </si>
  <si>
    <t>20.48</t>
  </si>
  <si>
    <t xml:space="preserve">EMERGENCIAS  Y SERVICIOS PRESTADOS MES DE ABRIL 2013 BRO JUAN DAVID HERRERA </t>
  </si>
  <si>
    <t>18.57</t>
  </si>
  <si>
    <t>19.09</t>
  </si>
  <si>
    <t>18.19</t>
  </si>
  <si>
    <t>08.56</t>
  </si>
  <si>
    <t>vereda martindosa</t>
  </si>
  <si>
    <t>15.32</t>
  </si>
  <si>
    <t xml:space="preserve">via versalles  </t>
  </si>
  <si>
    <t>08.59</t>
  </si>
  <si>
    <t>cra 15 por la finca de navarro</t>
  </si>
  <si>
    <t>12.10</t>
  </si>
  <si>
    <t>12.30</t>
  </si>
  <si>
    <t xml:space="preserve">cra 8 a #9 - 66 </t>
  </si>
  <si>
    <t>jhon jairo foronda</t>
  </si>
  <si>
    <t>13.08</t>
  </si>
  <si>
    <t>13.48</t>
  </si>
  <si>
    <t>parque de san luis</t>
  </si>
  <si>
    <t>15.20</t>
  </si>
  <si>
    <t>16.30</t>
  </si>
  <si>
    <t>cll 21 con cra 26</t>
  </si>
  <si>
    <t>10.37</t>
  </si>
  <si>
    <t xml:space="preserve">via a que bradagrande </t>
  </si>
  <si>
    <t>23.10</t>
  </si>
  <si>
    <t>23.49</t>
  </si>
  <si>
    <t>cra 13 con cll 18</t>
  </si>
  <si>
    <t>18.09</t>
  </si>
  <si>
    <t>callejon de la avicola parte baja</t>
  </si>
  <si>
    <t>adriana isabel chalial</t>
  </si>
  <si>
    <t>15.47</t>
  </si>
  <si>
    <t>16.17</t>
  </si>
  <si>
    <t>via versalles</t>
  </si>
  <si>
    <t>12.20</t>
  </si>
  <si>
    <t>12.50</t>
  </si>
  <si>
    <t xml:space="preserve">esquina de la casa de la cultura </t>
  </si>
  <si>
    <t>18.51</t>
  </si>
  <si>
    <t>18.56</t>
  </si>
  <si>
    <t>cll 16 a la altuar de maria juana</t>
  </si>
  <si>
    <t xml:space="preserve">EMERGENCIAS  Y SERVICIOS PRESTADOS MES DE MAYO 2013 BRO JUAN DAVID HERRERA </t>
  </si>
  <si>
    <t>23.28</t>
  </si>
  <si>
    <t>23.40</t>
  </si>
  <si>
    <t>cll  15 con cra 15 esquina el castillo</t>
  </si>
  <si>
    <t>17.00</t>
  </si>
  <si>
    <t>17.39</t>
  </si>
  <si>
    <t xml:space="preserve">cll 15 frente al meson de orlando </t>
  </si>
  <si>
    <t>08.00</t>
  </si>
  <si>
    <t>08.08</t>
  </si>
  <si>
    <t>cll 14 frente a bomberos</t>
  </si>
  <si>
    <t>asistieron 1 unidades</t>
  </si>
  <si>
    <t>quema de basura</t>
  </si>
  <si>
    <t>barrio popular frente al jardin infantil</t>
  </si>
  <si>
    <t>05.59</t>
  </si>
  <si>
    <t>06.30</t>
  </si>
  <si>
    <t xml:space="preserve">via versalles </t>
  </si>
  <si>
    <t>18.30</t>
  </si>
  <si>
    <t>19.04</t>
  </si>
  <si>
    <t>5-2</t>
  </si>
  <si>
    <t>via roldanillo portachuelo</t>
  </si>
  <si>
    <t>08.39</t>
  </si>
  <si>
    <t>09.13</t>
  </si>
  <si>
    <t>5</t>
  </si>
  <si>
    <t>cll 14 por el colegio argemiro</t>
  </si>
  <si>
    <t>20.33</t>
  </si>
  <si>
    <t>20.51</t>
  </si>
  <si>
    <t xml:space="preserve">parte alta de bella vista </t>
  </si>
  <si>
    <t>09.06</t>
  </si>
  <si>
    <t>09.45</t>
  </si>
  <si>
    <t xml:space="preserve">colegio sanjose </t>
  </si>
  <si>
    <t>colegio publico</t>
  </si>
  <si>
    <t>20.59</t>
  </si>
  <si>
    <t>21.38</t>
  </si>
  <si>
    <t>2</t>
  </si>
  <si>
    <t xml:space="preserve">finca frutivalle via la victoria </t>
  </si>
  <si>
    <t>20.38</t>
  </si>
  <si>
    <t>20.50</t>
  </si>
  <si>
    <t>cll 22 # 21-83</t>
  </si>
  <si>
    <t>13.59</t>
  </si>
  <si>
    <t>15.25</t>
  </si>
  <si>
    <t>escape gas natural</t>
  </si>
  <si>
    <t>finca el rodeo</t>
  </si>
  <si>
    <t>17.36</t>
  </si>
  <si>
    <t>18.05</t>
  </si>
  <si>
    <t>cll 14 con cra 20</t>
  </si>
  <si>
    <t>18.45</t>
  </si>
  <si>
    <t xml:space="preserve">restaurante villa juana </t>
  </si>
  <si>
    <t>00.06</t>
  </si>
  <si>
    <t>00.54</t>
  </si>
  <si>
    <t>cr 17 cueva loca orilla del rio</t>
  </si>
  <si>
    <t>guadua</t>
  </si>
  <si>
    <t>04.56</t>
  </si>
  <si>
    <t>05.33</t>
  </si>
  <si>
    <t>cra 12 # 14-29</t>
  </si>
  <si>
    <t>19.22</t>
  </si>
  <si>
    <t>17.31</t>
  </si>
  <si>
    <t>18.00</t>
  </si>
  <si>
    <t>cra 20 con cll 17</t>
  </si>
  <si>
    <t>20.00</t>
  </si>
  <si>
    <t>20.12</t>
  </si>
  <si>
    <t>detrás del hospital cra 16</t>
  </si>
  <si>
    <t>16.11</t>
  </si>
  <si>
    <t>16.37</t>
  </si>
  <si>
    <t>05.52</t>
  </si>
  <si>
    <t>06.11</t>
  </si>
  <si>
    <t>cll 11 # 14-12</t>
  </si>
  <si>
    <t>13.25</t>
  </si>
  <si>
    <t>14.22</t>
  </si>
  <si>
    <t xml:space="preserve">sector de frutivalle </t>
  </si>
  <si>
    <t>20.21</t>
  </si>
  <si>
    <t>cra 19 # 18-17</t>
  </si>
  <si>
    <t>21.20</t>
  </si>
  <si>
    <t>21.48</t>
  </si>
  <si>
    <t>cra 12 #25-18</t>
  </si>
  <si>
    <t xml:space="preserve">via roldanillo finca la pista </t>
  </si>
  <si>
    <t xml:space="preserve">asistieron 6 unidades </t>
  </si>
  <si>
    <t>17.54</t>
  </si>
  <si>
    <t>cra 12 con cll 18</t>
  </si>
  <si>
    <t xml:space="preserve">EMERGENCIAS  Y SERVICIOS PRESTADOS MES DE JUNIO 2013 BRO JUAN DAVID HERRERA </t>
  </si>
  <si>
    <t>19.07</t>
  </si>
  <si>
    <t>cra 13 # 9-15</t>
  </si>
  <si>
    <t>henry tamayo</t>
  </si>
  <si>
    <t>00.45</t>
  </si>
  <si>
    <t>02.23</t>
  </si>
  <si>
    <t>cra 15 con cll 10</t>
  </si>
  <si>
    <t>13.03</t>
  </si>
  <si>
    <t>13.40</t>
  </si>
  <si>
    <t>jose ariztisabal</t>
  </si>
  <si>
    <t>17.03</t>
  </si>
  <si>
    <t>21.47</t>
  </si>
  <si>
    <t>barrio la esperansa</t>
  </si>
  <si>
    <t>maria rut escalante</t>
  </si>
  <si>
    <t>20.42</t>
  </si>
  <si>
    <t>21.45</t>
  </si>
  <si>
    <t>segundo paso vereda el tigre</t>
  </si>
  <si>
    <t>14.00</t>
  </si>
  <si>
    <t xml:space="preserve">balastrera del guasimo </t>
  </si>
  <si>
    <t>17.40</t>
  </si>
  <si>
    <t>cra 15 # 10-68</t>
  </si>
  <si>
    <t>carmen tulia galeano</t>
  </si>
  <si>
    <t>10.34</t>
  </si>
  <si>
    <t>10.54</t>
  </si>
  <si>
    <t>cll 18 c # 12b-05</t>
  </si>
  <si>
    <t>03.07</t>
  </si>
  <si>
    <t>03.38</t>
  </si>
  <si>
    <t xml:space="preserve">via casa blanca </t>
  </si>
  <si>
    <t>19.08</t>
  </si>
  <si>
    <t>cll 21 #24-80</t>
  </si>
  <si>
    <t>17.46</t>
  </si>
  <si>
    <t>18.10</t>
  </si>
  <si>
    <t xml:space="preserve">casa grajales </t>
  </si>
  <si>
    <t>19.15</t>
  </si>
  <si>
    <t>14.50</t>
  </si>
  <si>
    <t>2-5</t>
  </si>
  <si>
    <t>alcaldia parque municipal</t>
  </si>
  <si>
    <t>12.58</t>
  </si>
  <si>
    <t>cra 13 # 8a-05</t>
  </si>
  <si>
    <t>22.32</t>
  </si>
  <si>
    <t>22.40</t>
  </si>
  <si>
    <t>cll 11 con cra 14</t>
  </si>
  <si>
    <t>21.31</t>
  </si>
  <si>
    <t>22.11</t>
  </si>
  <si>
    <t>via la union roldanillo</t>
  </si>
  <si>
    <t>07.07</t>
  </si>
  <si>
    <t>07.38</t>
  </si>
  <si>
    <t xml:space="preserve">cll 21 por la virgen </t>
  </si>
  <si>
    <t>11.47</t>
  </si>
  <si>
    <t>12.19</t>
  </si>
  <si>
    <t>cra  20 con cll 17</t>
  </si>
  <si>
    <t>22.17</t>
  </si>
  <si>
    <t>cra 17 con cll 20</t>
  </si>
  <si>
    <t>19.27</t>
  </si>
  <si>
    <t>finca ya voy toño</t>
  </si>
  <si>
    <t xml:space="preserve">reinaldo bedoya </t>
  </si>
  <si>
    <t>02.44</t>
  </si>
  <si>
    <t>02.58</t>
  </si>
  <si>
    <t>21.58</t>
  </si>
  <si>
    <t>22.43</t>
  </si>
  <si>
    <t xml:space="preserve">finca de la cpt maria c </t>
  </si>
  <si>
    <t xml:space="preserve">cpt maria del carmen </t>
  </si>
  <si>
    <t>00.01</t>
  </si>
  <si>
    <t>00.30</t>
  </si>
  <si>
    <t>cll 14  con cra 12</t>
  </si>
  <si>
    <t>09.18</t>
  </si>
  <si>
    <t>09.23</t>
  </si>
  <si>
    <t xml:space="preserve">via la union versalles </t>
  </si>
  <si>
    <t>17.01</t>
  </si>
  <si>
    <t>via la union toro</t>
  </si>
  <si>
    <t>00.27</t>
  </si>
  <si>
    <t>03.10</t>
  </si>
  <si>
    <t xml:space="preserve">EMERGENCIAS  Y SERVICIOS PRESTADOS MES DE JULIO 2013 BRO JUAN DAVID HERRERA </t>
  </si>
  <si>
    <t>1</t>
  </si>
  <si>
    <t>12.38</t>
  </si>
  <si>
    <t>12.55</t>
  </si>
  <si>
    <t xml:space="preserve">cra 14 con cll 13 esquina </t>
  </si>
  <si>
    <t>cll 24 # 9-40</t>
  </si>
  <si>
    <t>olga martinez</t>
  </si>
  <si>
    <t>3</t>
  </si>
  <si>
    <t>4</t>
  </si>
  <si>
    <t>08.15</t>
  </si>
  <si>
    <t>08.45</t>
  </si>
  <si>
    <t>quema arbol</t>
  </si>
  <si>
    <t xml:space="preserve">cra 17 la milagrosa </t>
  </si>
  <si>
    <t>quebrada</t>
  </si>
  <si>
    <t>7</t>
  </si>
  <si>
    <t>04.01</t>
  </si>
  <si>
    <t>05.07</t>
  </si>
  <si>
    <t>cra 16 con cll 19</t>
  </si>
  <si>
    <t>09.28</t>
  </si>
  <si>
    <t>09.37</t>
  </si>
  <si>
    <t xml:space="preserve">galeria </t>
  </si>
  <si>
    <t>6</t>
  </si>
  <si>
    <t>8</t>
  </si>
  <si>
    <t>06.36</t>
  </si>
  <si>
    <t xml:space="preserve">cll 13 con cra 14 </t>
  </si>
  <si>
    <t>12</t>
  </si>
  <si>
    <t>14.37</t>
  </si>
  <si>
    <t>15.02</t>
  </si>
  <si>
    <t xml:space="preserve">cra 18 con cll 17 esquina </t>
  </si>
  <si>
    <t>15</t>
  </si>
  <si>
    <t>01.35</t>
  </si>
  <si>
    <t>01.55</t>
  </si>
  <si>
    <t xml:space="preserve">manzana e casa 38 las palmas </t>
  </si>
  <si>
    <t xml:space="preserve">fernando castro </t>
  </si>
  <si>
    <t>9</t>
  </si>
  <si>
    <t>10.52</t>
  </si>
  <si>
    <t xml:space="preserve">cra 14 frente a pinturas jada </t>
  </si>
  <si>
    <t>10</t>
  </si>
  <si>
    <t>16.45</t>
  </si>
  <si>
    <t>11</t>
  </si>
  <si>
    <t>19</t>
  </si>
  <si>
    <t>06.22</t>
  </si>
  <si>
    <t>06.38</t>
  </si>
  <si>
    <t xml:space="preserve">via la union roldanillo </t>
  </si>
  <si>
    <t>21</t>
  </si>
  <si>
    <t>17.45</t>
  </si>
  <si>
    <t>cll 19 con cra 18</t>
  </si>
  <si>
    <t>13</t>
  </si>
  <si>
    <t>23</t>
  </si>
  <si>
    <t>12.08</t>
  </si>
  <si>
    <t xml:space="preserve">cra 16 calle linda </t>
  </si>
  <si>
    <t>14</t>
  </si>
  <si>
    <t>24</t>
  </si>
  <si>
    <t>16.22</t>
  </si>
  <si>
    <t>25</t>
  </si>
  <si>
    <t>13.07</t>
  </si>
  <si>
    <t>13.42</t>
  </si>
  <si>
    <t xml:space="preserve">entrada a la union </t>
  </si>
  <si>
    <t>16</t>
  </si>
  <si>
    <t>27</t>
  </si>
  <si>
    <t>02.56</t>
  </si>
  <si>
    <t>03.15</t>
  </si>
  <si>
    <t>cra  15 # 10-80</t>
  </si>
  <si>
    <t>17</t>
  </si>
  <si>
    <t>08.16</t>
  </si>
  <si>
    <t>paso ancho cll 12</t>
  </si>
  <si>
    <t>margi lorena otalvaro</t>
  </si>
  <si>
    <t>18</t>
  </si>
  <si>
    <t>19.51</t>
  </si>
  <si>
    <t>damaris villamil</t>
  </si>
  <si>
    <t>28</t>
  </si>
  <si>
    <t>23.02</t>
  </si>
  <si>
    <t>23.29</t>
  </si>
  <si>
    <t>explosion</t>
  </si>
  <si>
    <t xml:space="preserve">cll 14 estacion de servicio la hermita </t>
  </si>
  <si>
    <t>20</t>
  </si>
  <si>
    <t>29</t>
  </si>
  <si>
    <t>15.44</t>
  </si>
  <si>
    <t xml:space="preserve">cra  15 sector de la galeria </t>
  </si>
  <si>
    <t>31</t>
  </si>
  <si>
    <t>11.57</t>
  </si>
  <si>
    <t>vereda el rincon finca la francia</t>
  </si>
  <si>
    <t>jose vicente restrepo</t>
  </si>
  <si>
    <t>22</t>
  </si>
  <si>
    <t>14.09</t>
  </si>
  <si>
    <t>16.35</t>
  </si>
  <si>
    <t>1-3</t>
  </si>
  <si>
    <t xml:space="preserve">vereda la isla </t>
  </si>
  <si>
    <t>german castaño</t>
  </si>
  <si>
    <t>asistieron 27 unidades</t>
  </si>
  <si>
    <t>cra 16 # 16-08</t>
  </si>
  <si>
    <t xml:space="preserve">maria amparo arias </t>
  </si>
  <si>
    <t xml:space="preserve">EMERGENCIAS  Y SERVICIOS PRESTADOS MES DE AGOSTO 2013 BRO JUAN DAVID HERRERA </t>
  </si>
  <si>
    <t>18.15</t>
  </si>
  <si>
    <t>18.24</t>
  </si>
  <si>
    <t>18.52</t>
  </si>
  <si>
    <t>via la union la victoria</t>
  </si>
  <si>
    <t>14.47</t>
  </si>
  <si>
    <t>16.13</t>
  </si>
  <si>
    <t>via versalles co. Quebradagrande</t>
  </si>
  <si>
    <t>1 plaza</t>
  </si>
  <si>
    <t>06.13</t>
  </si>
  <si>
    <t>06.50</t>
  </si>
  <si>
    <t xml:space="preserve">cra 15 con cll 17 </t>
  </si>
  <si>
    <t>11.15</t>
  </si>
  <si>
    <t>13.28</t>
  </si>
  <si>
    <t>vereda el agisal</t>
  </si>
  <si>
    <t>pedro nel cardona</t>
  </si>
  <si>
    <t>21.00</t>
  </si>
  <si>
    <t>21.13</t>
  </si>
  <si>
    <t>cll 16  con cra 15</t>
  </si>
  <si>
    <t>20.30</t>
  </si>
  <si>
    <t>1-4</t>
  </si>
  <si>
    <t>el lucero</t>
  </si>
  <si>
    <t>14.57</t>
  </si>
  <si>
    <t>cll 14 con cra 16</t>
  </si>
  <si>
    <t>12.02</t>
  </si>
  <si>
    <t>13.04</t>
  </si>
  <si>
    <t>13.34</t>
  </si>
  <si>
    <t>16.03</t>
  </si>
  <si>
    <t>16.50</t>
  </si>
  <si>
    <t xml:space="preserve">vereda corcega por parcelas </t>
  </si>
  <si>
    <t>15.40</t>
  </si>
  <si>
    <t>via la union- versalles</t>
  </si>
  <si>
    <t>10.48</t>
  </si>
  <si>
    <t>11.20</t>
  </si>
  <si>
    <t>cra 15 # 13-37</t>
  </si>
  <si>
    <t>26</t>
  </si>
  <si>
    <t>19.03</t>
  </si>
  <si>
    <t>19.31</t>
  </si>
  <si>
    <t>22.44</t>
  </si>
  <si>
    <t>22.56</t>
  </si>
  <si>
    <t>30</t>
  </si>
  <si>
    <t>10.53</t>
  </si>
  <si>
    <t>11.09</t>
  </si>
  <si>
    <t>estacion de servicio la ermita</t>
  </si>
  <si>
    <t>15.04</t>
  </si>
  <si>
    <t>cra  15 # 17-54</t>
  </si>
  <si>
    <t>22.54</t>
  </si>
  <si>
    <t>23.04</t>
  </si>
  <si>
    <t>cll 14 # 18-87</t>
  </si>
  <si>
    <t>3-4</t>
  </si>
  <si>
    <t xml:space="preserve">vereda la guadua </t>
  </si>
  <si>
    <t>gabriel</t>
  </si>
  <si>
    <t xml:space="preserve">EMERGENCIAS  Y SERVICIOS PRESTADOS MES DE SEPTIEMBRE 2013 BRO JUAN DAVID HERRERA </t>
  </si>
  <si>
    <t>14.20</t>
  </si>
  <si>
    <t xml:space="preserve">motel los dos </t>
  </si>
  <si>
    <t>14.31</t>
  </si>
  <si>
    <t>15.14</t>
  </si>
  <si>
    <t xml:space="preserve">via toro  </t>
  </si>
  <si>
    <t>olga sanchez</t>
  </si>
  <si>
    <t>11.16</t>
  </si>
  <si>
    <t>12.22</t>
  </si>
  <si>
    <t>via versalles siloe</t>
  </si>
  <si>
    <t>17.04</t>
  </si>
  <si>
    <t xml:space="preserve">via la aguada </t>
  </si>
  <si>
    <t>leonardo torrez</t>
  </si>
  <si>
    <t>22.25</t>
  </si>
  <si>
    <t>cll 16 # 9-45</t>
  </si>
  <si>
    <t>adolfo leoan ramirez</t>
  </si>
  <si>
    <t>11.50</t>
  </si>
  <si>
    <t xml:space="preserve">vereda corcega  </t>
  </si>
  <si>
    <t>17.38</t>
  </si>
  <si>
    <t>prados del norte</t>
  </si>
  <si>
    <t>21.05</t>
  </si>
  <si>
    <t>12.33</t>
  </si>
  <si>
    <t>12.51</t>
  </si>
  <si>
    <t xml:space="preserve">cll 14 </t>
  </si>
  <si>
    <t>12.11</t>
  </si>
  <si>
    <t>13.05</t>
  </si>
  <si>
    <t>cll 13 con cra 11</t>
  </si>
  <si>
    <t>17.53</t>
  </si>
  <si>
    <t>18.40</t>
  </si>
  <si>
    <t>bedoya</t>
  </si>
  <si>
    <t xml:space="preserve">cll 14 con cra 12 </t>
  </si>
  <si>
    <t>11.55</t>
  </si>
  <si>
    <t xml:space="preserve">san miguel </t>
  </si>
  <si>
    <t>18.27</t>
  </si>
  <si>
    <t xml:space="preserve">EMERGENCIAS  Y SERVICIOS PRESTADOS MES DE OCTUBRE 2013 BRO JUAN DAVID HERRERA </t>
  </si>
  <si>
    <t>12.27</t>
  </si>
  <si>
    <t>12.35</t>
  </si>
  <si>
    <t>13.19</t>
  </si>
  <si>
    <t xml:space="preserve">cra 19 con cll 19 </t>
  </si>
  <si>
    <t>madera zink</t>
  </si>
  <si>
    <t>10.45</t>
  </si>
  <si>
    <t xml:space="preserve">entrada al hotel los viñedos </t>
  </si>
  <si>
    <t>12.32</t>
  </si>
  <si>
    <t>12.53</t>
  </si>
  <si>
    <t>salida glorieta la union</t>
  </si>
  <si>
    <t>18.47</t>
  </si>
  <si>
    <t>19.16</t>
  </si>
  <si>
    <t xml:space="preserve">control de abejas </t>
  </si>
  <si>
    <t>cll 13 # 17-76</t>
  </si>
  <si>
    <t>19.11</t>
  </si>
  <si>
    <t>19.35</t>
  </si>
  <si>
    <t>06.53</t>
  </si>
  <si>
    <t>07.19</t>
  </si>
  <si>
    <t>por la casa del cabo carvajal</t>
  </si>
  <si>
    <t xml:space="preserve">piscina bomberos </t>
  </si>
  <si>
    <t xml:space="preserve">bomberos </t>
  </si>
  <si>
    <t xml:space="preserve">inundacion por alacantarillado </t>
  </si>
  <si>
    <t>cra 13 # 17-35</t>
  </si>
  <si>
    <t>21.17</t>
  </si>
  <si>
    <t>cll21 con cra 17</t>
  </si>
  <si>
    <t>07.48</t>
  </si>
  <si>
    <t>08.30</t>
  </si>
  <si>
    <t xml:space="preserve">via la union toro </t>
  </si>
  <si>
    <t>08.28</t>
  </si>
  <si>
    <t>via versalles por quebradagrande</t>
  </si>
  <si>
    <t>15.39</t>
  </si>
  <si>
    <t>16.05</t>
  </si>
  <si>
    <t>cr 15# 18-28</t>
  </si>
  <si>
    <t>supermercado el campesino</t>
  </si>
  <si>
    <t>01.14</t>
  </si>
  <si>
    <t>01.46</t>
  </si>
  <si>
    <t>cll 14 # 22-58</t>
  </si>
  <si>
    <t xml:space="preserve">sandra milena henao </t>
  </si>
  <si>
    <t>03.11</t>
  </si>
  <si>
    <t>03.49</t>
  </si>
  <si>
    <t>cll 18 con cra 15</t>
  </si>
  <si>
    <t>12.03</t>
  </si>
  <si>
    <t>13.10</t>
  </si>
  <si>
    <t>via roldanillo por el picacho</t>
  </si>
  <si>
    <t>06.14</t>
  </si>
  <si>
    <t>06.59</t>
  </si>
  <si>
    <t>cll 11 con cra13</t>
  </si>
  <si>
    <t>14.48</t>
  </si>
  <si>
    <t>cll 21 con cr 18</t>
  </si>
  <si>
    <t>21.16</t>
  </si>
  <si>
    <t>frente a la defensa civil</t>
  </si>
  <si>
    <t>16.04</t>
  </si>
  <si>
    <t>14.08</t>
  </si>
  <si>
    <t>14.12</t>
  </si>
  <si>
    <t>16.53</t>
  </si>
  <si>
    <t xml:space="preserve">cra 16 sector de la galeria </t>
  </si>
  <si>
    <t xml:space="preserve">jose antonio garcia </t>
  </si>
  <si>
    <t>01.04</t>
  </si>
  <si>
    <t>01.15</t>
  </si>
  <si>
    <t>cra 16 con cll17</t>
  </si>
  <si>
    <t>18.13</t>
  </si>
  <si>
    <t>18.46</t>
  </si>
  <si>
    <t>cra 15 # 15-43</t>
  </si>
  <si>
    <t xml:space="preserve">rosa valencia </t>
  </si>
  <si>
    <t>14.23</t>
  </si>
  <si>
    <t>14.53</t>
  </si>
  <si>
    <t>frente al parque recreacional</t>
  </si>
  <si>
    <t xml:space="preserve">EMERGENCIAS  Y SERVICIOS PRESTADOS MES DE NOVIEMBRE 2013 BRO JUAN DAVID HERRERA </t>
  </si>
  <si>
    <t>18.48</t>
  </si>
  <si>
    <t>cll 15 con cra 14</t>
  </si>
  <si>
    <t>10.20</t>
  </si>
  <si>
    <t>cra 16 con cll 15</t>
  </si>
  <si>
    <t>22.13</t>
  </si>
  <si>
    <t>21.23</t>
  </si>
  <si>
    <t xml:space="preserve">barrio la habana </t>
  </si>
  <si>
    <t>12.56</t>
  </si>
  <si>
    <t>13.16</t>
  </si>
  <si>
    <t>cra 14 con cll 15</t>
  </si>
  <si>
    <t>15.00</t>
  </si>
  <si>
    <t>11.12</t>
  </si>
  <si>
    <t>cra 9 # 15-60</t>
  </si>
  <si>
    <t>jose francisco sanchez</t>
  </si>
  <si>
    <t>11.30</t>
  </si>
  <si>
    <t>cll 13 con cra 13</t>
  </si>
  <si>
    <t>cll 14 frente a grajales</t>
  </si>
  <si>
    <t>20.06</t>
  </si>
  <si>
    <t xml:space="preserve">via roldanillo por las cintas </t>
  </si>
  <si>
    <t>07.51</t>
  </si>
  <si>
    <t>08.11</t>
  </si>
  <si>
    <t>cll 15  con cra 16</t>
  </si>
  <si>
    <t>03.27</t>
  </si>
  <si>
    <t>03.43</t>
  </si>
  <si>
    <t>cra 15 # 11-38</t>
  </si>
  <si>
    <t>maria luisa millan</t>
  </si>
  <si>
    <t>05.00</t>
  </si>
  <si>
    <t>05.10</t>
  </si>
  <si>
    <t>cll 13 con cra 18</t>
  </si>
  <si>
    <t>17.21</t>
  </si>
  <si>
    <t>cll 14 frente al colegio argemiro</t>
  </si>
  <si>
    <t>14.56</t>
  </si>
  <si>
    <t>rescate de animal</t>
  </si>
  <si>
    <t>cll 22 con cra 20</t>
  </si>
  <si>
    <t>06.55</t>
  </si>
  <si>
    <t xml:space="preserve">5-6 </t>
  </si>
  <si>
    <t>via roldanillo</t>
  </si>
  <si>
    <t>cll 11 # 12-11</t>
  </si>
  <si>
    <t>18.34</t>
  </si>
  <si>
    <t>1/2 plaza</t>
  </si>
  <si>
    <t>02.11</t>
  </si>
  <si>
    <t>07.30</t>
  </si>
  <si>
    <t>cll 14 con cra 13</t>
  </si>
  <si>
    <t xml:space="preserve">EMERGENCIAS  Y SERVICIOS PRESTADOS MES DE DICIEMBRE 2013 BRO JUAN DAVID HERRERA </t>
  </si>
  <si>
    <t>18.32</t>
  </si>
  <si>
    <t>15.10</t>
  </si>
  <si>
    <t>21.04</t>
  </si>
  <si>
    <t>21.43</t>
  </si>
  <si>
    <t xml:space="preserve">san luis  </t>
  </si>
  <si>
    <t>23.27</t>
  </si>
  <si>
    <t>23.52</t>
  </si>
  <si>
    <t>09.34</t>
  </si>
  <si>
    <t>10.12</t>
  </si>
  <si>
    <t>18.53</t>
  </si>
  <si>
    <t>19.25</t>
  </si>
  <si>
    <t>cra 12 # 14-15</t>
  </si>
  <si>
    <t>04.38</t>
  </si>
  <si>
    <t>1-2-3-4</t>
  </si>
  <si>
    <t>via roldanillo sector del picacho</t>
  </si>
  <si>
    <t>5 hectareas</t>
  </si>
  <si>
    <t>asistieron 16 unidades</t>
  </si>
  <si>
    <t>22.05</t>
  </si>
  <si>
    <t>2-3-4-5</t>
  </si>
  <si>
    <t>3 hectareas</t>
  </si>
  <si>
    <t>asistieron 12 unidades</t>
  </si>
  <si>
    <t>11.43</t>
  </si>
  <si>
    <t>cll 14 con cra 11</t>
  </si>
  <si>
    <t>19.42</t>
  </si>
  <si>
    <t>20.03</t>
  </si>
  <si>
    <t>cra 20 # 16-72</t>
  </si>
  <si>
    <t>alicia ariztisabal</t>
  </si>
  <si>
    <t>01.39</t>
  </si>
  <si>
    <t>02.02</t>
  </si>
  <si>
    <t>07.36</t>
  </si>
  <si>
    <t>vereda el portachuelo</t>
  </si>
  <si>
    <t>06.04</t>
  </si>
  <si>
    <t>07.05</t>
  </si>
  <si>
    <t xml:space="preserve">via la union la victoria </t>
  </si>
  <si>
    <t>via morelia roldanillo</t>
  </si>
  <si>
    <t>12.41</t>
  </si>
  <si>
    <t>cra 13 # 8b-06</t>
  </si>
  <si>
    <t>diego paul tamayo</t>
  </si>
  <si>
    <t>01.11</t>
  </si>
  <si>
    <t>cra  10 # 15-28</t>
  </si>
  <si>
    <t xml:space="preserve">mario ospina </t>
  </si>
  <si>
    <t>12.40</t>
  </si>
  <si>
    <t>cll 14 con cra 7</t>
  </si>
  <si>
    <t>cll 16 con cra 9</t>
  </si>
  <si>
    <t>08.14</t>
  </si>
  <si>
    <t>08.17</t>
  </si>
  <si>
    <t>estadio</t>
  </si>
  <si>
    <t>19.19</t>
  </si>
  <si>
    <t>07.17</t>
  </si>
  <si>
    <t>07.35</t>
  </si>
  <si>
    <t xml:space="preserve">cll 14 estacion de servicio las lajas </t>
  </si>
  <si>
    <t>20.10</t>
  </si>
  <si>
    <t>20.41</t>
  </si>
  <si>
    <t>manz H casa 72 las palmas</t>
  </si>
  <si>
    <t>ines castaño</t>
  </si>
  <si>
    <t>12.24</t>
  </si>
  <si>
    <t>12.26</t>
  </si>
  <si>
    <t>cll 16 por la quesera</t>
  </si>
  <si>
    <t>16.47</t>
  </si>
  <si>
    <t>cra 15 # 15-50</t>
  </si>
  <si>
    <t>15.55</t>
  </si>
  <si>
    <t>20.15</t>
  </si>
  <si>
    <t>20.37</t>
  </si>
  <si>
    <t>cll 18 b # 12b-44</t>
  </si>
  <si>
    <t>patricia</t>
  </si>
  <si>
    <t>15.59</t>
  </si>
  <si>
    <t>16.16</t>
  </si>
  <si>
    <t>10.36</t>
  </si>
  <si>
    <t>cll 14 con cra 17</t>
  </si>
  <si>
    <t>panaderia jj</t>
  </si>
  <si>
    <t>13.06</t>
  </si>
  <si>
    <t>via sabanazo</t>
  </si>
  <si>
    <t xml:space="preserve"> </t>
  </si>
  <si>
    <t>COORDINACION EJECUTIVA DE LOS CUERPOS DE BOMBEROS DEL VALLE DEL CAUCA</t>
  </si>
  <si>
    <t>INFORME DE SINIESTRALIDAD DEPARTAMENTO DEL VALLE DEL CAUCA - AÑO 2014</t>
  </si>
  <si>
    <t xml:space="preserve">CUERPO  DE  BOMBEROS  VOLUNTARIOS  DE LA UNION </t>
  </si>
  <si>
    <t>PERIODO AÑO 2014 (Enero 1 al 31 de Diciembre)</t>
  </si>
  <si>
    <t>ITEM</t>
  </si>
  <si>
    <t>INCIDENTE</t>
  </si>
  <si>
    <t>ABRL</t>
  </si>
  <si>
    <t>NOMVIEMBRE</t>
  </si>
  <si>
    <t>I.</t>
  </si>
  <si>
    <t>GESTION DEL RISGO DE INCENDIOS</t>
  </si>
  <si>
    <t>Incendio estructural</t>
  </si>
  <si>
    <t>Incendio forestal rural</t>
  </si>
  <si>
    <t>Incendio forestal urbano</t>
  </si>
  <si>
    <t xml:space="preserve">Incendio vehicular </t>
  </si>
  <si>
    <t>Incendio de líquidos inflamables o gases</t>
  </si>
  <si>
    <t>Incendio Gas domiciliario</t>
  </si>
  <si>
    <t>Incendio en Cilindro de Gas</t>
  </si>
  <si>
    <t>Incendio eléctrico</t>
  </si>
  <si>
    <t>Incendio Agricola</t>
  </si>
  <si>
    <t>Incendio Aereo</t>
  </si>
  <si>
    <t>Fuegos aislados o basuras</t>
  </si>
  <si>
    <t>SUB-TOTALES</t>
  </si>
  <si>
    <t>II.</t>
  </si>
  <si>
    <t>RESCATE EN TODAS SUS MODALIDADES</t>
  </si>
  <si>
    <t>Rescate,  atención y/o traslado de lesionado en Accidentes de tránsito</t>
  </si>
  <si>
    <t>Salvamento en mina</t>
  </si>
  <si>
    <t>Rescate de animal</t>
  </si>
  <si>
    <t>Auxilio a electrocutado</t>
  </si>
  <si>
    <t>Rescate en ascensor</t>
  </si>
  <si>
    <t>Rescate con apertura de puerta</t>
  </si>
  <si>
    <t>Rescate Acuatico</t>
  </si>
  <si>
    <t>Rescate en Estructura Colapsada</t>
  </si>
  <si>
    <t>Rescate en Altura</t>
  </si>
  <si>
    <t>Rescate en espacio confinado</t>
  </si>
  <si>
    <t>Rescate en Accidente Aéreo</t>
  </si>
  <si>
    <t>Rescte en media y alta Montaña</t>
  </si>
  <si>
    <t>Rescate con exposición de Materiales peligrosos</t>
  </si>
  <si>
    <t>Otros auxilios y/o rescates</t>
  </si>
  <si>
    <t>III.</t>
  </si>
  <si>
    <t>ATENCION DE MATERIALES PELIGROSOS</t>
  </si>
  <si>
    <t xml:space="preserve">Incidentes con materiales peligrosos </t>
  </si>
  <si>
    <t>Fuga de gas GLP</t>
  </si>
  <si>
    <t>Fuga de gas GNC</t>
  </si>
  <si>
    <t>Derrames de combustible en vía pública</t>
  </si>
  <si>
    <t>IV.</t>
  </si>
  <si>
    <t>ATENCION DE OTROS INCIDENTES</t>
  </si>
  <si>
    <t>Colapsos en estructura</t>
  </si>
  <si>
    <t>Derrumbes y deslizamientos</t>
  </si>
  <si>
    <t>Explosiones por pólvora</t>
  </si>
  <si>
    <t>Explosiones de ollas a presión</t>
  </si>
  <si>
    <t>Otras explosiones</t>
  </si>
  <si>
    <t>Inundaciones</t>
  </si>
  <si>
    <t>Caídas de árboles, postes de energía y otros</t>
  </si>
  <si>
    <t>Atención de abejas</t>
  </si>
  <si>
    <t>Recuperación de cadáver</t>
  </si>
  <si>
    <t>V.</t>
  </si>
  <si>
    <t>ATENCION PREHOSPITALARIA</t>
  </si>
  <si>
    <t>Atención y/o transporte de herido</t>
  </si>
  <si>
    <t>Auxilio y/o transporte de enfermo</t>
  </si>
  <si>
    <t>TOTAL DE INCIDENTES ATENDIDOS</t>
  </si>
  <si>
    <t>VI.</t>
  </si>
  <si>
    <t>LABORES DE PREVENCION Y OTROS</t>
  </si>
  <si>
    <t>Inspecciones de prevencion y seguridad</t>
  </si>
  <si>
    <t>Labores sociales</t>
  </si>
  <si>
    <t>Labores de prevención diversas</t>
  </si>
  <si>
    <t>Falsas alarmas por diversos casos</t>
  </si>
  <si>
    <t>Suministro de Agua</t>
  </si>
  <si>
    <t>Evacuaciones</t>
  </si>
  <si>
    <t>Acumulado de incidentes Atendidos año</t>
  </si>
  <si>
    <t xml:space="preserve">OBSERVACIONES: </t>
  </si>
  <si>
    <t xml:space="preserve">APARTIR DE SEPTIEMBRE LA DISMINUCION EN ACCIDENTES Y AUXILIOS A PERSONAS OBEDECE A QUE SE DEJO DE PRESTAR EL SERVICIO DE TRANSPORTE EN AMBULANCIA POR PARTE DE LA INSTITUCION YA QUE NO SE CUENTA CON UNA AMBULANCIA QUE CUMPLA CON TODOS LOS REQUISITOS DE LEY POR LO CUAL SE SIGUIO PRESTANDO APOYO SOLO PARA ATENCION DEJANDO EL TRASLADO EN MANOS DE LA ADMON MUNICIPAL Y SU CONTRATACION </t>
  </si>
  <si>
    <t>enero</t>
  </si>
  <si>
    <t>INFORME DE SINIESTRALIDAD DEPARTAMENTO DEL VALLE DEL CAUCA - AÑO 2015</t>
  </si>
  <si>
    <t>PERIODO AÑO 2015 (Enero 1 al 31 de Diciembre)</t>
  </si>
  <si>
    <t xml:space="preserve">CONTROL DE ABEJAS 2015 SIN APUNTAR </t>
  </si>
  <si>
    <t>OBSERVACIONES:</t>
  </si>
  <si>
    <t xml:space="preserve">LO INCENDIOS FORESTALES ADICIONALES QUE APARECEN SON APOYO QUE SE APRESTADO A BOMBEROS TORO </t>
  </si>
  <si>
    <t xml:space="preserve">NOTA SE ATENDIERON EN MAYO DOS INCENDIOS FORESTALES EN LA VICTORIA VALLE POR APOYO YA QUE LAS MAQUINAS NO SE ENCONTRABAN EN SERVICIO </t>
  </si>
  <si>
    <t>NOTA EL FORESTAL DE JUNIO FUE APOYO A BROS ROLDANILLO</t>
  </si>
  <si>
    <t xml:space="preserve">NOTA: EN SEPTIEMBRE SE APOYO UN INCENDIO FORESTAL A BROS ROLDANILLO EN LA VIA ROLDANILLO EL DOVIO </t>
  </si>
  <si>
    <t xml:space="preserve">LO INCENDIOS FORESTALES ADICIONALES DE OCTUBRE APARECEN SON APOYO QUE SE APRESTADO A BOMBEROS TORO </t>
  </si>
  <si>
    <t>INFORME DE SINIESTRALIDAD DEPARTAMENTO DEL VALLE DEL CAUCA - AÑO 2016</t>
  </si>
  <si>
    <t>PERIODO AÑO 2016 (Enero 1 al 31 de Diciembre)</t>
  </si>
  <si>
    <t xml:space="preserve">UNA DE LAS INUNDACIONES FUE UN APOYO A BOMBEROS TORO </t>
  </si>
  <si>
    <t>INFORME DE SINIESTRALIDAD DEPARTAMENTO DEL VALLE DEL CAUCA - AÑO 2017</t>
  </si>
  <si>
    <t>PERIODO AÑO 2017 (Enero 1 al 31 de Diciembre)</t>
  </si>
  <si>
    <t>INFORME DE SINIESTRALIDAD DEPARTAMENTO DEL VALLE DEL CAUCA - AÑO 2018</t>
  </si>
  <si>
    <t>PERIODO ( Enero  01 al 31 de Diciembre 2018 )</t>
  </si>
  <si>
    <t>CVB DE:</t>
  </si>
  <si>
    <t>ENE</t>
  </si>
  <si>
    <t>FEB</t>
  </si>
  <si>
    <t>MAR</t>
  </si>
  <si>
    <t>ABR</t>
  </si>
  <si>
    <t>MAY</t>
  </si>
  <si>
    <t>JUN</t>
  </si>
  <si>
    <t>JUL</t>
  </si>
  <si>
    <t>AGO</t>
  </si>
  <si>
    <t>SEP</t>
  </si>
  <si>
    <t>OCT</t>
  </si>
  <si>
    <t>NOV</t>
  </si>
  <si>
    <t>DIC</t>
  </si>
  <si>
    <t>GESTION DEL RIESGO DE INCENDIOS</t>
  </si>
  <si>
    <t>Incendio Agrícola</t>
  </si>
  <si>
    <t>Incendio de líquidos inflamables</t>
  </si>
  <si>
    <t>Incendio de Gases o Gas domiciliario</t>
  </si>
  <si>
    <t>Incendio en Cilindro de Gas Vehicular</t>
  </si>
  <si>
    <t xml:space="preserve">Incendio </t>
  </si>
  <si>
    <t>Incendio Aéreo</t>
  </si>
  <si>
    <t>Rescates (Actividad) en Accidentes de tránsito</t>
  </si>
  <si>
    <t>Accidentes de tránsito atendidos sin la actividad de rescate</t>
  </si>
  <si>
    <t>Otros Rescates de emergencias diferentes a accidente de tránsito</t>
  </si>
  <si>
    <t>Rescate Acuático</t>
  </si>
  <si>
    <t>Rescate en media y alta Montaña</t>
  </si>
  <si>
    <t>Incidentes con materiales peligrosos en vehículos accidentados</t>
  </si>
  <si>
    <t>Incidente de materiales peligrosos (otros)</t>
  </si>
  <si>
    <t>Fuga de gas GN</t>
  </si>
  <si>
    <t>Derrumbes y deslizamientos (Completar cuadro anexo)</t>
  </si>
  <si>
    <t>Inundaciones Atendidas  (Completar cuadro anexo)</t>
  </si>
  <si>
    <t>Vendaval</t>
  </si>
  <si>
    <t>Otras emergencias atendidas no descritas</t>
  </si>
  <si>
    <t>Atención APH de heridos en accidente de transito (Sin transporte - No. De personas atendidas)</t>
  </si>
  <si>
    <t>Transporte de heridos en accidente de transito. (No. de transportados en vehículos Institucionales de Bomberos)</t>
  </si>
  <si>
    <t>Atención APH de heridos diferente a accidente de tránsito</t>
  </si>
  <si>
    <t>Transporte de heridos diferente a accidente de transito</t>
  </si>
  <si>
    <t>Auxilio a enfermo</t>
  </si>
  <si>
    <t>Trabajo de parto</t>
  </si>
  <si>
    <t>Inspecciones de prevención y seguridad</t>
  </si>
  <si>
    <t>Realización de Pruebas Hidráulicas</t>
  </si>
  <si>
    <t>Participación en Eventos masivos y no masivos</t>
  </si>
  <si>
    <t>Participación en Eventos pirotécnicos</t>
  </si>
  <si>
    <t>Actividades de Evacuaciones</t>
  </si>
  <si>
    <t>Suministro de Agua a Comunidades u otros</t>
  </si>
  <si>
    <t>TOTAL LABORES DE PREVENCIÓN Y OTROS</t>
  </si>
  <si>
    <t>ACUMULADO TOTAL DE EMERGENCIAS EVENTOS Y LABORES DE PREVENCIÓN AÑO</t>
  </si>
  <si>
    <t>CUADROS ANEXOS</t>
  </si>
  <si>
    <t>DERRUMBES O DESLIZAMIENTOS</t>
  </si>
  <si>
    <t>a</t>
  </si>
  <si>
    <t xml:space="preserve">Cobertura afectada metros2  o Hectáreas </t>
  </si>
  <si>
    <t>b</t>
  </si>
  <si>
    <t>Duración de la afectación por el  movimiento en masa</t>
  </si>
  <si>
    <t>c</t>
  </si>
  <si>
    <t>Viviendas o Instalaciones afectadas</t>
  </si>
  <si>
    <t>d</t>
  </si>
  <si>
    <t>Metros Cúbicos de la afectación</t>
  </si>
  <si>
    <t>e</t>
  </si>
  <si>
    <t>No. De afectados por el movimiento en masa (No. PERSONAS o No. FAMILIAS)</t>
  </si>
  <si>
    <t>INUNDACIONES</t>
  </si>
  <si>
    <t>20 m2</t>
  </si>
  <si>
    <t>10 m2</t>
  </si>
  <si>
    <t>Duración de la inundación</t>
  </si>
  <si>
    <t>No. De afectados por la inundación- (N° PERSONAS O N° FAMILIAS)</t>
  </si>
  <si>
    <t>INFORME DE SINIESTRALIDAD PARA EL PERIODO DEL 01 DE ENERO AL 31 DE DICIEMBRE 2019</t>
  </si>
  <si>
    <t>CUERPO DE BOMBEROS VOLUNTARIOS DE LA UNION - VALLE DEL CAUCA</t>
  </si>
  <si>
    <t>PERIODO ( Enero  01 al 31 de Diciembre 2019 )</t>
  </si>
  <si>
    <t>INFORME DE SINIESTRALIDAD PARA EL PERIODO DEL 01 DE ENERO AL 31 DE DICIEMBRE 2020</t>
  </si>
  <si>
    <t>PERIODO ( Enero  01 al 31 de Diciembre 2020 )</t>
  </si>
  <si>
    <t>SECTOR ESCOMBRERA</t>
  </si>
  <si>
    <t>ATAQUE DE ABEJAS, ENJAMBRE NO ENCONTRADO</t>
  </si>
  <si>
    <t>CASAS ALEDAÑAS</t>
  </si>
  <si>
    <t>DOS HORAS Y VEINTE MINUTOS</t>
  </si>
  <si>
    <t>CARRERA 10#3-122</t>
  </si>
  <si>
    <t>ATAUE DE ABEJAS</t>
  </si>
  <si>
    <t>UNA HORA Y 20 MINUTOS</t>
  </si>
  <si>
    <t>SECTOR LA ISLA</t>
  </si>
  <si>
    <t>2 PLAZAS</t>
  </si>
  <si>
    <t>SECTOR EL GUASIMO</t>
  </si>
  <si>
    <t>CARRETERA</t>
  </si>
  <si>
    <t>2 HORAS 20 MINUTOS</t>
  </si>
  <si>
    <t>CHOQUE DE DOS VEHICULOS CON DERRAME DE COMBUSTIBLE</t>
  </si>
  <si>
    <t>UNA HORA .</t>
  </si>
  <si>
    <t>CALL 15 # 12 48</t>
  </si>
  <si>
    <t>SE REALIZA CONTROL DE ABEJAS REALIZANDO CATURA Y LIBERANDOLAS A LAS AFUERAS DEL MUNICIPIO</t>
  </si>
  <si>
    <t>FINCA DE GUSTAVO RAMIREZ</t>
  </si>
  <si>
    <t>SE REALIZA RESCATE DE PERSONA DE SETENTA AÑOS QUE CAE DE UN PALO DE MANGO Y RUEDA APROXIMADAMNTE 6 METROS Y SE SACO HASTA LA CARRETERA DONDE LLEGAN LOS VEHICULOS EN CAMILLA Y SE TRASLADO EN LA AMBULANCIA DE SUDSALUD AL HOSPITAL GONZALO CONTRERAS</t>
  </si>
  <si>
    <t>CALE 16 5 32</t>
  </si>
  <si>
    <t>SE AHCE ACORDONAMIENTO Y PRENVENCIO HASTA QUE LLEGA EL TECNICO DE GASES DE OCCIDENTE PARA SU DEBIDO CONTROL</t>
  </si>
  <si>
    <t>PERSONA QUE CAE DESDE UN ARBOL,RODANDO 6 MT APROX, SE RECIBE APOYO DEAMBULANCIA DE SUB SALUD</t>
  </si>
  <si>
    <t>*</t>
  </si>
  <si>
    <t>SE RIEGA EL PRADO DE SAN LUIS POR EXEQUIA</t>
  </si>
  <si>
    <t>LA ESCOMBRERA</t>
  </si>
  <si>
    <t>AL LLEGAR AL SITIO SE OBSERBA A UN SEÑOR QUE ESTA QUEMANDO UN COBRE SE LE DAN RECOMENDACIONES Y SE REGRESA ALA CUARTEL</t>
  </si>
  <si>
    <t>CANTIDAD ANUAL</t>
  </si>
  <si>
    <t>AÑOS</t>
  </si>
  <si>
    <t>CUERPO DE BOMBEROS VOLUNTARIOS, LA UNIÓN, VALLE DEL CAUCA
ESTADISTICA DE INCENDIOS FORESTALES DEL AÑO 2013 AL 2023</t>
  </si>
  <si>
    <t>PROMEDIO ANUAL</t>
  </si>
  <si>
    <t>VARIACION PORCENTUAL ANUAL</t>
  </si>
  <si>
    <t>7 MIN</t>
  </si>
  <si>
    <t>PEDREGAL, CIA TORO - LA UNIÓN</t>
  </si>
  <si>
    <t>INCENDI FORESTAL QUE CONTROLA LA COMUNIDAD</t>
  </si>
  <si>
    <t>INSPECCIONES POR MOVIMIENTO TELURICO</t>
  </si>
  <si>
    <t>KARRERA 9 VIA LAS PALMAS</t>
  </si>
  <si>
    <t>LAS PALAMAS</t>
  </si>
  <si>
    <t>ATAQE DE ABEJAS</t>
  </si>
  <si>
    <t>UNA HORA CON TREINTA</t>
  </si>
  <si>
    <t>COLEGIO SANJOSE YIGLESIA SANJOSE</t>
  </si>
  <si>
    <t>REVICION POR TEMBLOR</t>
  </si>
  <si>
    <t>VIA A SABANAZO POR LA CRUZ BLANCA</t>
  </si>
  <si>
    <t>NO ESPECIFICA</t>
  </si>
  <si>
    <t>CUATRO HORAS CON DIEZ MINUTOS</t>
  </si>
  <si>
    <t>BASE MILITAR LA FLORIDA TORO</t>
  </si>
  <si>
    <t>TORO VALLE</t>
  </si>
  <si>
    <t>APOYO RESCATE PARAPENTISTA EN TORO</t>
  </si>
  <si>
    <t>INCENDIO FORESTAL VIA TORO</t>
  </si>
  <si>
    <t>INCENDIO FORESTAL POR PEDREGAL</t>
  </si>
  <si>
    <t>DROGUERIA SUPER DROGAS EN LA CALLE 14</t>
  </si>
  <si>
    <t>ABEJAS EN LA PARTE EXTERNA DE LA DROGUERIA</t>
  </si>
  <si>
    <t>DOS HORAS CON CINCO MINUTOS</t>
  </si>
  <si>
    <t>PAJARO DE ORO VIA EL TIGRE</t>
  </si>
  <si>
    <t>INCENDIO FORESTAL EN PAJARO DE ORO VIA EL TIGRE</t>
  </si>
  <si>
    <t>500 MTS</t>
  </si>
  <si>
    <t>VEINTIDOS MUNUTOS</t>
  </si>
  <si>
    <t>KR 19 CON CALLE 21</t>
  </si>
  <si>
    <t>CUATRO HORAS CON VEINTE MINUTOS</t>
  </si>
  <si>
    <t>QUEMA FORESTAL VIA LA UNION ROLDANILLO POR EL PICACHO</t>
  </si>
  <si>
    <t>37.771 MTS</t>
  </si>
  <si>
    <t>B-1, B-4, L-1, L-2</t>
  </si>
  <si>
    <t>MANZANA E CACA 24</t>
  </si>
  <si>
    <t>BARRIO EL AMPARO</t>
  </si>
  <si>
    <t>FUGA DE GAS POR ROTURA EN ESCAVACION</t>
  </si>
  <si>
    <t>UNA HORA Y DIEZ MINUTOS</t>
  </si>
  <si>
    <t>CALLE 14#13-82</t>
  </si>
  <si>
    <t>QUEMA FORESTAL EN EL CORREGIMIENTO DE CORCEGA</t>
  </si>
  <si>
    <t>FINCA LAS MARGARITAS</t>
  </si>
  <si>
    <t>RESCATE PARAPENTISTA</t>
  </si>
  <si>
    <t>N/P</t>
  </si>
  <si>
    <t>UNA HORA Y CINCOMINUTOS</t>
  </si>
  <si>
    <t>BARRIO LAS BRISAS LFRENTE DE LA GUARDERIA GRANDE</t>
  </si>
  <si>
    <t>QUEMA DE PASTIZAL EN LOTE</t>
  </si>
  <si>
    <t>TRESHORAS</t>
  </si>
  <si>
    <t>CENTRO DE ACOPIO RECICLAJE Y COFI BAR</t>
  </si>
  <si>
    <t>RESCATE PARAPENTISTA EN EL ESTADIO</t>
  </si>
  <si>
    <t>UNA HORA Y SIETE MINUTOS</t>
  </si>
  <si>
    <t>EL MATADERO MUNICIPAL</t>
  </si>
  <si>
    <t>CR 9 VIA LAS PALMAS</t>
  </si>
  <si>
    <t>REUBICACION DE ABEJAS</t>
  </si>
  <si>
    <t>DOS HORAS CON VEINTE MINUTOS</t>
  </si>
  <si>
    <t>KR 13#13-80</t>
  </si>
  <si>
    <t xml:space="preserve">INSPECCION DE SEGURIDAD
</t>
  </si>
  <si>
    <t>UNA HORA QUINCE MUNUTOS</t>
  </si>
  <si>
    <t>CALLE 16# 5-45</t>
  </si>
  <si>
    <t>INSPECCION DE SUGURIDAD</t>
  </si>
  <si>
    <t>KR 20# 18-48</t>
  </si>
  <si>
    <t>CALLE 23 20 88</t>
  </si>
  <si>
    <t>SE REALIZA CATURA DE ABEJAS ETSABAN UN PALO Y ESTABAN PICANDO LA COMUNIDAD SE LIBERARON A LAS AFUERA DEL MUNICIPIO</t>
  </si>
  <si>
    <t>CALLE 23#20-90</t>
  </si>
  <si>
    <t>VEHICULO QUE SE SALIO DE LA VIA</t>
  </si>
  <si>
    <t>B-3, B-4, L-1, L-2</t>
  </si>
  <si>
    <t>QUEBRADA PAJARO DE ORO</t>
  </si>
  <si>
    <t>ARBOL QUE CAE SOBRE EL CUSE DE LA QUEBRADA</t>
  </si>
  <si>
    <t>CANCA DE EL CARMEN</t>
  </si>
  <si>
    <t>PARAPENTE QUE ESTABA COLGADO DE UN ARBOL</t>
  </si>
  <si>
    <t>QUEBRADAS</t>
  </si>
  <si>
    <t>REVICION DE CAIDA DE ARBOLES</t>
  </si>
  <si>
    <t>INCENDIO QUE SE PRESENTA EN UNA CERCA AFETANDO DOS PREDIOS Y AMENZANDO UN CULTIVO DE GUAYABA SE LOGRA CONTROLAR EL INCENDIO</t>
  </si>
  <si>
    <t>20 METROS DE CERCO EN SIGWLA</t>
  </si>
  <si>
    <t>HORA TREINTA Y CINCO MINUTOS</t>
  </si>
  <si>
    <t>CL 18 # 15-73</t>
  </si>
  <si>
    <t>CL 14 # 36-06</t>
  </si>
  <si>
    <t>CALLE 25 # 15-12</t>
  </si>
  <si>
    <t>AL LLEGAR AL SITIO VERIFICAN QUE SON ABEJAS PASAJERAS Y DEJAN RECOMENDACIONES MIENTRAS SE VAN</t>
  </si>
  <si>
    <t>CR 17 # 28-00</t>
  </si>
  <si>
    <t>PAN UVA</t>
  </si>
  <si>
    <t>SE REALIZA CONTROL DE ABEJAS EN EL APRQUE NACIONAL DE LA UVA</t>
  </si>
  <si>
    <t>CALLE 22 CON CARR 24</t>
  </si>
  <si>
    <t>SE REALIZA CONTROL DE ABEJAS</t>
  </si>
  <si>
    <t>PIMPOLLO</t>
  </si>
  <si>
    <t>INCENDIO FORESTAL EN LOTE VALDIO ALEDAÑO A PIMPOLLO</t>
  </si>
  <si>
    <t>300 MT2</t>
  </si>
  <si>
    <t>UNA HORA Y CINCO MINUTOS</t>
  </si>
  <si>
    <t>CALLE 16#4-61</t>
  </si>
  <si>
    <t>CR 13 # 21 46</t>
  </si>
  <si>
    <t>SE REALIZA CONTROL DE ABEJAS EN UN TERCER PISO</t>
  </si>
  <si>
    <t>VIA LA UNION TORO PEDREGAL</t>
  </si>
  <si>
    <t>SE REALIZA CONTROL DE ABEJAS EN VIVIENDA</t>
  </si>
  <si>
    <t>CARRERA 11 CON 8</t>
  </si>
  <si>
    <t>SE REALIZA ACORDONONAMIENTO DEL AREA POR CAIDA DE POSTE SONBRE UNA CAMIONETA MIENTRAS LLEGAN FUNCIONARIOS DE CELCIA</t>
  </si>
  <si>
    <t>CALLE 25# 15 12</t>
  </si>
  <si>
    <t>SE REALIZA CONTROL DE ABEJAS HACIENDO CATURA Y SIENDO LIBERADAS EN LAS AFUERAS DEL MUNICIPIO</t>
  </si>
  <si>
    <t>CALLE 18 # 20 - 40</t>
  </si>
  <si>
    <t>ROPTURA DE TUBO DEL GAS NATURAL POR TRABAJO DE CONSTRUCCIÓN EN EL LUGAR</t>
  </si>
  <si>
    <t>VIVIENDAS ALEDAÑAS</t>
  </si>
  <si>
    <t>CALLE1#15-75</t>
  </si>
  <si>
    <t>CALLE 14#13-13</t>
  </si>
  <si>
    <t>ENTRADA A LA VEREDA CORSEGA</t>
  </si>
  <si>
    <t>LA LLEGAR AL SITIO INFORMA EL SEÑOR DE LA FINCA QUE YA HABIAN EMIGRADO</t>
  </si>
  <si>
    <t>CALLE 14 # 12 10</t>
  </si>
  <si>
    <t>SE REALIZA RECUPERACION DE UNA HIGUANA QUE SE ENCONTRABA DENTRO DE UNA VIVIENDA Y SE LIBERA EN LOS ARBOLES DE LA PARTE DE ATRAS DE LAS INSTALACIONES DE BOMBEROS</t>
  </si>
  <si>
    <t>CALLE 20 # 16 21</t>
  </si>
  <si>
    <t>SEE REALIZA RECUPERACION DE UN PANAL DE ABEJAS QUE SE ENCONTRABA EN PATIO DE UNA CASA Y S ELIBERAN EN LAS AFUERAS DEL MUNICIPIO</t>
  </si>
  <si>
    <t>VEREDA HOYO HONDO</t>
  </si>
  <si>
    <t>HOYO HONDO</t>
  </si>
  <si>
    <t>VERIFICACION Y RECOLECION DE DATOS Y FUENTES HIDRICAS PARA ABASTECIMIENTOS DE AGUA EN CASO DE EMERGENCIA Y VERIFICACION DE VIAS DE ZONA RURAL</t>
  </si>
  <si>
    <t>CUARENTE Y CINCO MINUTOS</t>
  </si>
  <si>
    <t>KR 18#17-22</t>
  </si>
  <si>
    <t>KR 20#13-28</t>
  </si>
  <si>
    <t>CAMPESINA BAJA POR LA FINCA LOS CORRALES</t>
  </si>
  <si>
    <t>SE RECIBE LLAMADA DEL PATRULLERO TASCON QUIEN INFORMA DE UNA QUEMA</t>
  </si>
  <si>
    <t>DESHECHOS</t>
  </si>
  <si>
    <t>CR 20 # 13-28</t>
  </si>
  <si>
    <t>ABEJAS DENTRO DE VIVIENDA</t>
  </si>
  <si>
    <t>FINCA LOS CACHORROS</t>
  </si>
  <si>
    <t>41 MINUTOS</t>
  </si>
  <si>
    <t>VIA LA UNION SAN LUIS</t>
  </si>
  <si>
    <t>ARBOL QUE ESTABA PRENDIDO</t>
  </si>
  <si>
    <t>KR 19#12-27</t>
  </si>
  <si>
    <t>FUGA DE GAS POR ESCAVACION</t>
  </si>
  <si>
    <t>EL PARDO M E CASA 5 Y 6</t>
  </si>
  <si>
    <t>URB EL PRADO</t>
  </si>
  <si>
    <t>SE REALIZA CATURA Y LIBERACION EN LAS AFURERA DEL PUEBLO</t>
  </si>
  <si>
    <t>FINCA LA BRASILERA</t>
  </si>
  <si>
    <t>SALSA MENTARIA LOS ATEÑOS</t>
  </si>
  <si>
    <t>CASA CURAL</t>
  </si>
  <si>
    <t>PANAL DE ABEJAS</t>
  </si>
  <si>
    <t>CL 22 # 20-64</t>
  </si>
  <si>
    <t>CRR 12B # 8-14</t>
  </si>
  <si>
    <t>DESPENSA</t>
  </si>
  <si>
    <t>POSIBLE INCENDIO FORESTAL</t>
  </si>
  <si>
    <t>0.32 HECTAREAS</t>
  </si>
  <si>
    <t>CALLE 14 # 18 - 30</t>
  </si>
  <si>
    <t>ARBOL DE MAMONCILLO QUE SE DESGAJA Y CAE SOBRE UN TECHO</t>
  </si>
  <si>
    <t>NO</t>
  </si>
  <si>
    <t>CARRERA 14 # 7A - 33</t>
  </si>
  <si>
    <t>ABEJAS DENTRO DE UNA VIVIENDA</t>
  </si>
  <si>
    <t>FINCA PRECEOS EN CERVALLE</t>
  </si>
  <si>
    <t>SE REALIZA CONTRO DE ABEJAS QU ESTABAN EN UN PALO DE MATARATON EN UN POTRERO</t>
  </si>
  <si>
    <t>CL 13 # 14-11</t>
  </si>
  <si>
    <t>CR 15 # 11-44</t>
  </si>
  <si>
    <t>CARRERA 14 18 18</t>
  </si>
  <si>
    <t>SE REALIZA VERIFICACION Y SE DEJA RECOMENDACIONES DE CONSEGUIR ANDAMIOS PARA PODER HACER CONTROL YA QUE ESTAN EN UN ARBOL MUY ALTAS</t>
  </si>
  <si>
    <t>CL 13 # 11-33</t>
  </si>
  <si>
    <t>CR 14 # 14-42</t>
  </si>
  <si>
    <t>MEJIA ROSA</t>
  </si>
  <si>
    <t>CR 13 # 14-46</t>
  </si>
  <si>
    <t>D1</t>
  </si>
  <si>
    <t>VISITA</t>
  </si>
  <si>
    <t>CL 22 # 14-14</t>
  </si>
  <si>
    <t>SAN PEDRO D1</t>
  </si>
  <si>
    <t>FRENTE AL PARQUE DE SAN LUIS</t>
  </si>
  <si>
    <t xml:space="preserve">SE REALIZA INSPECION Y VERIFICACION DE ABEJAS EN LA ESQUINA DEL TRABUCO Y PANDEYUCA FRENTE AL PARQUE DE SAN LUIS SE DA RECOMENDACION Y SE QUEDA PROGRAMADOS CON ELLOS PARA REALIZAR CONTROL EL DOMINGO 
</t>
  </si>
  <si>
    <t>DOS HORAS CON DIEZ MINUTOS</t>
  </si>
  <si>
    <t>QUEBRADA GRANDE EL JARDIN</t>
  </si>
  <si>
    <t>INCENDIO ESTRUCTURAL EN FINCA</t>
  </si>
  <si>
    <t>FINCA LA BOSCONIA</t>
  </si>
  <si>
    <t>SE REALIZA CONTROL DE ABEJAS QUE SE ENCOTRABAN EN UNA HABITACION DE LA VIVIENDA SE CATURAN Y SE LIBERAN EN UNA ZONA LIBRE</t>
  </si>
  <si>
    <t>ENTRADA PRADOS DEL NORTE</t>
  </si>
  <si>
    <t>SE HACE ISNPECION DE ABEJAS EN LA ENTRADA DE PRADOS DEL NORTE Y SE OBSERVE QUE PARA HACER CONTROL SE DEBE CONSEGUIR UN CARRO CANASTILLA POR QUE ESTAN UN ARBOL MUY ALTA</t>
  </si>
  <si>
    <t>CENTRO CALLE 15 ENTRE 15 Y 16</t>
  </si>
  <si>
    <t>SE REALIZA VISITA DE SEGURIDAD AL ESTABLECIMIENTO ALMACEN QUESS</t>
  </si>
  <si>
    <t>CARRE 13 CON CALLE 26</t>
  </si>
  <si>
    <t>PUENTE DE LOS TARUGOS</t>
  </si>
  <si>
    <t>QUEMA DE UN COLCHON AL LADO DE UN PREDIO EL CUAL SE PUEDE PROPAGAR</t>
  </si>
  <si>
    <t>carrera 14 a 22 01</t>
  </si>
  <si>
    <t>al llegar al sitio se verifica que el imcendio ya habia sido controlado por la comunidad se hace una inspecion y se dejan recomendaciones afetacion del incendio en una piesa de la vivienta donde se quemo una cama y algunos enseres</t>
  </si>
  <si>
    <t>1.5 HORAS</t>
  </si>
  <si>
    <t>VIA LA UNION - ROLDANILLO</t>
  </si>
  <si>
    <t>VEREDA PORTACHUELO</t>
  </si>
  <si>
    <t>AUXILIO A COMPAÑERO RUBEN PELAEZ QUE SE ENCONTRABA DESAPARECIDO Y FUE HALLADO EN EL PICACHO Y FUE TRASLADADO EN LA AMBULANCIA DE SUBSALUD AL HOSPITALÑ GONZALO CONTRERAS</t>
  </si>
  <si>
    <t>TREINTA Y DOS MINUTOS</t>
  </si>
  <si>
    <t>CALLE 12#10-35</t>
  </si>
  <si>
    <t>CARRERA 12 #8 111</t>
  </si>
  <si>
    <t>LA FLORESTA</t>
  </si>
  <si>
    <t>AL LLEGAR AL SITIO SE OBSERBA UN INCENDIO DE PASTIZAL EN UN LOTE BALDIVIO SE QUEMARON APROXIMADAMENTE 100 MTROS CUADRADOS SE HACE ATAQUE DIRETO CON CHORRO DE UNA Y MEDIA</t>
  </si>
  <si>
    <t>KR 15#15-44</t>
  </si>
  <si>
    <t>INSPECCION DE SEGURIDAD MEGA DOLAR</t>
  </si>
  <si>
    <t>CLL 15#14-70</t>
  </si>
  <si>
    <t>MANZANA L CASA 79</t>
  </si>
  <si>
    <t>RESCATE DE UN GATO QUE SE ENCUENTRA EN UN TECHO</t>
  </si>
  <si>
    <t>CALLE 22 # 21 36</t>
  </si>
  <si>
    <t>AL LLEGAR AL SITIO SE OBSERBA NIDO DE ABEJAS DENTRO DE UN ARMARIO EL CUAL SE PROSEDE AHCER CATURA Y SER LIBERADAS EN OTRO LUGAR</t>
  </si>
  <si>
    <t>CALLE 14#13-25</t>
  </si>
  <si>
    <t>CALLE 16#7-17</t>
  </si>
  <si>
    <t>CALLE 16#11-56</t>
  </si>
  <si>
    <t>POR LA SEGUNDA CANAL</t>
  </si>
  <si>
    <t>SE REALIZA CONTROL DE ABEJAS EN LA FINCA CENTIA COLOMBIA SIENDO CATURADAS Y LIBERADAS</t>
  </si>
  <si>
    <t>VIA LA UNION LA VICTRORIA</t>
  </si>
  <si>
    <t>CONTROL DE ABEJAS NO SE HACE POR LA COMPLEJIDAD</t>
  </si>
  <si>
    <t>CHALET VIA LA UNION TORO</t>
  </si>
  <si>
    <t>SE REALIZA CONTROL DE INCENDIO EN UN GUADUAL EN EL CHALET AL FRENTE DEL AMPARO</t>
  </si>
  <si>
    <t>500 METROS CUADRADOS</t>
  </si>
  <si>
    <t>CALLE 13#23256</t>
  </si>
  <si>
    <t>PERSONA QUE SUFRE CAIDA DE UNA ALTURA APROXIMADA DE 8 METROS</t>
  </si>
  <si>
    <t>QUEMA DE BASURA NO SE REALIZO NINGUNA LABOR</t>
  </si>
  <si>
    <t>CALLE 12 12-10</t>
  </si>
  <si>
    <t>INCENDIO DE UN AUTO</t>
  </si>
  <si>
    <t>B-2, B-3, B-4, L-1</t>
  </si>
  <si>
    <t>KL 1 VIA A SAN LUIS</t>
  </si>
  <si>
    <t>VIA TAMBORAL</t>
  </si>
  <si>
    <t>SAN JOSE</t>
  </si>
  <si>
    <t>QUEMA DE UNA SINGLA</t>
  </si>
  <si>
    <t>HORA Y 30 MINUTOS</t>
  </si>
  <si>
    <t>CALLE 11 VILLA KERLY</t>
  </si>
  <si>
    <t>VILLA KERLY</t>
  </si>
  <si>
    <t>QUEMA FORESTAL</t>
  </si>
  <si>
    <t>.</t>
  </si>
  <si>
    <t>CARRERA 18 #19-52</t>
  </si>
  <si>
    <t>CRA 13 #13-24</t>
  </si>
  <si>
    <t>KL 1 VIA A TORO</t>
  </si>
  <si>
    <t>ALMACEN KANUTO</t>
  </si>
  <si>
    <t>AMBULANCIA SUBSALD PIDE APOYO PARA BAJAR UNA SEÑORA CON PROBLEMAS DE COLUMNA DE UN SEGUNDO PISO PARA SER TRASLADADA AL HOSPITAL</t>
  </si>
  <si>
    <t>CRR 15 CON 2</t>
  </si>
  <si>
    <t>AL LLEGAR AL SITIO SE IBSERBA UNA FUGA DE GAS POR ESCABACION SE PRECEDE A ACORDONAR EL AREA SE HACE PREVENCION HASTA QUE LLEGA FUNCIANRIO DE GASES DE OCCIDENTE</t>
  </si>
  <si>
    <t>FINCA VILLA DAYANA</t>
  </si>
  <si>
    <t>FINCA LA SILVANA</t>
  </si>
  <si>
    <t>CARRERA 20 #18-60</t>
  </si>
  <si>
    <t>CAMINOS</t>
  </si>
  <si>
    <t>SE REALIZA RECUPERACION DE ENJAMBRE DE ABEJAS QUE SE ENCONTRABAN DENTRO DE UNA VIVIENDA FUERON LIBERADAS EN LA VEREDA LA ISLA</t>
  </si>
  <si>
    <t>MEDIA AHORA</t>
  </si>
  <si>
    <t>CALLE 8 CON 14</t>
  </si>
  <si>
    <t>AL LLEGAR AL SITIO SE ENCUENTRAN CON FUGA DE GAS DE GAS POR ESCABACION SE REALIZA PREVENCION MIENTRAS EL TECNICO DE GASES HACE EL CONTRO</t>
  </si>
  <si>
    <t>SE REALIA ACOMAPAÑAMIENTO A QUEMA DE FUEGOS ARTIFICIALES POR EL DIA DE SAN JOSE</t>
  </si>
  <si>
    <t>% 
INCIDENCIA</t>
  </si>
  <si>
    <t>EMERGENCIAS</t>
  </si>
  <si>
    <t>CANTIDAD</t>
  </si>
  <si>
    <t>% INCIDENCIA</t>
  </si>
  <si>
    <t>1 HORA Y 14 MINUTOS</t>
  </si>
  <si>
    <t>POR LOS LADOS DE LA GUARDERIA GRANDE</t>
  </si>
  <si>
    <t>QUEMAS FORESTAL DE CERCO DE GUADUA</t>
  </si>
  <si>
    <t>04'32.1145-76-60097</t>
  </si>
  <si>
    <t>1 HORA Y 37 MINUTOS</t>
  </si>
  <si>
    <t>VEREDA DESPENSA</t>
  </si>
  <si>
    <t>QUE FORESTAL EN LADERA DE MONTAÑA</t>
  </si>
  <si>
    <t>DOS HORAS Y DIEZ MINUTOS</t>
  </si>
  <si>
    <t>FINCA EL TRINFO</t>
  </si>
  <si>
    <t>CUATRO HORAS Y DIEZ MINUTOS</t>
  </si>
  <si>
    <t>SECTOR AGRICULTURA</t>
  </si>
  <si>
    <t>URBANIZACION LOS HATEÑOS</t>
  </si>
  <si>
    <t>LOS HATEÑOS</t>
  </si>
  <si>
    <t>RESCATE ANIMAL EN TECHO DE VIVIENDA</t>
  </si>
  <si>
    <t>BARRIO EL CARMEN</t>
  </si>
  <si>
    <t>VERIFICACION DE CUERDAS CAIDAS</t>
  </si>
  <si>
    <t>VEINTE MUNUTOS</t>
  </si>
  <si>
    <t>PANORAMA</t>
  </si>
  <si>
    <t>QUEMA DE BASURA</t>
  </si>
  <si>
    <t>OCHO HORAS</t>
  </si>
  <si>
    <t>VIA LA UNION TORO EN LA CANCHA</t>
  </si>
  <si>
    <t>ALFRENTE DE LA GUARDERIA PRINCIPAL</t>
  </si>
  <si>
    <t>INSPECCION CIRCO</t>
  </si>
  <si>
    <t>KR 15#15-31</t>
  </si>
  <si>
    <t>VIA HOTEL VALLE LINDO</t>
  </si>
  <si>
    <t>LA HABANA</t>
  </si>
  <si>
    <t>CAIDA DE ARBOL SOBRE LA VIA</t>
  </si>
  <si>
    <t>4 HORAS y 1/2</t>
  </si>
  <si>
    <t>LA MONTAÑUELA</t>
  </si>
  <si>
    <t>APOYO A ROLDANILLO</t>
  </si>
  <si>
    <t>APOYO AL CBV ROLDANILLO EN INCENDIO FORESTAL</t>
  </si>
  <si>
    <t>CARRERA 2 # 2-60</t>
  </si>
  <si>
    <t>RESCATE DE VIHICULO POR ABEJAS ALVOROTADAS</t>
  </si>
  <si>
    <t>4.57300.7-76070087</t>
  </si>
  <si>
    <t>DIAGONAL MOTEL LOS DOS</t>
  </si>
  <si>
    <t>SE REALIZA VISITA DE SEGURIDAD EN LA FINCA LA BRASILERA</t>
  </si>
  <si>
    <t>DE LA GALERIA AL CENTRO</t>
  </si>
  <si>
    <t>ACOMPAÑAMIENTO SEMANA SANTA</t>
  </si>
  <si>
    <t>B-3, B-4, L-2</t>
  </si>
  <si>
    <t>RECORRIDO POR VARIAS CALLES DEL MUNICIPIO</t>
  </si>
  <si>
    <t>PROCESION SANTO CEPULCRO</t>
  </si>
  <si>
    <t>B-2, B-3, L-2</t>
  </si>
  <si>
    <t>RONBOY AL CENTRO</t>
  </si>
  <si>
    <t>ACOMPAÑAMIENTO A LA PROCESION DEL SANTO VIACRUSIS</t>
  </si>
  <si>
    <t>TRES HORAS Y TREINTA MINUTOS</t>
  </si>
  <si>
    <t>PARQUE L PRADO HASTA EL CENTRO</t>
  </si>
  <si>
    <t>PROCESION DE LA DOLOROSA</t>
  </si>
  <si>
    <t>CALLE 16 # 21A - 55</t>
  </si>
  <si>
    <t>INUNDACION A VIVIENDA FAMILIAR</t>
  </si>
  <si>
    <t>VIA SAN LIS TORO</t>
  </si>
  <si>
    <t>FINCA CAUCASIA</t>
  </si>
  <si>
    <t>RESCATE DE UNA VACA QUE CAE A UN POSO</t>
  </si>
  <si>
    <t>CALLE 16 # 21A -55</t>
  </si>
  <si>
    <t>BELLA VISTA BAJA</t>
  </si>
  <si>
    <t>INUNDACION DE VIVIENDA POR REVOSAMIENTO DE ALCANTARILLADO</t>
  </si>
  <si>
    <t>CANCHA DE SAN LUIS</t>
  </si>
  <si>
    <t>AL LLEGAR AL SITIO SE OBSERVA UNA CASA QUE YA LOS HABIATANTES DE LA MISMA HABIAN SACADO EL AGUA SE REGRESA LA CUARTEL</t>
  </si>
  <si>
    <t>CALLE 14#13-53</t>
  </si>
  <si>
    <t>INSPECCION D SEGURIDAD</t>
  </si>
  <si>
    <t>4531139-76102015</t>
  </si>
  <si>
    <t>KR 14#13-22</t>
  </si>
  <si>
    <t>ULTRA IMAGEN</t>
  </si>
  <si>
    <t>4530613-76103086</t>
  </si>
  <si>
    <t>CILINDROS DE GAS QUE CALLERON DE UN VEHICULO-- FALSA ALARMA</t>
  </si>
  <si>
    <t>CLL 16#3-51</t>
  </si>
  <si>
    <t>LICORES BAR CHAPO</t>
  </si>
  <si>
    <t>CLL 14#12-25</t>
  </si>
  <si>
    <t>CLINICA MARIA PEÑA</t>
  </si>
  <si>
    <t>KR 13#14-59</t>
  </si>
  <si>
    <t>DENTIX WHITE</t>
  </si>
  <si>
    <t>CARRERA 14 # 13-55</t>
  </si>
  <si>
    <t>COORDENADAS</t>
  </si>
  <si>
    <t>DESPENSITA</t>
  </si>
  <si>
    <t>INFORMAN DE UNA QUEMA, LA CUAL SE VISUALIZA DESDE LEJOS MUCHO HUMO EN LA ZONA VEJETAL, SE REALIZA LABORES DE EVALUACIÓN Y SE EVIDENCIA UNA QUEMA CONTROLADA CERCA A UNA PROPIEDAD</t>
  </si>
  <si>
    <t>PANADERIA TOLIMA</t>
  </si>
  <si>
    <t>INFORMAN AL MOMENTO ENJAMBRE DE ABEJAS EN EL LUGAR</t>
  </si>
  <si>
    <t>GRANERO HOLGUIN</t>
  </si>
  <si>
    <t>LLEGA AL PATIO DE LA PROPIEDAD ENJAMBRE DE ABEJAS Y SE POSAN EN UN ARBOL</t>
  </si>
  <si>
    <t>ROLDANILLO, VALLE DEL CAUCA</t>
  </si>
  <si>
    <t>VIA ROLDANILLO - EL DOVIO</t>
  </si>
  <si>
    <t>APOYO EN INCENDIO FORESTAL AL CBV DE ROLDANILLO VALLE DEL CAUCA</t>
  </si>
  <si>
    <t>APOYO A CBV OBANDO</t>
  </si>
  <si>
    <t>APOYO A CBV DE OBANDO EN ATAQUE DE ABEJAS</t>
  </si>
  <si>
    <t>FINCA VILLA SARAHI</t>
  </si>
  <si>
    <t>SE REALIZA RECUPERACION DE ABEJAS Y SE LIBERAN A LAS AFUERA DEL MUNICIPIO</t>
  </si>
  <si>
    <t>SE REALIZA RECUPERACION DE ABEJAS</t>
  </si>
  <si>
    <t>GUARDERIA EL JARDIN</t>
  </si>
  <si>
    <t>SE DAN RECOMENDACIONES DE DESPACHAR LOS NIÑOS A LA CASA POR SEGURIDAD MIENTRAS QUE SE REALIZA EL CONTROL</t>
  </si>
  <si>
    <t>TRES HORAS CON DIEZ MINUTOS</t>
  </si>
  <si>
    <t>BARRIO EL POPULAR</t>
  </si>
  <si>
    <t>PIMPOLLO VIA LA UNION LA VICTORIA</t>
  </si>
  <si>
    <t>COLICEO ANGELINO GARZON</t>
  </si>
  <si>
    <t>SE REALIZA ACOMPAÑAMIENTO A LA VISITA DE LA GOBERNADORA DILIAN FRANCISCA EN EL COLICEO ANGELINO GARZON</t>
  </si>
  <si>
    <t>CALLE 14 CON CARRERA 9 ESQUINA</t>
  </si>
  <si>
    <t>AL LLEGAR AL SITIO SE OBSERBA INCENDIO ESTRUTURAL EN LAS OFICINAS DE LA ESTACION DE SERVICIO BIOMAX EL CUAL YA LOS TRABAJADORES HABIAN CONTROLADO CON EXTINTORES SE PROSEDIO ACABAR DE REFRIGERAR Y CONTROLAR FOCOS CALIENTES</t>
  </si>
  <si>
    <t>FRENTE A LA ERMITA</t>
  </si>
  <si>
    <t>1 HORA Y MEDIA</t>
  </si>
  <si>
    <t>GUARDERIA CENTRAL</t>
  </si>
  <si>
    <t>SE REALIZO JORNADA LUDICA CON LOS NIÑOS DE LA GUARDERIA, CELEBRANDO EL DIA DEL NIÑO</t>
  </si>
  <si>
    <t>PARQUE SAN LUIS</t>
  </si>
  <si>
    <t>CAMPEONATO RELAMPAGO DE MICROFUTBOL, REALIZA PROGRAMA VÍAS DEL SAMAN Y ALCALDIA MUNICIPAL</t>
  </si>
  <si>
    <t>CALLE 21 # 12 - 89</t>
  </si>
  <si>
    <t>TALLER CREATIVO</t>
  </si>
  <si>
    <t>CALLE 18 15-46</t>
  </si>
  <si>
    <t>CALLE 15 15 63</t>
  </si>
  <si>
    <t>UNA HORA CON QUINCE MINUTOS</t>
  </si>
  <si>
    <t>KR 16#15-37</t>
  </si>
  <si>
    <t>CAIDA DE ARBOL EN VIA</t>
  </si>
  <si>
    <t>CASA CONSISTORIAL PARQUE PRINCIPAL</t>
  </si>
  <si>
    <t>INUNDACION DENTRO DE LA CASA CONSISTORIAL</t>
  </si>
  <si>
    <t>CALLE 17 # 16-10</t>
  </si>
  <si>
    <t>JARDIN</t>
  </si>
  <si>
    <t>INUDACION</t>
  </si>
  <si>
    <t>CALLE 18 13 30</t>
  </si>
  <si>
    <t>SE REALIZA RESCATE DE UN GATO QUE ESTAB EN PALO NO ERA CAPZ DE BAJARCE DESDE AYER</t>
  </si>
  <si>
    <t>URB EL AMPARO MANZANA B CASA 15</t>
  </si>
  <si>
    <t>SE REALIZA RESCATE DE GATO QUE QUEDO ATRAPADO EN LA CULATA DEL TECHO</t>
  </si>
  <si>
    <t>CL 15 # 14-75</t>
  </si>
  <si>
    <t>POR DETRAS DE LA ESCUELA LAS BRISAS</t>
  </si>
  <si>
    <t>2 CANAL</t>
  </si>
  <si>
    <t>RECOLECION DE ABEJAS</t>
  </si>
  <si>
    <t>KL 1 LA UNION TORO</t>
  </si>
  <si>
    <t>VOLCAMIENTO DE UN VEHICULO SIN NINGUNA ACION BOMBERIL</t>
  </si>
  <si>
    <t>COLEGIA ARGEMIRO ESCOBAR</t>
  </si>
  <si>
    <t>PERSONA QUE CAE DE UN TECHO</t>
  </si>
  <si>
    <t>CR 17 # 20-91</t>
  </si>
  <si>
    <t>AVISPA EN CASA</t>
  </si>
  <si>
    <t>KLM 3 LA UNION LA VICTORIA</t>
  </si>
  <si>
    <t>RAMA DE ARBOL CAIDA SOBRE LA VIA</t>
  </si>
  <si>
    <t>CUERPO DE BOMBEROS VOLUNTARIOS, LA UNIÓN, VALLE DEL CAUCA
ESTADISTICA DE GESTION INTEGRAL DEL RIESGO CONTRA INCENDIOS
 DEL AÑO 2013 AL 2023</t>
  </si>
  <si>
    <t>PARQUE RECREACIONAL</t>
  </si>
  <si>
    <t>CELEBRACION SEL DIA DEL NIÑO</t>
  </si>
  <si>
    <t>COLISEO ARGEMIRO GARZON</t>
  </si>
  <si>
    <t>EVENTO DE BMX</t>
  </si>
  <si>
    <t>VEREDA VIOLETAS</t>
  </si>
  <si>
    <t>CAIDA DE ARBOL SOBRE VIA PUBLICA</t>
  </si>
  <si>
    <t>FINCA LA MARIA</t>
  </si>
  <si>
    <t>VIA A LA CENAGUETA</t>
  </si>
  <si>
    <t>SE REALIZA CONTROL DE ABEJAS QUE SE POSARON EN UNA COLUMNA DEL PATIO</t>
  </si>
  <si>
    <t>GALERIA</t>
  </si>
  <si>
    <t xml:space="preserve">SE REALIZA VISITA DE SEGURIDAD ESTABLECIMIENTO ESTANQUILLO LA 16
</t>
  </si>
  <si>
    <t>SE REALIZA ACORDONAMIENTO Y SEGURIDA DDE PREVENCION HATS AQUE LLEGA LOS FUNCIONARIOS DE GASES DE OCCIDENTE</t>
  </si>
  <si>
    <t>KR 16#11-22</t>
  </si>
  <si>
    <t>CALLE LINDA</t>
  </si>
  <si>
    <t>VIVIENDA INUNDADA POR ALCANTARILLA</t>
  </si>
  <si>
    <t>VEITE MINUTOS</t>
  </si>
  <si>
    <t>CLL 16#10-33</t>
  </si>
  <si>
    <t>VIVIVENDA INUNDADA POR ALCANTARILLA</t>
  </si>
  <si>
    <t>HORA VEINTE MINUTOS</t>
  </si>
  <si>
    <t>CUERDA QUE CAE PRODUCIENDO CHISPA CON RIESGO DE VIVIENDA</t>
  </si>
  <si>
    <t>TREINTA Y CINCO MINUTOS</t>
  </si>
  <si>
    <t>EL LUCERO PARTE BAJA</t>
  </si>
  <si>
    <t>VERIFICACION DE VIVIENDAS POR CRECIENTE DE QUEBRADA</t>
  </si>
  <si>
    <t>QUINCE MINUTOS</t>
  </si>
  <si>
    <t>VIA AL MOTEL LOS DOS</t>
  </si>
  <si>
    <t>CERCO DE UN LOTE QUE CAE EN VIA PUBLICA</t>
  </si>
  <si>
    <t>REVICION DE VIVIENDAD POR RIESGO DE INUNDACION</t>
  </si>
  <si>
    <t>CLL 8# 15-40</t>
  </si>
  <si>
    <t>RESCATE ANIMAL EN UNA VIVIENDA</t>
  </si>
  <si>
    <t>1/2 HORA</t>
  </si>
  <si>
    <t>CALLE 18A # 14-16</t>
  </si>
  <si>
    <t>ABEJAS AGLOMERADAS DENTRO DEL ESTABLECIMIENTO</t>
  </si>
  <si>
    <t>CL 16 # 13-30</t>
  </si>
  <si>
    <t>RESCATE DE UNA SERPIENTE</t>
  </si>
  <si>
    <t>DOSHORAS CON DIEZ MINUTOS</t>
  </si>
  <si>
    <t>CALL 14#24-57</t>
  </si>
  <si>
    <t>CUERDA DE ENERGIA REVENTADA SOBRE LA VIA</t>
  </si>
  <si>
    <t>CARRERA 9B 20 112</t>
  </si>
  <si>
    <t>INCENDIO EN LAS CUERDAS DE ENERGIA POR CORTO CIRCUITA DE LA CAJA QUE ESTA SOBRE EL POSTE</t>
  </si>
  <si>
    <t>VI A ALA VICTORIA</t>
  </si>
  <si>
    <t>SE VERIFICO TRES DIRECCIONES DONDE HABIAN REPORTADO CONTROLES DE ABEJAS EL CUAL EN DOS DE ELLOS YA SE HABIAN HIDO EL QUEDA PENDIENTE POR HACER CONTROL ES EL DE LA VIA A LA VICTORIA.</t>
  </si>
  <si>
    <t>CARRERA 19# 21-43</t>
  </si>
  <si>
    <t>SE REALIZA CAPTURAA A TRES ENJAMBRES DE ABEJAS QUE ESTABA EN UN PALO DE EBANO SE LIBERARON EN UNA FINCA DE LA ALCALDIA</t>
  </si>
  <si>
    <t>3.12 HORAS</t>
  </si>
  <si>
    <t>EL MIRADOR</t>
  </si>
  <si>
    <t>VEHICILO TIPO CAMPERO QUE SE VOLCA,CAYENDO AL LADO DE LA VEREDA EL RINCON,SIN ENCONTRAR VICTIMAS</t>
  </si>
  <si>
    <t>KL 6 VIA SABANAZO</t>
  </si>
  <si>
    <t>TRASVERSAL 15 21 - 140</t>
  </si>
  <si>
    <t>AL LLEGAR AL SITIO LES NOTIFICAN QUE ERA UNA CANECA QUE HABIAN COMPRADO AL ABRIRLA PARA LABARLA SALIO UN OLOR FUERTE PERO ELLOS LAVARON CON BASTANTE AGUA EL CUAL YA HABIAN CONTROLADO</t>
  </si>
  <si>
    <t>dos horas y media</t>
  </si>
  <si>
    <t>puente de la victoria hasta molina</t>
  </si>
  <si>
    <t>el banco</t>
  </si>
  <si>
    <t>se realiza una busqueda de persona que reportan perdida desde el lunes segun inicios lo vieron bajar a los lados de la victoria el cual se hace un recorrido desde el puente de la victoria hasta la balsa de molina buscando y dando informacion por si lo llegan a ver popr esos sitios</t>
  </si>
  <si>
    <t>hora y media</t>
  </si>
  <si>
    <t>crr 13 con 19</t>
  </si>
  <si>
    <t>popular</t>
  </si>
  <si>
    <t>SE REALIZA VISITA DE SEGURIDAD AL CIRCO PRA ESPEDIR CERTIFICADO</t>
  </si>
  <si>
    <t>UNA HORA CON VEINTE MINUTOS</t>
  </si>
  <si>
    <t>CALL 20 CON 15</t>
  </si>
  <si>
    <t>CUERDA ELECTRICA QUE CAE SOBRE VIVIENDA GENERANDO RIESGO DE INCENDIO</t>
  </si>
  <si>
    <t>34 MNTOS</t>
  </si>
  <si>
    <t>CALLE 15 CARR 6</t>
  </si>
  <si>
    <t>URBA HATO DE LEMUS</t>
  </si>
  <si>
    <t>BONATO DE INCENDIO ESTRUCTURAL EN LOCAL DE VENTA DE COMIDAS</t>
  </si>
  <si>
    <t>CALLE 15 CARRERA 6</t>
  </si>
  <si>
    <t>22 MINUTOS</t>
  </si>
  <si>
    <t>FRUTERIA JULIAN</t>
  </si>
  <si>
    <t>CR 14 15 37</t>
  </si>
  <si>
    <t>CRA 15 CON CALLE 15</t>
  </si>
  <si>
    <t>CARRERA 10 # 16 67</t>
  </si>
  <si>
    <t>INFORMA EL SARGENTO MORENO QUE EN LA VIVIENDA SE ENCUENTRA SOLAS LAS NIÑAS Y QUE SE ESTAN INUNDANDO POR LAS AGUAS LLUVIAS</t>
  </si>
  <si>
    <t>CALLE 17 CON CARRERA 20 ESQUINA</t>
  </si>
  <si>
    <t>INFORMA LA SRA. LUZ MARY GOMEZ QUE EN LA CASA SE ESTAN INUNDANDO DEBIDO A LAS AGUAS LLUVIAS</t>
  </si>
  <si>
    <t>CALLE 17 # 19 - 10</t>
  </si>
  <si>
    <t>INFORMA LA SRA. ANA CARLINA MONTOYA QUE EN LA CASA SE ESTAN INUNDANDO DEBIDO A LAS AGUAS LLUVIAS</t>
  </si>
  <si>
    <t>CARRERA 20 # 16 - 51</t>
  </si>
  <si>
    <t>INFORMA LA SRA. LUZ DARY BLANDON QUE EN LA CASA SE ESTAN INUNDANDO DEBIDO A LAS AGUAS LLUVIAS</t>
  </si>
  <si>
    <t>CARRERA 20 # 16 - 139</t>
  </si>
  <si>
    <t>INFORMAN QUE EN LA CASA SE ESTAN INUNDANDO DEBIDO A LAS AGUAS LLUVIAS</t>
  </si>
  <si>
    <t>CALLE 22 # 14 - 38</t>
  </si>
  <si>
    <t>INFORMA LA SRA. MARIA IGNACIA GARCIA QUE EN LA CASA SE ESTAN INUNDANDO DEBIDO A LAS AGUAS LLUVIAS</t>
  </si>
  <si>
    <t>CALLE 22 # 14 107</t>
  </si>
  <si>
    <t>INFORMA LA SRA. ANGELICA MURIEL QUE EN LA CASA SE ESTAN INUNDANDO DEBIDO A LAS AGUAS LLUVIAS</t>
  </si>
  <si>
    <t>VIA LA UNION - LA VICTORIA</t>
  </si>
  <si>
    <t>INFORMA DE GESTION DEL RIESGO UNA RAMA QUE SE DESPRENDE UN POCO DEL ARBOL Y QUEDA SOBRE LA CARRETERA, SE HACE VERIFICACIÓN EN LA ZONA, PERO AL MOMENTO YA SE HABIA RETIRADO</t>
  </si>
  <si>
    <t>1 HORA Y 30 MINUTOS</t>
  </si>
  <si>
    <t>PUENTE PAJARO DE ORO</t>
  </si>
  <si>
    <t>INFORMA EL PRESIDENTE DE LA JUNTA SR. DAVID PEREA DE UN CABLE DE ENERGIA SOBRE LA VIA</t>
  </si>
  <si>
    <t>CORTO CIRCUITO EN TRANSFORMADOR</t>
  </si>
  <si>
    <t>SE REALIZA CORTE DE ARBOL POR QUE SE CAYO Y QUEDO ATRAVESADO EN LA VIA</t>
  </si>
  <si>
    <t>SE REALIZA CORTE DE ARBO QUE CAE SOBRE LA VIA SECTOR LAS CINTAS ANTIGUA VIA A ROLDOANILLO DEJANDO DESPEJADA LA VIA</t>
  </si>
  <si>
    <t>SAN MIGUEL LOTE BALDIO</t>
  </si>
  <si>
    <t>CORREJIMIENTO DE SAN LUIS</t>
  </si>
  <si>
    <t>FRENTE A LOS LAGOS</t>
  </si>
  <si>
    <t>3 HORAS 20 MINUTOS</t>
  </si>
  <si>
    <t>CALLE 12 # 14 - 107</t>
  </si>
  <si>
    <t>INUNDACION POR FUERTE LLUVIA</t>
  </si>
  <si>
    <t>1 HORA 20 MINUTOS</t>
  </si>
  <si>
    <t>CL 12 # 20 154</t>
  </si>
  <si>
    <t>INSTITUCION EDUCATIVA SAN JOSE</t>
  </si>
  <si>
    <t>EVENTO MASIVO</t>
  </si>
  <si>
    <t>4 horas y media</t>
  </si>
  <si>
    <t>via toro la union</t>
  </si>
  <si>
    <t>pedregal</t>
  </si>
  <si>
    <t>ARBOL EN ORILLA DE LA VIA CON RIESGO DE COLAPSO</t>
  </si>
  <si>
    <t>MATERIALES PELIGROSOS, OTROS</t>
  </si>
  <si>
    <t>CALLE 14 CON CRA 3</t>
  </si>
  <si>
    <t>DERRAME DE COMBUSTIBLE EN LA VIA</t>
  </si>
  <si>
    <t>CR 14 11 25</t>
  </si>
  <si>
    <t>SE REALIZA VERIFICACION DE ABEJAS QUE ESTAN ALBOROTADAS EN VIA PUBLICA QUEDA PENDIENTE HACER CONTROL EN HORAS DE LA TARDE</t>
  </si>
  <si>
    <t>CARRERA 18#16-57</t>
  </si>
  <si>
    <t>SE REALIZA VERIFICACION DE AVEJAS EN UNA VIVIENDA NO SE PUEDE HACER NADA POR QUE SE ENCUNTRAN EN DENTRO DE UNA LOSA DE CONCRETO SE DEJAN RECOMENDACIONES</t>
  </si>
  <si>
    <t>N</t>
  </si>
  <si>
    <t>KR 19 # 13-54</t>
  </si>
  <si>
    <t>PASUANCHO</t>
  </si>
  <si>
    <t>RESCATE DE UN BUHO EN UNA VIVIENDA</t>
  </si>
  <si>
    <t>KR 17 CON 15</t>
  </si>
  <si>
    <t>DERRAME DE COMBUSTIBLE POR ACCIDENTE DE TRANSITO</t>
  </si>
  <si>
    <t>LA PISTA</t>
  </si>
  <si>
    <t>SE REALIZA LAVADO DE PUENTE NUEVO EN LA ENTRADA DEL HOTEL LOS VIÑEDOS PARA LA REAPERTURA DEL DIA HOY</t>
  </si>
  <si>
    <t>CALLE 11 # 19-55</t>
  </si>
  <si>
    <t>SE REALIZA AUXILIO A PERSONA QU ESE ENCONTRABA EN EL PATIO DE CASA SIENDO EMPAQUETADA Y ENTRAGADA ALA AMBULANCIA DEL HOSPITAL GONZALO CONTRERAS</t>
  </si>
  <si>
    <t>UNA HORA VEINTE MINUTOS</t>
  </si>
  <si>
    <t>KR 13# 14-05</t>
  </si>
  <si>
    <t>KR 13# 14-39</t>
  </si>
  <si>
    <t>VISITA DE SGURIDAD</t>
  </si>
  <si>
    <t>PERSONA ATRAPADA POR ACCIEDENTE DE TRANSITO EN TRATOCAMION</t>
  </si>
  <si>
    <t>CL 14 # 13-67</t>
  </si>
  <si>
    <t>FUMIGACION DEL LOCAL</t>
  </si>
  <si>
    <t>MANAZANA B CASA 12</t>
  </si>
  <si>
    <t>LA ESPERANZA</t>
  </si>
  <si>
    <t>SE ATIENDE INCENDIO ESTRUTURAL DONDE SE QUEMA UNA PIEZA CON ENSERES Y RECICLAJE SIENDO CONTROLADO</t>
  </si>
  <si>
    <t>FINCA FEGA</t>
  </si>
  <si>
    <t>SE RECIBE LLAMADA DE LA SEÑORA MARTHA BORJA INFORMANDO QUE UN CABALLO SE FUE A UNA ALCANTARILLA</t>
  </si>
  <si>
    <t>CALLE 25 # 15 - 28</t>
  </si>
  <si>
    <t>PERSONA QUE POR PROBLEMAS MENTALES SE PIERDE</t>
  </si>
  <si>
    <t>LAGOS DE MONICA</t>
  </si>
  <si>
    <t>KILOMETRO 1 VIA LA UNION - SAN LUIS</t>
  </si>
  <si>
    <t>CAIDA DE RAMA SOBRE LA VIA</t>
  </si>
  <si>
    <t>CAMPEONATO BMX</t>
  </si>
  <si>
    <t>COLEGIO SAN JOSE</t>
  </si>
  <si>
    <t>ENJAMBRE DE ABEJAS EN EL TECHO DE UN SALON</t>
  </si>
  <si>
    <t>42 MINUTOS</t>
  </si>
  <si>
    <t>CRA 13 15 64</t>
  </si>
  <si>
    <t>PERSONA MENOR DE EDAD QUE SE LE QUEDA ATASCADA UNA MANO EN UN MOLINO</t>
  </si>
  <si>
    <t>SE INFORMA DE UNA QUEMA QUE SALE DE CONTROL</t>
  </si>
  <si>
    <t>LOTE ALFRENTE DE LA GUARDERIA GRANDE</t>
  </si>
  <si>
    <t>QUEMA NO ENCONTRADA</t>
  </si>
  <si>
    <t>LADRILLERA EL BRILLANTE</t>
  </si>
  <si>
    <t>INFORMAN DE UN ATAQUE DE ABEJAS AL GANADO DE UNA PROPIEDAD</t>
  </si>
  <si>
    <t>45 mntos</t>
  </si>
  <si>
    <t>CRA 14 # 11 14 MAGIC ROSA</t>
  </si>
  <si>
    <t>SE REALIZA VISITA DE SEGURIDAD AL ESTABLECIMIENTO MAGIC ROSA</t>
  </si>
  <si>
    <t>CRA 14 CALLE 11</t>
  </si>
  <si>
    <t>AL LLEGAR AL SITIO SE OBSERVA QUE ES UNA QUEMA DE RESIDUOS AGRICOLAS CONTROLADA SE REALIZA REFRIGERACION DE PUNTOS CALIENTES</t>
  </si>
  <si>
    <t>EL LUCERO POR LA PISTA DE MOTO CROSS</t>
  </si>
  <si>
    <t>37 MNTOS</t>
  </si>
  <si>
    <t>HOTEL HACIENDA CASA BLANCA</t>
  </si>
  <si>
    <t>FUGA DE GAS NATURAL POR ROMPIMIENTO DE TUBERIA</t>
  </si>
  <si>
    <t>VIA PAJARO DE ORO</t>
  </si>
  <si>
    <t>3 HORAS Y MEDIA</t>
  </si>
  <si>
    <t>SE REALIZA SUMINISTRO DE AGUA</t>
  </si>
  <si>
    <t>36 MNTOS</t>
  </si>
  <si>
    <t>RURAL</t>
  </si>
  <si>
    <t>7 KM APROX</t>
  </si>
  <si>
    <t>VIA LA NUNION LA VICTORIA</t>
  </si>
  <si>
    <t>PILIDEPORTIVO DE FATIMA</t>
  </si>
  <si>
    <t>AVE TIPO BUHO QUE SE QUEDA ENRREDADO EN UNA MALLA DE HILOS QUE CUBRE EL POLIDERPOTIVO</t>
  </si>
  <si>
    <t>POLIDEPORTIVO PASO ANCHO</t>
  </si>
  <si>
    <t>CAMPESINA POR LA ESCUELA</t>
  </si>
  <si>
    <t>ATAUE DE ABEJAS A LOS ANIMALES,QUE ESTABAN CERCA DEL ENJANBRE</t>
  </si>
  <si>
    <t>LA CAMPESINA VIA A LA ESCUELA RURAL</t>
  </si>
  <si>
    <t>CR 17 # 19 141</t>
  </si>
  <si>
    <t>FUGA DE GAS VEHICULAR</t>
  </si>
  <si>
    <t>CASA BLANCA HOTEL</t>
  </si>
  <si>
    <t>AVE TIPO BUHO QUE ES ENCONTRADO POR EMPLEADOS DEL HOTEL Y EMPAQUETADO EN CAJA DE CARTON PARA SU TRASLADO A LA CVC</t>
  </si>
  <si>
    <t>VIA LA UNION A SABANAZO FINCA SINAI</t>
  </si>
  <si>
    <t xml:space="preserve">INCENDIO FORESTAL EN EN CULTIVO DE LIMON
</t>
  </si>
  <si>
    <t>220 M CUADRADOS</t>
  </si>
  <si>
    <t>ALMACEN MIC</t>
  </si>
  <si>
    <t>CARRERA 12 CON CALLE 21</t>
  </si>
  <si>
    <t>QUEMA VEJETAL EN UN POTRERO</t>
  </si>
  <si>
    <t>400 MTR</t>
  </si>
  <si>
    <t>38 MNTOS</t>
  </si>
  <si>
    <t>FINCA EL BOSQUE</t>
  </si>
  <si>
    <t>CAPTURA Y TRASLADO DE ENJAMBRE DE ABEJAS</t>
  </si>
  <si>
    <t>.*</t>
  </si>
  <si>
    <t>.EL LUCERO BAJO FINCA EL BOSQUE</t>
  </si>
  <si>
    <t>FALSA ALARMA DE INCENDIO VEGETAL</t>
  </si>
  <si>
    <t>CRA 9 #20 112</t>
  </si>
  <si>
    <t>TRANSFORMADOR ELECTRICO QUE EXPLOTA, SIN MAYORES CAUSAS</t>
  </si>
  <si>
    <t>PUNTO CLAVE BAR</t>
  </si>
  <si>
    <t>CALLE 15 CRA 9 ESQUINA</t>
  </si>
  <si>
    <t>FUNCIONARIO DEL HOSPITAL ENCUENTRA UNA ZARIGUEYA EN EL BAÑO</t>
  </si>
  <si>
    <t>KILOMETRO 1 VIA LA UNION TORO</t>
  </si>
  <si>
    <t>DERRAME DE ACEITE COMBUSTIBLE EN LA VIA</t>
  </si>
  <si>
    <t>LONGITUD 76086432</t>
  </si>
  <si>
    <t>LATITUD 4532496</t>
  </si>
  <si>
    <t>PANORAMA VIA LA UNION - LA VICTORIA</t>
  </si>
  <si>
    <t>INFORMAN DEL VOLCAMIENO DE UN VEHICULO</t>
  </si>
  <si>
    <t>CRA 18 #16 79</t>
  </si>
  <si>
    <t>UNA ZARIGUEYA QUE SE ENCUENTRA EN UNA CASA BODEGA DE FRUTAS.LA CUAL LA TIENEN ATRAPADA CON UNA CANASTILLA PLASTICA</t>
  </si>
  <si>
    <t>CRA 18 CALLE 16</t>
  </si>
  <si>
    <t>CRA 15 CALLE 13</t>
  </si>
  <si>
    <t>VISITA DE SEGURIDA ALMACEN LILIPINK</t>
  </si>
  <si>
    <t>CRA 15 ZONA CENTRO</t>
  </si>
  <si>
    <t>1.30 HORTAS</t>
  </si>
  <si>
    <t>CANAL COMUNITARIO</t>
  </si>
  <si>
    <t>VISITA DE SEGURIDAD A UNITV</t>
  </si>
  <si>
    <t>CALLE 14 CRA 13</t>
  </si>
  <si>
    <t>C.B.V LA UNION</t>
  </si>
  <si>
    <t>CIUDADANO</t>
  </si>
  <si>
    <t>PARROQUIA DE SAN LUIS</t>
  </si>
  <si>
    <t>REUBICACION DEL CRISTO EN LA PARROQUIA DE SAN LUIS</t>
  </si>
  <si>
    <t>FINCA LA FLORESTA</t>
  </si>
  <si>
    <t>ATAQUE DE ABEJAS RESULTANDO LESSIONADO UNA PERSONA Y UN EQUINO</t>
  </si>
  <si>
    <t>CORREGIMIENTO LA ISLA</t>
  </si>
  <si>
    <t>VIA A SABANAZO</t>
  </si>
  <si>
    <t>INFORMAN DE UNA QUEMA POR EL SECTOR DEL MIRADOR VIA A SABANAZO</t>
  </si>
  <si>
    <t>100 MTR 2</t>
  </si>
  <si>
    <t>CALLE 889</t>
  </si>
  <si>
    <t>RESCATE A ZARIGUEYA</t>
  </si>
  <si>
    <t>CALLE 8 17 89</t>
  </si>
  <si>
    <t>CUERDAS QUE HACEN CONTACTOS CON RAMA DE UN SAMAN</t>
  </si>
  <si>
    <t>1.26 HORAS</t>
  </si>
  <si>
    <t>SECTOR DE LA GALERIA</t>
  </si>
  <si>
    <t>POPULA</t>
  </si>
  <si>
    <t>SE REALIZAN VISITAS DE SEGURIDAD A ESTABLECIMIENTO PUBLICOS GATO PARDO BAR Y LA CANTALETA POPULAR</t>
  </si>
  <si>
    <t>53 MNTOS</t>
  </si>
  <si>
    <t>PUENTE DE CORCEGA POR LA ISLA</t>
  </si>
  <si>
    <t>LA ISLA - CORCEGA</t>
  </si>
  <si>
    <t>VEHICULO TIPO CAMIONETA, QUE ESTA EN RIESGO DE CAER DESDE EL PUENTE DE CONCRETO A LA SEGUNDA CANAL DE RIEGO DE ASORUT</t>
  </si>
  <si>
    <t>1.35HORAS</t>
  </si>
  <si>
    <t>CALLE 13 CRA13</t>
  </si>
  <si>
    <t>VISITA DE SEGURIDAD AL BANCO MUNDO MUJER</t>
  </si>
  <si>
    <t>CALLE 13 CRA 13 ESQU</t>
  </si>
  <si>
    <t>MERCAPLAZA</t>
  </si>
  <si>
    <t>DESFILE ANIVERSARIO SUPERMERCADO MERCAPLAZA</t>
  </si>
  <si>
    <t>LA GLORIETA</t>
  </si>
  <si>
    <t>AMPARO</t>
  </si>
  <si>
    <t>ACOMPAÑAMIENTO DE INGENIERO HECTOR MARMOLEJO DE AGRICULTURA PARA EL RIEGO DEL ROUND POINT</t>
  </si>
  <si>
    <t>BARRIO SILOE</t>
  </si>
  <si>
    <t>9.30 HORAS</t>
  </si>
  <si>
    <t>VIA A LA AGUADA SECTOR DEL VOLADERO</t>
  </si>
  <si>
    <t>INCEDIO FORESTAL EL EL VOLADERO, SE REQUIERE APOYO DE LOS CBV DE TORO,VERSALLES,LA VICTORIA,CON PERSONAL Y VEHICULOS DE TRANSPORTE</t>
  </si>
  <si>
    <t>15 HECTAREAS APROX</t>
  </si>
  <si>
    <t>33"56"N 76"6"7"O 1530MSNM</t>
  </si>
  <si>
    <t>PARQUE DE SAN PEDRO</t>
  </si>
  <si>
    <t>CAIDA DE GUADUA SOBRE TRANSFORMADOR</t>
  </si>
  <si>
    <t>CALLES PRINCIPALES</t>
  </si>
  <si>
    <t>DESFILE SEMANA ANDINA</t>
  </si>
  <si>
    <t>1.50HORAS</t>
  </si>
  <si>
    <t>SUMINISTRO DE AGUA NO POTABLE A LA COMUNIDAD DEL BANCO</t>
  </si>
  <si>
    <t>ZONA POBLADA DE LA VEREDA POR EL PUENTE DE CAUCA</t>
  </si>
  <si>
    <t>CORREGIMENTO DEL BANCO VEREDA CORCEGA</t>
  </si>
  <si>
    <t>CARRETERA INTERMUNICIPAL</t>
  </si>
  <si>
    <t>DERRAME DE COPMBUSTIBLE EN LA VIA</t>
  </si>
  <si>
    <t>24/09/0024</t>
  </si>
  <si>
    <t>CALLE 14 4-06</t>
  </si>
  <si>
    <t>FUGA DE GAS ,POR ROMPIMIENTO EN LA TUBERIA,TRABAJADORES DE ACUAVALLE ESTABAN REALIZANDO REPARACIONES DEL ACUEDUCTO</t>
  </si>
  <si>
    <t>CALLE 14 FRANTE A LA PORTADA DE GRAJALES</t>
  </si>
  <si>
    <t>CARRERA 15 # 10 - 40</t>
  </si>
  <si>
    <t>SE INFORMA DE HUMO QUE SALE DE UNA VIVIENDA</t>
  </si>
  <si>
    <t>KL 2 VIA LA UNION ROLDANILLO</t>
  </si>
  <si>
    <t>INCENDIO EN UN CARRO CAÑERO, ABANSARON MAS DEL TRAMO INDICADO Y NO ENCONT</t>
  </si>
  <si>
    <t>INCENDIO A ORILLA DE LA CANAL</t>
  </si>
  <si>
    <t>10 MTS 2</t>
  </si>
  <si>
    <t>POPULAR ZONA CENTRO</t>
  </si>
  <si>
    <t>SIMULACRO NACIONAL DE EMERGENCIAS</t>
  </si>
  <si>
    <t>ALCALDIA MNPAL SEDE PPAL</t>
  </si>
  <si>
    <t>CALLE 5 -353</t>
  </si>
  <si>
    <t>CUERDAS QUE EMITEN CHISPAS Y PRESENTAN DISMINUCIÓN DE LA ENERGIA</t>
  </si>
  <si>
    <t>SE INFORMA DE UNA RAMA SOBRE LA VIA LA CUAL NO PERMITE EL TRANSITO DE VECHICULO Y PUEDE HABER UN ACCIDENTE</t>
  </si>
  <si>
    <t>CARRERA 15 # 23 - 02</t>
  </si>
  <si>
    <t>SE RECIBE LLAMADO DE LA COMUNIDAD , DEBIDO A LAS FUERTES LLUVIAS ALGUNAS VIVIENDAS AFECTADAS</t>
  </si>
  <si>
    <t>RAMA DE ARBOL QUER CAE EN LA VIA TAPONANDO EL CARRIL SENTIDO LA UNION HIGUERONCITO</t>
  </si>
  <si>
    <t>EL PICACHO VIA PANORAMA</t>
  </si>
  <si>
    <t>CALLE 13 CARRERA 17</t>
  </si>
  <si>
    <t>INFORMAN DE UNA MUJER ADULTO EDAD QUE REQUIERE SER TRANSPORTADA DE SU CASA LA AMBULANCIA</t>
  </si>
  <si>
    <t>CARRETERA VIEJA LA UNION SAN LUIS</t>
  </si>
  <si>
    <t>QUEMA CONTROLADA DE MATERIAL SOLIDO. PODA DE ARBOLES LA CUAL SE SALE DE CONTROL EN DOS PUNTOS</t>
  </si>
  <si>
    <t>SUMINISTRO DE AGUA AL CORREGIMIENTO DEL BANCO</t>
  </si>
  <si>
    <t>CORREGIMIENTO DEL BANCO POR LAS ARENEREAS</t>
  </si>
  <si>
    <t>2.40 HARAS</t>
  </si>
  <si>
    <t>CRA 15 ENTRE CALLES 14 Y 15</t>
  </si>
  <si>
    <t>CAPTURA Y REHUBICACION DE UNJAMBRE DE ABEJAS QUE ESTABAN EN UN ARBOL,EN EL INTERIOR DE LA CASA CONSISTORIAL</t>
  </si>
  <si>
    <t>CASA CONSISTORIAL.PROPIEDAD DE LA EALCALDIA MNPAL</t>
  </si>
  <si>
    <t>1.33 HORAS</t>
  </si>
  <si>
    <t>CALLE 22 17 67</t>
  </si>
  <si>
    <t>RESCATE A FELINO GATO QUE REPORTAN EN UNA CUBIERTA DE UNA VIVIENDA ABONDONADA,</t>
  </si>
  <si>
    <t>CALLE 222 CRA 17</t>
  </si>
  <si>
    <t>1.20HORAS</t>
  </si>
  <si>
    <t>CALLE 24 13 90</t>
  </si>
  <si>
    <t>RESCATE DE UN FELINO QUE ESTA DESDE AYER EN EL TECHO DE LA VIVIENDA</t>
  </si>
  <si>
    <t>CALLE 24 CRA13</t>
  </si>
  <si>
    <t>CALLE 16 # 3-10</t>
  </si>
  <si>
    <t>CONTROL DE ABEJAS SE LE INFORMA A LA PERSONA QUE SE HACE LA RECOLECION DEL ENJAMBRE EN LAS ORAS DE LA NOCHE DEVIDO A GRANDES TEMPERATURAS</t>
  </si>
  <si>
    <t>COLISEO DEL PARQUE DE SAN PEDRO</t>
  </si>
  <si>
    <t>APOYO PARA LAVAR EL COLISEO DEL PARQUE SAN PEDRO</t>
  </si>
  <si>
    <t>1.24 HORAS</t>
  </si>
  <si>
    <t>CRA 16 14 65</t>
  </si>
  <si>
    <t>SE PRESTA APOYO AL PERSONAL DE LA HUMATA PARA CAPTURA Y TRASLADO DE UN ENJAMRE DE ABEJAS</t>
  </si>
  <si>
    <t>CRA 16 CALLE 14</t>
  </si>
  <si>
    <t>XII ENCUENTRO DEPARTAMENTAL DE DANZA FOLCLORICA</t>
  </si>
  <si>
    <t>SE REALIZA VISITA DE SEGURIDAD A LOCAL DE VENTA DE CELULARES</t>
  </si>
  <si>
    <t>LAS PALMAS ANTIGUA VIA A ROLDANILLO</t>
  </si>
  <si>
    <t>PERSONA QUE CON SU PROPIO VEHICULO (MOTO) ES ARRASTRADA POR CRECIENTE SUBITA DE LAS QUEBRADAS LA UNION Y LUCERO, SE REALIZA RESCATE DEÑ VEHICULO</t>
  </si>
  <si>
    <t>VIA LAS PALMAS ,LAS CINTAS</t>
  </si>
  <si>
    <t>VARIOS</t>
  </si>
  <si>
    <t>ACOMPAÑAMIENTO A DESFILE DE LA SALUD DEL HOSPITAL LOCAL</t>
  </si>
  <si>
    <t>FINCA CORSEGA</t>
  </si>
  <si>
    <t>RECUPERTACION Y LIBERACION DE DOS ENJAMBRES DE ABEJAS</t>
  </si>
  <si>
    <t>ENCUENTRAN UNA CULEBRA EN UNA DE LAS AREAS DEL HOSPITAL</t>
  </si>
  <si>
    <t>GRAJALES</t>
  </si>
  <si>
    <t>INFORMAN DE UNA FALSA CORAL EN UNA DE LAS BODEGAS DE LA EMPRESA</t>
  </si>
  <si>
    <t>ANTIGUO EDIFICIO DE TELECOM</t>
  </si>
  <si>
    <t>VISITA DE SEGURIDAD AL ALMACEN MAGIA ROSAS</t>
  </si>
  <si>
    <t>CARRERA 14 CALLES 14---15</t>
  </si>
  <si>
    <t>3.10HORAS</t>
  </si>
  <si>
    <t>CASINO CESAR PALACE,ESTANQUILLO LA 16 CELLMANIA</t>
  </si>
  <si>
    <t>SE REALIZAN VISITAS DE SEGURIDAD A TRES ESTABLECIMIENTOS DE COMERCIO</t>
  </si>
  <si>
    <t>ZONA CENTRO Y SECTOR DE GALERIA</t>
  </si>
  <si>
    <t>29/12/0024</t>
  </si>
  <si>
    <t>CALLE 15 CAR 14</t>
  </si>
  <si>
    <t>VISITA DE SEGURIDAD AL CASINO CESAR PALACE,*</t>
  </si>
  <si>
    <t>BARRIO BELEN ZONA CENTRO</t>
  </si>
  <si>
    <t>CALLE 14 CRA 14 ESQUINA</t>
  </si>
  <si>
    <t>SE RREALIZA VISITA DE SEGURIDAD A ALMACEN DE VENTA DE CELULARES</t>
  </si>
  <si>
    <t>CRA 15 CALLE 17</t>
  </si>
  <si>
    <t>SE REALIZA VISITA DE SEGURIDAD A ESTANQUILLO LA 16</t>
  </si>
  <si>
    <t>ZONA SECTOR DE LA GALERIA</t>
  </si>
  <si>
    <t>3.45 HORAS</t>
  </si>
  <si>
    <t>VOLADERO DE LOS PARAPENTES</t>
  </si>
  <si>
    <t>PERSONA QUE CAE DE UN ARBOL,EL CUAL SE ENCUENTRA ABAJO EN LA CAÑADA DE LA ,MISMA FINCA, SE SOLICITA APOYO DE AMBULANCIA DE SUSALUD</t>
  </si>
  <si>
    <t>VOLADERO DE LOS PARAPENTES VIA A LA AGUADA</t>
  </si>
  <si>
    <t>3.20 HORAS</t>
  </si>
  <si>
    <t>ACOMPAÑAMIENTO A LA ADMINISTRACION PARACELEBRACION DE TARDE DE BRUJITAS</t>
  </si>
  <si>
    <t>ESTADIO BENJAMIN CARDONA</t>
  </si>
  <si>
    <t>PEAJE TORO ANSERMA</t>
  </si>
  <si>
    <t>SUMINISTRO DE AGUA AL PEAJE DE TORO</t>
  </si>
  <si>
    <t>VIA PANORAMA TORO ANSERMA</t>
  </si>
  <si>
    <t>CRA 16 CALLE 22 ESQUINA</t>
  </si>
  <si>
    <t>SE REALIZA VISITA DE SESEGURIDAD A ALMACEN DE ROPAAMERICAN SHOES</t>
  </si>
  <si>
    <t>CRA 16 CALLE 22ESQUINA</t>
  </si>
  <si>
    <t>CALLE 15 CRA 14 EDIFICIO FISCALIA</t>
  </si>
  <si>
    <t>SE REALIZA LA ULTIMA VISITA DE SEGURIDAD AL CASINO CESAR PALACE PARA EMITIR CONCEPTO DE SEGURIDAD</t>
  </si>
  <si>
    <t>40'</t>
  </si>
  <si>
    <t>CLL 12 # 21 - 505</t>
  </si>
  <si>
    <t>PÁJARO DE ORO</t>
  </si>
  <si>
    <t>INCENDIO, QUEMA DE PAILA CON ACEITE</t>
  </si>
  <si>
    <t>NA</t>
  </si>
  <si>
    <t>2.23 HORAS</t>
  </si>
  <si>
    <t>CRA 15 CALLE 12</t>
  </si>
  <si>
    <t>SE REALIZA VISITA DE SEGURIDAD AL HOTEL TURQUEZA REAL</t>
  </si>
  <si>
    <t>PEAJE TORO VIA ANSERMA</t>
  </si>
  <si>
    <t>SUMINISTRO DE AGUA AL PEAJE DE TORO VIA ANSERMA</t>
  </si>
  <si>
    <t>CRA 8 9 86</t>
  </si>
  <si>
    <t>HATO DE LEMUS</t>
  </si>
  <si>
    <t>2.24 HORAS</t>
  </si>
  <si>
    <t>CALLE 23 VIA A MARTINDOZA</t>
  </si>
  <si>
    <t>CUERDA DE FLUIDO ELECTRICO QUE SE REVIENTA Y CAE EN LA VIA, ALTERANDO EL PASO DE VEHICULOS Y PERSONAS QUE TRABSITAN POR ESE CECTOR</t>
  </si>
  <si>
    <t>300 MTS APROXIMADAMENTE</t>
  </si>
  <si>
    <t>VIA A MARTINDOZA POR EL MOTEL LOS DOS</t>
  </si>
  <si>
    <t>30 MNTO</t>
  </si>
  <si>
    <t>CRA 16 19 69</t>
  </si>
  <si>
    <t>SE REALIZA VISITA DE SEGURIDAD A ESTABLECIMIENTO DE ABARROTES</t>
  </si>
  <si>
    <t>CRA 16 1969</t>
  </si>
  <si>
    <t>AUTOGOOD CEDE NORTE</t>
  </si>
  <si>
    <t>SE REALIZA VISITA DE SEGURIDAD A ESTABLECIMIENTO DE REVISION AUTOMOTRIZ</t>
  </si>
  <si>
    <t>CALLE 11 CRA 12</t>
  </si>
  <si>
    <t>CALLE 13 CRA 19</t>
  </si>
  <si>
    <t>SE REALIZA VISITA DE SEGURIDAD AL INSTITUTOAMERICANO DE INGLES</t>
  </si>
  <si>
    <t>CR 9A # 16-72</t>
  </si>
  <si>
    <t>URBANIZACIÓN LA ERMITA</t>
  </si>
  <si>
    <t>ATENCIÓN POR ENJAMBRE DE ABEJAS CERCANO A VIVIENDA</t>
  </si>
  <si>
    <t>CALLE 13 #12 77</t>
  </si>
  <si>
    <t>SE REALIZA VISITA DE SEGURIDAD EN ESTABLECIMIENTO PARA COMERCIALIZACION DE JUEGOS PIROCTENICOS*</t>
  </si>
  <si>
    <t>CALLE 13</t>
  </si>
  <si>
    <t>53 minutos</t>
  </si>
  <si>
    <t>cra 18a # 22 - 86</t>
  </si>
  <si>
    <t>Cuevaloca</t>
  </si>
  <si>
    <t>Se informa de una vivienda incendiándose cerca a un área vegetal</t>
  </si>
  <si>
    <t>CRA 21 #13 06</t>
  </si>
  <si>
    <t>RESCATE A UN BUHO,SIENDO FALSA LA INFORMACION</t>
  </si>
  <si>
    <t>CRA 21 13 06</t>
  </si>
  <si>
    <t>CRA 16 CON CLL 19 ESQUINA</t>
  </si>
  <si>
    <t>2 HORAS Y 30 MINUTOS</t>
  </si>
  <si>
    <t>REPORTE DE ABEJAS DENTRO DE UNA LLANTA</t>
  </si>
  <si>
    <t>SE INFORMA DE UNA QUEMA VEJETAL AL BORDE DE CARRETERA</t>
  </si>
  <si>
    <t>CL 19 # 14-85</t>
  </si>
  <si>
    <t>CUERDAS PRIMARIAS TOCANDO RAMAS DE UN ARBOL</t>
  </si>
  <si>
    <t>CALLE 16 CON 10</t>
  </si>
  <si>
    <t>INFORMA DE UN DAÑO EN TUBERIA Y MUCHO OLOR A GAS</t>
  </si>
  <si>
    <t>43 MNTOS</t>
  </si>
  <si>
    <t>CORCEGA VIA LA CAYETANA</t>
  </si>
  <si>
    <t>INCENDIO EN CERCA VIVA SWINGLA PRODUCIDA POR CAIDA DE CABLE ELECTRICO</t>
  </si>
  <si>
    <t>10 MT(2)</t>
  </si>
  <si>
    <t>VIA A ROLDANILLO KL 2 CASA GRANDE</t>
  </si>
  <si>
    <t>INCENDIO ESTRUCTURAL. SE PRESTA APOYO A CBV ROLDANILLO</t>
  </si>
  <si>
    <t>HIGUERONCITO CASA GRANDE</t>
  </si>
  <si>
    <t>CALLE 22 CRA 23</t>
  </si>
  <si>
    <t>RERSCATE DE ANIMALES DE CORRAL POR ATAQUE DE ENJAMBRE DE ABEJA</t>
  </si>
  <si>
    <t>SAN PEDRO ARRIBA VIA AL CARMEN</t>
  </si>
  <si>
    <t>ACOMPAÑAMIENTO QUEMA DE FUEGOS PIROCTENICOS</t>
  </si>
  <si>
    <t>COLINA DE LA ERMITA</t>
  </si>
  <si>
    <t>CAPILLA DE LA ERMITA</t>
  </si>
  <si>
    <t>1.15HORA</t>
  </si>
  <si>
    <t>INFORMAN DE UNA QUEMA DE COBERTURA VEJETAL</t>
  </si>
  <si>
    <t>1 HORA Y 40 MINUTOS</t>
  </si>
  <si>
    <t>QUEMA VEJETAL DENTRO DE UNA VIVIENDA ABANDONADA</t>
  </si>
  <si>
    <t>.LOTE AL LADO DE LA GUARDERIA GRANDE</t>
  </si>
  <si>
    <t>SE REINICIO EL INCENDIO POR POSIBLE FOCO</t>
  </si>
  <si>
    <t>1.35 HORAS</t>
  </si>
  <si>
    <t>CALLE 15 CRA 14</t>
  </si>
  <si>
    <t>SE REALIZA VISITA DE SEGURIDAD A SIMETRIC</t>
  </si>
  <si>
    <t>CRA 13 14 70</t>
  </si>
  <si>
    <t>´POPULAR</t>
  </si>
  <si>
    <t>SE REALIZA VISITA DE SEGURIDAD A ODONTOLOGIA ESPECIALIZADA</t>
  </si>
  <si>
    <t>CRA13 14 70</t>
  </si>
  <si>
    <t>CRA 25 CALLE 22</t>
  </si>
  <si>
    <t>QUEMA FORESTAL,SIN PODER INGRESAR AL SITIO</t>
  </si>
  <si>
    <t>CRA 18 14 22</t>
  </si>
  <si>
    <t>SE REALIZAVISIATA DE SEGURIDAD A CREANDO SONRISAS ORAL DENT</t>
  </si>
  <si>
    <t>VIA PANORAMA SAN LUIS-- TORO</t>
  </si>
  <si>
    <t>ARBOL QUE CAE A ORILLA DE LA VIA. SIN CONSECUENCIA ALGUNA A LA COMUNIDAD</t>
  </si>
  <si>
    <t>L-1, OTROS</t>
  </si>
  <si>
    <t>VIA PANORAMA SAN LUIS --</t>
  </si>
  <si>
    <t>ACOMPAÑAMIENTO DURANTE LA ACTIVIDAD NAVIDAD MAGICA</t>
  </si>
  <si>
    <t>4 HORAS Y 30 MINUTOS</t>
  </si>
  <si>
    <t>POLIDEPORTIVO SAN PEDRO</t>
  </si>
  <si>
    <t>CARAVANA A LA NAVIDAD POR LAS PRINCIPALES CALLES DEL MUNICIPIO</t>
  </si>
  <si>
    <t>22 MNTOS</t>
  </si>
  <si>
    <t>CALLE 15 CVC</t>
  </si>
  <si>
    <t>INCENDIO DE UN ARBOL POR LA CAIDA DE UN GLOBO DE AIRE CALIENTE.VIGILANTES DE LA CVC CONTROLAN EL INCENDIO</t>
  </si>
  <si>
    <t>CONTIGUO AL PARQUEADERO CVC</t>
  </si>
  <si>
    <t>INFORMAN DE LA ACTIVACION DE LA ALARMA DE ALERTA TEMPRANA</t>
  </si>
  <si>
    <t>CR 8 12 56</t>
  </si>
  <si>
    <t>INFORMAN DE UNA VIVIENDA INUNDADA POR LAS AGUAS LLUVIAS</t>
  </si>
  <si>
    <t>KILOMETRO 1 VIA A ROLDANILLO</t>
  </si>
  <si>
    <t>ACOMPAÑAMIENTO DURANTE LA CELEBRACION CON FUEGOS PIROTECNICOS</t>
  </si>
  <si>
    <t>VACA QUE CAE A UN POSSO</t>
  </si>
  <si>
    <t>CINCO ROAS Y VEINTE MINUTOS</t>
  </si>
  <si>
    <t>COLEJIO SANJOSE</t>
  </si>
  <si>
    <t>ACOMPAÑAMIENTO CAMINATA</t>
  </si>
  <si>
    <t>ONA HORA VEINTE MINUTOS</t>
  </si>
  <si>
    <t>CLL 18#15-46</t>
  </si>
  <si>
    <t>CALL 15#15-63</t>
  </si>
  <si>
    <t>CLL 14#5-10</t>
  </si>
  <si>
    <t>CALLE 24</t>
  </si>
  <si>
    <t>VERIFICACION DE ABEJAS EN EL BARRIO SAN PEDRO ARRIBA</t>
  </si>
  <si>
    <t>FINCAS TURISTICAS DEL MUNICIPIO</t>
  </si>
  <si>
    <t>VARIOS SITIOS</t>
  </si>
  <si>
    <t>SE REALIZA VISISTAS A FINCAS TURISTICAS EN COMPAÑIA DE POLICIA NACIONAL</t>
  </si>
  <si>
    <t>VARIOS LUGARES</t>
  </si>
  <si>
    <t>POLIDEPORTIVO DE FATIMA</t>
  </si>
  <si>
    <t>DESFILE CIVICO MILITAR DIA DE LA INDEPENDENCIA</t>
  </si>
  <si>
    <t>B-2, B-3, B-4, L-1, L-2</t>
  </si>
  <si>
    <t>CALLE 12 A LA ERMITA</t>
  </si>
  <si>
    <t>POLIDEPORTIVO EL JARDIN</t>
  </si>
  <si>
    <t>ACOMPAÑAMIENTO BINGO COMUNAL</t>
  </si>
  <si>
    <t>58 MNTOS</t>
  </si>
  <si>
    <t>CRA 17 POLI DEL JARDIN</t>
  </si>
  <si>
    <t>ANIMAL DESCONOCIDO QUE CAUSA CORTO CIRCUITO EN CABLE DE ALUMBRADO PUBLICO</t>
  </si>
  <si>
    <t>CRA 17 CALLE 17</t>
  </si>
  <si>
    <t>FINCA LAS AZUCENAS</t>
  </si>
  <si>
    <t>PERSONA ESTRAVIADA EN LA ZONA MONTAÑOSA DE LA CAMPESINA</t>
  </si>
  <si>
    <t>3. HORAS</t>
  </si>
  <si>
    <t>CALLE 14 CRA 12 COLEGIO SAN JOSE</t>
  </si>
  <si>
    <t>CONTROL DE ABEJAS QUE ESTAN EL UN AULA DEL COLEGIO</t>
  </si>
  <si>
    <t>CALLE 12 CRA 12</t>
  </si>
  <si>
    <t>SAN LUIS ,EN LA LADRILLERA</t>
  </si>
  <si>
    <t>QUEMA AGRICOLA PASTO DE CORTE</t>
  </si>
  <si>
    <t>MEDIA PLAZA</t>
  </si>
  <si>
    <t>LADRILLERA DE SAN LUIS</t>
  </si>
  <si>
    <t>CALLE 23A 12 68</t>
  </si>
  <si>
    <t>RUPTURA DE TUBERIA DE GAS DURANTE TRABAJO EN VIVIENDA</t>
  </si>
  <si>
    <t>CALLE 15 CRA 15 ESQ</t>
  </si>
  <si>
    <t>VISITA DE SEGURIDAD A BANCO DE OCCIDENTE</t>
  </si>
  <si>
    <t>CRA 14 CALLE 12</t>
  </si>
  <si>
    <t>VISITA DE SEGURIDAD A LOCAL DIVINAS BELLEZA INTEGRAL</t>
  </si>
  <si>
    <t>SE REALIZA INSPECCION OCULAR A LA CAPILLA DE LA ERMITA, DEBIDO A SU DETERIORO EN EL TECHO</t>
  </si>
  <si>
    <t>FINCA LOS LIMONES</t>
  </si>
  <si>
    <t>VEREDA EL GUASIMO</t>
  </si>
  <si>
    <t>SE REALIZA CONTROL DE UN ENJAMBRE DE AVISPAS</t>
  </si>
  <si>
    <t>28 MINUTOS</t>
  </si>
  <si>
    <t>ALREDEDORES BARRIO EL AMPARO</t>
  </si>
  <si>
    <t>REPORTE DE UN INCENDIO FORESTAL QUE RESULTÓ EN FALSA ALARMA YA QUE SE TRATABA DE UNA QUEMA CONTROLADA DENTRO DE LOS PREDIOS DE UNA EMPRESA PRIVADA</t>
  </si>
  <si>
    <t>CALLE 22 CRA 18</t>
  </si>
  <si>
    <t>RESCATE ANIMAL DE UNA SARIGUEYA LA CUAL NO SE ENCONTRO EN LA VIVIENDA</t>
  </si>
  <si>
    <t>3.37 HORAS</t>
  </si>
  <si>
    <t>APOYO OPERATIVO AL CBV LA VICTORIA</t>
  </si>
  <si>
    <t>APOYO OPERATIVO EN INCENDIO AGRICOLA AL CBV DE LA VICTORIA</t>
  </si>
  <si>
    <t>HACIENDA EL CORTIJO</t>
  </si>
  <si>
    <t>SE RECIBE LLAMADO DE LA SÑRA LEYDI INFORMANDO DE UNA QUEMA DE CAÑA,AL LLEGAR AL SITIO ES UN INCENDIO VEHICULAR AGRICOLA</t>
  </si>
  <si>
    <t>CRA 19 #19 40</t>
  </si>
  <si>
    <t>BANCO DE LA MUJER</t>
  </si>
  <si>
    <t>VISITA DE SEGURIDAD A ENTIDA BANCARIA</t>
  </si>
  <si>
    <t>39 MNTOS</t>
  </si>
  <si>
    <t>QUEMA DE RASTROJO POR LA TERCERA CANAL</t>
  </si>
  <si>
    <t>100 MT</t>
  </si>
  <si>
    <t>LA BALASTRERA VIA QUEBREDA GRANDE</t>
  </si>
  <si>
    <t>LA BALASTRERA</t>
  </si>
  <si>
    <t>APOYO OPERATIVO A PONAL EN LA BUSQUEDAD DE PERSONA DESAPARECIDA EN LA ZONA MONTAÑOSA DE LA UNION</t>
  </si>
  <si>
    <t>CRA 15 CALLE 14</t>
  </si>
  <si>
    <t>VEHICULO QUE SE INCENDIA EN VIA PUBLICA, COMUNIDAD AYUDA A CONTROLAR EL INCENDIO USANDO EXTINTORES</t>
  </si>
  <si>
    <t>CR 25 12 73</t>
  </si>
  <si>
    <t>VIA CASA BLANCA</t>
  </si>
  <si>
    <t>RESCATE DE DOS GATOS QUE ESTAN EN MEDIO DE DOS PAREDES</t>
  </si>
  <si>
    <t>2.12 HORAS</t>
  </si>
  <si>
    <t>CRA 25 12 73</t>
  </si>
  <si>
    <t>SE REALIZA EL RESCATE DELOS GATOS ,EL DIA ANTERIOR NO FUE POSIBLE REALIZAR EL RESCATE,POR QUE NO SE ENCONTRARON LOS ANIMALITOS</t>
  </si>
  <si>
    <t>APOYO A LA VICTORIA VALLE DEL CAUCA EN INCENDIO FORESTAL</t>
  </si>
  <si>
    <t>LA BALASTRERA VIA QUEBRADA GRANDE</t>
  </si>
  <si>
    <t>SE PRESTA APOYO PARA RECUPERACION DE CADAVER Y MOTOCICLETA DE PERSONA QUE ESTABA DESAPARECIDA</t>
  </si>
  <si>
    <t>4.10 HORAS</t>
  </si>
  <si>
    <t>APOYO OPERATIVO EN INCENDIO AGRICOLA AL CBV DE LOA VICTORIA</t>
  </si>
  <si>
    <t>INCENDIO ESTRUCTURAL CON PERDIDA TOTAL DE VIVIENDA,ENCERES,MOTOCICLETA Y ANIMALES DOMESTICOS</t>
  </si>
  <si>
    <t>CALLE 18B 12 21</t>
  </si>
  <si>
    <t>UN ENJAMBRE DE ABEJAS EN EL TECHO DE UN TERCER PISO</t>
  </si>
  <si>
    <t>ZONAS VERDES DEL MUNICIPIO</t>
  </si>
  <si>
    <t>SAN LUIS - BELEN</t>
  </si>
  <si>
    <t>SE PRESTA SERVICIO DE RIEGO EN ALGUNOS LUGAR CON ZONA VERDE EN EL MUNICIPIO</t>
  </si>
  <si>
    <t>PARAPENTE QUE ATERRISO AL PARECER CON DIFICULTAD</t>
  </si>
  <si>
    <t>CR 8 CLL 14</t>
  </si>
  <si>
    <t>INFORMA LA COMUNIDAD QUE UNA PERSONA QUEMA UNA BASURA QUE SE ENCONTRABA EN UN LOTE Y SE SALE DE CONTROL</t>
  </si>
  <si>
    <t>VIA LA UNION - SAN LUIS</t>
  </si>
  <si>
    <t>SE PRESTA PRIMEROS AUXILIOS A UNA PERSONA TRAS COLISION DE DOS MOTOCICLISTAS</t>
  </si>
  <si>
    <t>CALLE 14 3 172</t>
  </si>
  <si>
    <t>SE REALIZA INSPECCION DE SEGURIDAD A ESTABLECIMIENTO LOKATEL COCTELES</t>
  </si>
  <si>
    <t>TREINTE MINUTOS</t>
  </si>
  <si>
    <t>CALL 14 # 3 172</t>
  </si>
  <si>
    <t>KR 15 EL LUCERO</t>
  </si>
  <si>
    <t>BARRIO EL LUCERO PISTA DE MOTOS</t>
  </si>
  <si>
    <t>INCENDIO DE SINGLA</t>
  </si>
  <si>
    <t>IGLESIA DE LA ERMITA</t>
  </si>
  <si>
    <t>CONTROL Y RECUPERACION DE ABEJAS E</t>
  </si>
  <si>
    <t>LA ERMITA</t>
  </si>
  <si>
    <t>CUERPO DE BOMBEROS VOLUNTARIOS - LA UNIÓN VALLE
ANÁLISIS COMPARATIVO DE EMERGENCIAS ACUMULADAS EN LO CORRIDO DEL AÑO FRENTE A AÑOS ANTERIORES</t>
  </si>
  <si>
    <t>VARIACIÓN MENSUAL DEL TOTAL DE EMERGENCIAS POR AÑO</t>
  </si>
  <si>
    <t>CRA 18 Y 19 CALLE 16 HASTA</t>
  </si>
  <si>
    <t>DERRAME DE ACEITE DE MOTOR APROXIMADAMENTE 160 MT</t>
  </si>
  <si>
    <t>160 MT LINEALES</t>
  </si>
  <si>
    <t>SE REALIZA EL RESCATE DE UN PARAPENTE QUE CAE EN ZONA BOSCOSA DE LA VEREDA EL LUCERO, SIENDO ENCONTRADO SIN LECIONES Y MOVILIZÁNDOSE POR SUS PROPIOS MEDIOS. SE HACE LA EXTRACIÓN DEL ÁREA Y SE DEJA EN LA TERMINAL DE TRANSPORTES YA QUE SU ALOJAMIENTO SE UBICA EN ROLDANILLO.</t>
  </si>
  <si>
    <t>49 MNTOS</t>
  </si>
  <si>
    <t>PERSONA QUE RESULTA AFECTEDA EN DEDO DE LA MANO IZQUIERDA EN LABORES DEL CAMPO,FUE TRASLADADA AL HOSPITAL LOCAL</t>
  </si>
  <si>
    <t>26 MNTO</t>
  </si>
  <si>
    <t>VIVIENDA QUE RESULTA INUNDADA POR COLAPSO DE AGUAS LLUVIAS EN LA VIA, SIN INTERVENSION</t>
  </si>
  <si>
    <t>40 MT</t>
  </si>
  <si>
    <t>CRA 11 CALLE 8 ESQUINA</t>
  </si>
  <si>
    <t>VIVIENDAS QUE RESULTAN AFECTADAS POR AGUAS LLUVIAS, DEVIDO AL TAPONAMIENTO DEL SERVICIO DE ALCANTARILLADO, SIN INTERVENSION DE LAS UNIDADES</t>
  </si>
  <si>
    <t>80 MT</t>
  </si>
  <si>
    <t>CALLE 18 CRA 13</t>
  </si>
  <si>
    <t>PORTAL DE LA ANDINA</t>
  </si>
  <si>
    <t>INCENDIO ELECTRICO EN TRANSFORMADOR</t>
  </si>
  <si>
    <t>3.25 HORAS</t>
  </si>
  <si>
    <t>VIA PANORAMA KL 1 VIA R/NILLO HOTEL LOS VIÑEDOS</t>
  </si>
  <si>
    <t>FUGA DE GLP POR AVERIA DE VALVULA DE ALIVIO</t>
  </si>
  <si>
    <t>3.15 HORAS</t>
  </si>
  <si>
    <t>FUGA DE GAS POR ROMPIMIENTO DE TAPON, QUE SE HABIA INSTALADO EN LA PRIMER EMERGENCIA EN EL MISMO CONTENEDOR</t>
  </si>
  <si>
    <t>B-2, OTROS</t>
  </si>
  <si>
    <t>1.07 HORAS</t>
  </si>
  <si>
    <t>CALLE 23 # 12 83</t>
  </si>
  <si>
    <t>50 MT</t>
  </si>
  <si>
    <t>POSIBLE INCENDIO EXTRUCTURAL</t>
  </si>
  <si>
    <t>CALLE 23 CRA 12</t>
  </si>
  <si>
    <t>DOS VIVIENDAS QUE RESULTAN AFECTADAS POR COLAPSO DEL SISTEMA DE ALCANTARILLADO DEL MUNICIPIO,</t>
  </si>
  <si>
    <t>150 MT</t>
  </si>
  <si>
    <t>CALLE 14 CRA 14</t>
  </si>
  <si>
    <t>PARQUE PRIN CIPAL</t>
  </si>
  <si>
    <t>DERRAME DE ACEITE AUTOMOTOR, EN LA VIA PUBLICA, SE UTILIZA CISCO PARA SU CONTENCION</t>
  </si>
  <si>
    <t>20 MT</t>
  </si>
  <si>
    <t>CRA 15 CALLE 21</t>
  </si>
  <si>
    <t>POSIBLE FUGA DE GAS EN EN HOSPITAL GONZALO CONTRERAS</t>
  </si>
  <si>
    <t>RESCATE Y TRASLADO DE UNA SARIGUEYA, , A LA CVC,PARA SU POSTERIOR LIBERACION</t>
  </si>
  <si>
    <t>CALLE 9 #9 - 85</t>
  </si>
  <si>
    <t>RESCATE A UN PERRO QUE SE QUEDA ATORADO EN UNA PARED DE LADRILLO CALADO</t>
  </si>
  <si>
    <t>GUACIMO</t>
  </si>
  <si>
    <t>INFORMAN DE UN PARAPENTE QUE AL CAER QUEDA EN UN ARBOL, SE DESPACHAN 2 VEHICULOS Y 7 UNIDADES, AL LLEGAR LA PERSONA YA ESTABA EN TIERRA Y NO PRESENTABA TRAUMAS</t>
  </si>
  <si>
    <t>RESCATE DE VACA QUE RUEDA POR UNA MONTAÑA, NO SE REALIZAN LABORES DE RESCATE POR SEGURIDAD DEL PERSONAL Y SE PROGRAMA UNA NUEVA FECHA</t>
  </si>
  <si>
    <t>-</t>
  </si>
  <si>
    <t>CLL 12 # 18 - 35</t>
  </si>
  <si>
    <t>UNA RESIDENTE DE LA VIVIENDA UBICADA EN LA CLL 12 # 15-35 LLAMA PARA REPORTAR UN ESPÉCIMEN DE IGUANA DE TAMAÑO MAYOR UBICADA EN SU PATIO. 3 UNIDADES (CBO. CÁCERES, CBO. CORONADO, BRO. YDDELANOBERT), SE DESPLAZAN AL LUGAR ENCONTRANDO QUE EL ANIMAL YA SE HABÍA IDO HACIA EL PATIO DE UNA VECINA, AL HABLAR CON ELLA MANIFIESTA QUE LA IGUANA ES CONOCIDA POR ELLOS Y VISITA SU CASA EN DIFERENTES MOMENTOS YA QUE AHÍ LA ALIMENTAN Y RESGUARDAN, POR TAL HECHO PIDEN DEJARLA EN EL LUGAR Y NO LLEVARLA HACIA LA ZONA ARBÓREA CERCANA. SIGUIENDO LAS INDICACIONES Y ASEGURÁNDOSE DEL VIENESTAR DEL ANIMAL Y EL NO RIESGO PARA LOS HABITANTES DE LA VIVIENDA SE LEVANTA EL P.C. Y LAS UNIDADES SE RETIRAN PARA REGRESAR A LA INSTITUCIÓN.</t>
  </si>
  <si>
    <t>CARRERA 13 CON 23A</t>
  </si>
  <si>
    <t>INFORMAN DE UNA FUGA DE GAS POR ARREGLO EN UNA VIA PUBLICA</t>
  </si>
  <si>
    <t>RESCATE A PERSONA</t>
  </si>
  <si>
    <t>CALLE 23 FINCA SANTA ANA</t>
  </si>
  <si>
    <t>CONTROL DE ABEJAS EL CUAL NO SE PUEDE REALIZAR POR LA COMPLEJIDA DONDE SE ENCUENTRA EL ENJAMBRE</t>
  </si>
  <si>
    <t>FINCA SANTA ANA</t>
  </si>
  <si>
    <t>5.15 HORAS</t>
  </si>
  <si>
    <t>TORO V</t>
  </si>
  <si>
    <t>PATIO BONITO</t>
  </si>
  <si>
    <t>SE PRESTA APOYO OPERATIVO AL CBV DE TORO PARA BUSQUEDA DE MENOR DESAPARECIDO EL DIA05/03/2025 WEN LA ZONA MONTAÑOSA DEL MNPIO</t>
  </si>
  <si>
    <t>CALLE 23 25 232</t>
  </si>
  <si>
    <t>REPORTAN UN ENJAMBRE DE ABEJAS</t>
  </si>
  <si>
    <t>CONTROL DEABEJAS EN LA IGLESIA DE LA ERMITA</t>
  </si>
  <si>
    <t>VALLE LINDO</t>
  </si>
  <si>
    <t>CONTROL DE ABEJAS EN VALLE LINDO</t>
  </si>
  <si>
    <t>VIA PANORAMA LA UNION ROLDAANILLO</t>
  </si>
  <si>
    <t>VEHICULO UE PIERDE EL CONTROL Y SE SALE DE LA VIA, CAE A LA CUNETA SIN PERSONAS LESSIONADAS</t>
  </si>
  <si>
    <t>PUENTE - LAGO DE MONICA</t>
  </si>
  <si>
    <t>INFORMA DE UN MICO SOBRE EL PUENTE</t>
  </si>
  <si>
    <t>CR 13 9 15</t>
  </si>
  <si>
    <t>INFORMA UNA CIUDADANA DE UN CABLE QUE ESTA PRODUCIENDO CHISPAS</t>
  </si>
  <si>
    <t>SE REALIZA CONTROL Y LIBERACION DE ABEJAS</t>
  </si>
  <si>
    <t>CA15 #17 69</t>
  </si>
  <si>
    <t>VISITA DE SEGURIDAD A LOCAL COMERCIAL DE CELULARES</t>
  </si>
  <si>
    <t>CRA 15 #7 28</t>
  </si>
  <si>
    <t>FINCA SAN JUANITO</t>
  </si>
  <si>
    <t>QUEMA DE PASTIZAL QUE SE SALE DE CONTROL</t>
  </si>
  <si>
    <t>1 HECTAREA</t>
  </si>
  <si>
    <t>2.32 HORAS</t>
  </si>
  <si>
    <t>ACOMPAÑAMIENTO A PRECESION DEL DIA DE SAN JOSE Y QUEMA DE FUEGOS PIROCTENICOS</t>
  </si>
  <si>
    <t>RECUPERACION DE ABEJAS Y TRASLADO A OTRO SITIO</t>
  </si>
  <si>
    <t>100 MT2</t>
  </si>
  <si>
    <t>CRA 17 CALLE 18</t>
  </si>
  <si>
    <t>VERIFICACION DE ENJANBRE QUE APENAS ENTA LLEGANDO AL SITIO</t>
  </si>
  <si>
    <t>CANCHA DE LA VEREDA PARAMILLO</t>
  </si>
  <si>
    <t>VEREDA PARAMILLO</t>
  </si>
  <si>
    <t>2.39 HORAS</t>
  </si>
  <si>
    <t>MADERAS PLASTICAS VIA LA UNION TORO</t>
  </si>
  <si>
    <t>VISITA DE SEGURIDAD EN FABRICA DE MADESRAS PLASTICAS</t>
  </si>
  <si>
    <t>CRA 13 CALLE 15</t>
  </si>
  <si>
    <t>VISITA DE SEGURIDAD EN ESTABLECIMIENTO BANCARIO</t>
  </si>
  <si>
    <t>40MNTOS</t>
  </si>
  <si>
    <t>URBAN LOS ANGELES 32 B 37</t>
  </si>
  <si>
    <t>LOS ANGELES</t>
  </si>
  <si>
    <t>CAPTURA DE RETIL (SERPIENTE) QUE ESTA EN UNA VIVIENDA</t>
  </si>
  <si>
    <t>FINCA EL PALMAR</t>
  </si>
  <si>
    <t>CAPTURA DE SERPIENTE QUE ESTA DENTRO DE UNA HABITACION</t>
  </si>
  <si>
    <t>EL RODEO FABRICA DE MADERAS PLASTICAS</t>
  </si>
  <si>
    <t>INCENDIO DE COVERTURA VEGETAL EN LA PARTE DE ATRAS DELA FABRICA,PERSONAL DE LA EMPRESA COLABORAN CON EL CONTROL DEL INCENDIO</t>
  </si>
  <si>
    <t>5 HECTAREAS</t>
  </si>
  <si>
    <t>3.55 HORAS</t>
  </si>
  <si>
    <t>ACOMPAÑAMIENTO EN LA CAMINATA DE LA INSTITUCCION EDUCATIVA SAN JOSE</t>
  </si>
  <si>
    <t>ZONA RURAL</t>
  </si>
  <si>
    <t>CAMINATA COLEGIO SAN JOSE</t>
  </si>
  <si>
    <t>VIA PANORAMA KL 5 LA UNION TORO</t>
  </si>
  <si>
    <t>POR FUERTES LLUVIAS SE CAE UN ARBOL TAPONANDO LA VIA LA UNION TORO</t>
  </si>
  <si>
    <t>CRA 15 5 05</t>
  </si>
  <si>
    <t>VIVIENDA QUE RESULTA INUNDADA POR FUERTES AGUACEROS EN EL SECTOR, SE DESBORDA LA QUEBRADA EL LUCERO</t>
  </si>
  <si>
    <t>7 HECTAREAS CULTIVO DE UVA Y VIVIENDA</t>
  </si>
  <si>
    <t>FINCA DE LOS CARDENAS</t>
  </si>
  <si>
    <t>CAPTURA DE UN REPTIL ESPECIE BABILLA,EL CUAL ESTA EN EL SOLAR DE LA CASAFINCA
SE HACE SU RESPECTIVA ENTREGA A LA CVC</t>
  </si>
  <si>
    <t>FINCA ESTERLINA</t>
  </si>
  <si>
    <t>SERPIENTE EN UN ARBOL</t>
  </si>
  <si>
    <t>CORREGIMIENTO SAN LUIS</t>
  </si>
  <si>
    <t>SE LLAMA PARA REPORTAR FUGA DE GN EN VIVIENDA, LOS HABITANTES INDICAN QUE ABRIERON LA LLAVE DEL CONTADOR Y SE EMPEZÓ A SENTIR MUY FUERTE EL OLOR A GAS, SE DAN LAS INDICACIONES PERTINENTES Y SE ENVÍAN UNIDADES A VERIFICAR. AL LLEGAR AL SITIO SE HACE PROCESO DE VERIFICACIÓN SIN ENCONTRAR FUGA EN EL CONTADOR O EN ALGÚN LUGAR DE LA VIVIENDA (NI SITIOS CERCANOS). SE RECOMIENDA COMUNICARSE CON LA EMPRESA DE GAS PARA QUE HAGAN UN ANÁLISIS MÁS PROFUNDO Y SE DA RETIRO DEL SITIO PARA REGRESAR A LA INSTITUCIÓN.</t>
  </si>
  <si>
    <t>2.43 HORAS</t>
  </si>
  <si>
    <t>RECORRIDO DOMINGO DE RAMOS</t>
  </si>
  <si>
    <t>ACOMPAÑAMIENTO EN ACTOS LITURGICOS DE LA IGLESIA SAN JOSE</t>
  </si>
  <si>
    <t>CRA 16 CALLE 19</t>
  </si>
  <si>
    <t>PPULAR</t>
  </si>
  <si>
    <t>MENORES DE EDAD QUE SE ENCUENTRAN SOLOS EN UNA VIVIENDA,LOS CUALES PONEN A COCINAR ALIMENTOS, POR DESCUIDO SE QUEMAN PROVOCANDO GRAN CANTIDAD DE HUMO, ALERTANDO A LOS VECINOS</t>
  </si>
  <si>
    <t>SEGUNDO PASO</t>
  </si>
  <si>
    <t>ARBOL QUE CAE, EN EL CAUCE DE LA QUEBRADA OBSTACULIZANDO EL CAUCE</t>
  </si>
  <si>
    <t>SONA URBANA</t>
  </si>
  <si>
    <t>ACOMPAÑAMIENTO PROCESION DE PRENDIMIENTO</t>
  </si>
  <si>
    <t>ZONA URBANA</t>
  </si>
  <si>
    <t>ACOMPAÑAMIENTO SANTISIMO</t>
  </si>
  <si>
    <t>CALLE 21 # 10A 19</t>
  </si>
  <si>
    <t>PROCESION DEL SANTO SEPULCRO</t>
  </si>
  <si>
    <t>4.23 HORAS</t>
  </si>
  <si>
    <t>MUNICIPIO</t>
  </si>
  <si>
    <t>ACOMPAÑAMIENTO EN SANTO VIA CRUCIS</t>
  </si>
  <si>
    <t>B-2, B-3, L-1, L-2</t>
  </si>
  <si>
    <t>ACOMPAÑAMIENTO PROCESION DE LA SOLEDAD</t>
  </si>
  <si>
    <t>CUMPLEAÑOS DEL MUNICIPIO</t>
  </si>
  <si>
    <t>CALLE PRINCIPALES DEL MUNICIPIO</t>
  </si>
  <si>
    <t>PROCESION DEL RESUCITADO</t>
  </si>
  <si>
    <t>CLL 16 3 288</t>
  </si>
  <si>
    <t>INFORMAN DE UN POSTE QUE PRESENTA CORTO CIRCUITO</t>
  </si>
  <si>
    <t>CALLE 14 # 6-01 CUERPO DE BOMBEROS</t>
  </si>
  <si>
    <t>VEHICULO DE BASURA QUE PRESENTA MUCHO HUMO EN LA PARTE TRACERA</t>
  </si>
  <si>
    <t>CALLE 14 CRA 12 Y 13</t>
  </si>
  <si>
    <t>BELEN , ZONA CENTRO</t>
  </si>
  <si>
    <t>PRODUCTO QUIMICO QUE SE DERAMA EN VIA PUBLICA, SUMINISTRAN INFORMACION DEL PRODUCTO, COMOCIDO COMO BLACK DIAMOND LIQUIDO,</t>
  </si>
  <si>
    <t>160 MTS APROX</t>
  </si>
  <si>
    <t>INFORMAN DE UN CABLE DE ALTA TENSION QUE CAE EN LA CARRETERA Y HACE CHISPAS</t>
  </si>
  <si>
    <t>INFORMAN UN DERRAME EN LA VIA LA UNION - LA VICTORIA Y YA SE CAYERON MOTOCICLISTAS</t>
  </si>
  <si>
    <t>QUEBRADA LA UNION Y EL LUCERO</t>
  </si>
  <si>
    <t>MONITOREO A LAS QUEBRADAS LA UNION Y EL LUCERO BAJO</t>
  </si>
  <si>
    <t>1.49 HORAS</t>
  </si>
  <si>
    <t>QUEBRADA LA UNION -EL LUCERO</t>
  </si>
  <si>
    <t>SE PRESTA APOYO OPERATIVO A PERSONA PARA RECUPERAR UNA MOTOCICLETA QUE FUE ARRASTRADA POR LA CRECIENTE DE LA QUEBRADA LA UNION</t>
  </si>
  <si>
    <t>VEREDA EL AJISAL</t>
  </si>
  <si>
    <t>SE PRESTA PRIMEROS AUXILIOS A PERSONA DE NACIONALIDAD EXTRANJERA ESPAÑOLA</t>
  </si>
  <si>
    <t>VIA PANORAMA LA UNION --ROLDANILLO</t>
  </si>
  <si>
    <t>ARBOL UE CAE A LA VIA TAPONANDO MEDIO CARRIL</t>
  </si>
  <si>
    <t>SE REALIZA CORTE DE ARBOL QUE HABIA CAIDO SOBRE LA QUEBRADA, APOYO A GESTION DE RIESGO</t>
  </si>
  <si>
    <t>CR 19 # 19-63</t>
  </si>
  <si>
    <t>RESCATE DE UNA CULEBRA</t>
  </si>
  <si>
    <t>CRA 15 CALLE 14 CARCEL MNPAL</t>
  </si>
  <si>
    <t>POSIBLE INCENDIO ESCTRUTURAL POR AMOTINAMIENTO DE RECLUSOS</t>
  </si>
  <si>
    <t>CANCHA DE MENUDO</t>
  </si>
  <si>
    <t>TRANSFORMADOR QUE EXPLOTO</t>
  </si>
  <si>
    <t>CR 8A 9 108</t>
  </si>
  <si>
    <t>SERPIENTE QUE INGRESA A UNA PROPIEDAD</t>
  </si>
  <si>
    <t>1.19 HORAS</t>
  </si>
  <si>
    <t>QUEBRADAS DE LA UNION</t>
  </si>
  <si>
    <t>EL LUCERO ,LAS PALMAS</t>
  </si>
  <si>
    <t>DESACTIVACION DELAS SIRENAS DE ALERTAS TEMPRAMAS,LAS CUALES SE ACCIONAN SOLAS</t>
  </si>
  <si>
    <t>VIAS DE VERSALLES</t>
  </si>
  <si>
    <t>VERSALLES</t>
  </si>
  <si>
    <t>ACOMPAÑAMIENTO DURANTE DESIFILE POR CUMPLEAÑOS DEL MUNICIPIO</t>
  </si>
  <si>
    <t>TRASVERSAL 17 # 17-50</t>
  </si>
  <si>
    <t>AVISTAS EN UNA CASA</t>
  </si>
  <si>
    <t>SEGUNDO PASO EL TIGRE</t>
  </si>
  <si>
    <t>APOYO OPERATIVO EN PODA DE ARBOLES</t>
  </si>
  <si>
    <t>CRA15 19DN 19 63</t>
  </si>
  <si>
    <t>RECUPERACION DE SERPIENTE EN UNA VIVIENDA, SIN TENER RESULTADOS POSITIVOS</t>
  </si>
  <si>
    <t>PARADOR GRAJALES</t>
  </si>
  <si>
    <t>VIA PANAORAMA KL 0.5</t>
  </si>
  <si>
    <t>ACOMPAÑAMIENTO A LA COOPERATIVA COOTRAUNION</t>
  </si>
  <si>
    <t>VERIFICAR ABEJAS EN UNA VIVIENDA</t>
  </si>
  <si>
    <t>APOYO AL PERSONAL DE LA ALCALDIA PARA CORTE DE ARBOL QUE ESTA EN EL CAUCE DE LA QUEBRADA LA UNION EN EL SEGUNDO PASO</t>
  </si>
  <si>
    <t>57 MNTOS</t>
  </si>
  <si>
    <t>CALLE 21 22 59</t>
  </si>
  <si>
    <t>QUEMA CONTROLADA DE RESIDUOS VEGETALES (PASTOS) LOS CUALES POR SU GRAN CANTIDAD PRODUCIAN DEMASIADO HUMO AFECTANDO LA COMUNIDA</t>
  </si>
  <si>
    <t>TRANSV. 17 17 53</t>
  </si>
  <si>
    <t>INFORMAN DE UN ENJAMBRE DE ABEJAS EN UNA VIVIENDA</t>
  </si>
  <si>
    <t>CARCEL POLICIA NACIONAL</t>
  </si>
  <si>
    <t>INCENDIO DE UN COLCHON EN LA CARCE MUNICIPAL</t>
  </si>
  <si>
    <t>N/4</t>
  </si>
  <si>
    <t>16 HORAS</t>
  </si>
  <si>
    <t>MUNICIPIO LA UNION</t>
  </si>
  <si>
    <t>VARIOS DEL MUNICIPIO</t>
  </si>
  <si>
    <t>EMERGENCIA DE ACUAVALLE SUMINISTRO DE AGUA</t>
  </si>
  <si>
    <t>DIEZ HORAS TREINTA MINUTOS</t>
  </si>
  <si>
    <t>DIFERENTE BARRIOS</t>
  </si>
  <si>
    <t>ALLUDA SUMINISTRO DE AGUA EMERGENCIA ACUAVALLE</t>
  </si>
  <si>
    <t>CLL 14 18 68</t>
  </si>
  <si>
    <t>SE SOLICITA AYUDA PARA SUBIR A UNA CIUDADANA CON PROBLEMAS DE SALUD A UN TERCER PISO</t>
  </si>
  <si>
    <t>KL 0.5 VIA PANORAMA</t>
  </si>
  <si>
    <t>SE REALIZA VISITA DE SEGURIDAD AL PARQUE DE LA UVA</t>
  </si>
  <si>
    <t>FRESLAND</t>
  </si>
  <si>
    <t>SOLICITAN DE LA EMPRESA APOYO PARA UN EMPLEADO QUE CAE DEL TECHO</t>
  </si>
  <si>
    <t>AGROPACK</t>
  </si>
  <si>
    <t>KILOMETRO 2 VIA LA UNION TORO</t>
  </si>
  <si>
    <t>SE REALIZA VISITA PARA VERIFICAR UN ENJAMBRE</t>
  </si>
  <si>
    <t>CUERDA DE ALTA TENCION HACIENDO CORTO</t>
  </si>
  <si>
    <t>VIA PANORAMA KL 0.5</t>
  </si>
  <si>
    <t>VIA PANORAMA SECTOR DE PANUVA</t>
  </si>
  <si>
    <t>RAMA DE GRAN TAMAÑO QUE CAE TAPONANDO LA VIA SENTIDO ROLDANILLO LA UNION-TORO</t>
  </si>
  <si>
    <t>CR 23B 13A 64</t>
  </si>
  <si>
    <t>VILLA DE LA PAZ</t>
  </si>
  <si>
    <t>INFORMA UNA CIUDADANA DE UN FUERTE OLOR EN EL MEDIO AMBIENTE</t>
  </si>
  <si>
    <t>SE REALIZA VISITA DE SEGURIDAD A ENTIDAD BANCARIA</t>
  </si>
  <si>
    <t>OFICINA DE GASES DE OCCIDENTE</t>
  </si>
  <si>
    <t>SE REALIZA VISITA DE SEGURIDAD A OFICINA DE GASES DE OCCIDENTE</t>
  </si>
  <si>
    <t>CALLE 15 CRA 16 ESQUI</t>
  </si>
  <si>
    <t>SE REALIZA VISITA DE SEGURIDAD A DROGUERIA SUPER EXITO</t>
  </si>
  <si>
    <t>PARQUE ARGEMIRO ESCOBAR</t>
  </si>
  <si>
    <t>ACOMPAÑAMIEMTO A LA VELATON NACIONAL</t>
  </si>
  <si>
    <t>CRA 13 CALLE 12 ESQUINA</t>
  </si>
  <si>
    <t>CAIDA DE CUERDAS EN LA VIA PUBLICA</t>
  </si>
  <si>
    <t>UNA CUADRA</t>
  </si>
  <si>
    <t>CALLE 12 227</t>
  </si>
  <si>
    <t>AOMPAÑAMIENTO A LOS NIÑOS DURANTE ACTIVIDAD</t>
  </si>
  <si>
    <t>ACOMPAÑAMIENTO ACTIVIDAD SOCIAL DEL COLEGIO SAN JOSE</t>
  </si>
  <si>
    <t>CRA 12 d 6 52</t>
  </si>
  <si>
    <t>MORADA DEL VIENTO</t>
  </si>
  <si>
    <t>RESCATE DE SERPIENTE QUE SE ENCUENTRA METIDA EN UNA MOTOCICLETA</t>
  </si>
  <si>
    <t>VARIANTE</t>
  </si>
  <si>
    <t>INFORMAN DE UN ARBOL QUE SE CAE TAPANDO PARTE DE LA VIA</t>
  </si>
  <si>
    <t>3/07/0025</t>
  </si>
  <si>
    <t>PERSONA FEMENINA QUE ARRIMA A LA ESTACION SOLICITANDO AYUDA PARA EXTRAERLE UN ANILLO QUE ESTA ATORADO EN EL DEDO INDICE DE LA MANO DERECHA</t>
  </si>
  <si>
    <t>INCENDIO DE UN CONTADOR ELECTRICO</t>
  </si>
  <si>
    <t>FINCA EL PORVENIR</t>
  </si>
  <si>
    <t>ENJAMBRE DE ABEJAS QUE ESTA EN UNA OLLA DE BARRO, SE TRASLADAN A OTRO SITIO SIN RIESGO A LA COMUNIDAD</t>
  </si>
  <si>
    <t>CLL 11 CON CR 11</t>
  </si>
  <si>
    <t>PRIMAVERA</t>
  </si>
  <si>
    <t>PERSONA QUE CAE EN MOTO A LA QUEBRADA</t>
  </si>
  <si>
    <t>SECTOR PEDREGAL</t>
  </si>
  <si>
    <t>CAIDA DE ARBOL VIA LA UNION - TORO</t>
  </si>
  <si>
    <t>INFORMAN DE UNA QUEMA EN ZONA VEJETAL</t>
  </si>
  <si>
    <t>CR 21 12 77</t>
  </si>
  <si>
    <t>VEHICULO CAMION QUE AL PASAR POR LA VIA REVIENTA UN CABLEADO Y DEJA SIN ENERGIA LA PROPIEDAD</t>
  </si>
  <si>
    <t>DESDE EL AMPARO HASTA EL CENTRO</t>
  </si>
  <si>
    <t>ACOMPAÑAMIENTO DESFILE DE LA VIRGEN DEL CARMEN</t>
  </si>
  <si>
    <t>VIA PANORAMA SAN LUIS TORO KL 1</t>
  </si>
  <si>
    <t>VEHICULO QUE SE SALE DE LA VIA QUEDANDO ENCUNETADO EN UN SANJON,CONDUCTOR NO SE DEJA ATENDER POR PERSONAL DE AMBULANCIAS NI BOMBEROS</t>
  </si>
  <si>
    <t>CRA 20 CALLE 18 PANADERIA LA EXQUISITA</t>
  </si>
  <si>
    <t>EL JARDIN SECTOR GALERIA</t>
  </si>
  <si>
    <t>EXPLOSION POR POSIBLE ACUMULACCION DE GAS, EN HORNO DE PANADERIA</t>
  </si>
  <si>
    <t>CRR 20 CON CL 17</t>
  </si>
  <si>
    <t>SE REALIZA CORTE DE ARBOL EN UNA VIVIENDA FAMILIAR</t>
  </si>
  <si>
    <t>VRDA RINCON</t>
  </si>
  <si>
    <t>INFORMAN DE UNA FUGA DE GAS EN UNA VI
VIENDA</t>
  </si>
  <si>
    <t>MANZANA B CASA 13</t>
  </si>
  <si>
    <t>INFORMAN DE UNAS ABEJAS EN EL TECHO DEL SEGUNDO PISO DE UNA VIVIENDA</t>
  </si>
  <si>
    <t>MZ B CS 13</t>
  </si>
  <si>
    <t>SE TERMINA CON EL CONTROL DEL DIA ANTES PARA DAR POR TERMINADA LA LABOR DE REUBICACION DE ENJAMBRE DE ABEJAS</t>
  </si>
  <si>
    <t>CIENAGUETA</t>
  </si>
  <si>
    <t>INFORMAN DE UN INCENDIO CERCA A UN PREDIO, AL LLEGAR AL LUGAR ES UNA QUEMA DE BASURA CONTROLADA POR EL PROPIETARIO, SE DAN RECOMENDACIONES</t>
  </si>
  <si>
    <t>ACOMPAÑAMIENTO DURANTE EVENTO MERCADO CAMPESINO</t>
  </si>
  <si>
    <t>CR 14 16 58</t>
  </si>
  <si>
    <t>DEBIDO A UNA FUERTE LLUVIA SE CORRE UNA TEJA TOCA EL CALE DE ENERGIA Y PRODUCE CHISPAS</t>
  </si>
  <si>
    <t>CALLE 14 # 10 - 09</t>
  </si>
  <si>
    <t>INFORMAN DE UNA CUERDA CON LINEA VIVA SOBRE LA VIA</t>
  </si>
  <si>
    <t>CALLE 17 # 14 - 28</t>
  </si>
  <si>
    <t>CABLE ENERGIZADO INICIA INCENDIO EN EL TECHO DE UNA VIVIENDA</t>
  </si>
  <si>
    <t>URBAN DE SAN LUIS</t>
  </si>
  <si>
    <t>QUEMA DE PASTO A ORILLA DE LA CARRETERA EN LA URBANIZACION</t>
  </si>
  <si>
    <t>100 MT APROX</t>
  </si>
  <si>
    <t>SEGUNDA CANAL VIA A LA ISLA</t>
  </si>
  <si>
    <t>VEHICULO QUE SUFRE VOLCAMIENTO QUEDANDO EL CONDUCTOR APRISIONADO CON EL CON EL CAPACETE DEL CARRO. SE REALIZA MANIOBRAS PARA LIBERAR EL CUERPO</t>
  </si>
  <si>
    <t>VIA LA ISLA POR LA PLANTA DE ENERGIA</t>
  </si>
  <si>
    <t>QUEMA DE PASTOS A ORILLAS DE LA CARRETERA, FRENTE A LA PLANTA DE ENERGIA</t>
  </si>
  <si>
    <t>VIA SAN LUIS LA UNION</t>
  </si>
  <si>
    <t>QUEMA DE PASTIZAL A ORILLAS DE LA CARRETERAEN LOTE VALDIO</t>
  </si>
  <si>
    <t>1 PLAZA</t>
  </si>
  <si>
    <t>SEGUNDA CANAL VIA CORCEGA</t>
  </si>
  <si>
    <t>QUEMA DE PASTIZAL EN LA FINCA LAS ARAUCARIAS PROPIEDAD DEL SEÑOR EDUARDO JIMENEZ</t>
  </si>
  <si>
    <t>3 PLAZAS</t>
  </si>
  <si>
    <t>CL 23 CON CR 5</t>
  </si>
  <si>
    <t>QUEMA DE BASURAS EN CAUCE DE LA QUEBRADA EL LUCERO</t>
  </si>
  <si>
    <t>VIA PEDREGAL - SAN ANTONIO</t>
  </si>
  <si>
    <t>INFORMAN DE UNA RAMA QUE CAE Y PARTE DE ELLA ESTA EN LA CARRETERA</t>
  </si>
  <si>
    <t>7/08/0025</t>
  </si>
  <si>
    <t>FINCA LAS ACASIAS</t>
  </si>
  <si>
    <t>SALIDA POR LAS CINTAS</t>
  </si>
  <si>
    <t>INCENDIO EN LA COPA DE UNA PALMA, SE REACTIVO</t>
  </si>
  <si>
    <t>CALLE 11 CRA 13 ESQU</t>
  </si>
  <si>
    <t>INFORMAN DE UN INCENDIO EN EL SUPERMERCADO, SIENDO NEGATIVA LA INFORMACION</t>
  </si>
  <si>
    <t>CR 23 CON CLL 2</t>
  </si>
  <si>
    <t>SIENDO LAS 20:35 EL CIUDADANO JAIME PEREA SE COMUNICA PARA REPORTAR UN INCENDIO VEHICULAR, SE PROCEDE AL DESPLAZAMIENTO DE LAS UNIDADES PARA DAR ATENCIÓN AL INCIDENTE, AL LLEGAR A LA UBICACIÓN INDICADA NO SE ENCUENTRA DICHO VEHICULO, SE PROCEDE A LLAMAR AL CIUDADANO PARA CORROBORAR LA INFORMACIÓN A LO CUAL ÉL INDICA QUE LOS VECINOS YA CONTROLARON LA SITUACIÓN Y NO ES NECESARIA LA PRESENCIA DE LA INSTITUCIÓN. LA B2 PROCEDE A RETORNAR AL CUARTEL.</t>
  </si>
  <si>
    <t>CARRERA 13 CON CALLE 19</t>
  </si>
  <si>
    <t>INFORMAN DE UNA QUEMA QUE SE VISUALIZA EN LA ZONA VEJETAL</t>
  </si>
  <si>
    <t>SAN LUIS VIA PANORAMA</t>
  </si>
  <si>
    <t>INCENDIO VEHICULAR TRACTO CAMION CARGADO DE MADERA</t>
  </si>
  <si>
    <t>FINCA LA MANUELA</t>
  </si>
  <si>
    <t>INFORMA DE UNA SERPIENTE (GRANADILLA) ENRREDADA EN UN CULTIVO DE UVA</t>
  </si>
  <si>
    <t>LOTE PROPIEDAD DE LA ALCALDIA MNPAL POR LA GUARDERIA</t>
  </si>
  <si>
    <t>QUEMA DE CERCA VIVA</t>
  </si>
  <si>
    <t>20 MTS</t>
  </si>
  <si>
    <t>33 MNTOS</t>
  </si>
  <si>
    <t>GLORIETA LA UNION.TORO.LA VICTORIA</t>
  </si>
  <si>
    <t>ZANA RURAL</t>
  </si>
  <si>
    <t>DERRAME DE ACPM EN LA VIA PANORAMA</t>
  </si>
  <si>
    <t>VEREDA DESPENSITA</t>
  </si>
  <si>
    <t>INCENDIO FORESTAL EN ZONA DE PASTIZAL CON ARBOLES PEQUEÑOS</t>
  </si>
  <si>
    <t>RESCATE DE ZARIGUEYA QUE ESTA EN AREA DE MEDICAMENTOS</t>
  </si>
  <si>
    <t>FINCA DE LOS GONZALEZ</t>
  </si>
  <si>
    <t>RESCATE DE UNA ZARIGUEYA, QUE ESTABA EN UN TECHO</t>
  </si>
  <si>
    <t>ITDG</t>
  </si>
  <si>
    <t>QUEMA DE SWINGLA A ORILLAS DEL COLEGIO GRAJALES EN LA VIA PANORAMA</t>
  </si>
  <si>
    <t>4 MT</t>
  </si>
  <si>
    <t>COLEGIO I.T.D.G</t>
  </si>
  <si>
    <t>QUEMA EN SWINGLA AL LADO DEL I.T.D.G</t>
  </si>
  <si>
    <t>CR 16 CON CR 9A</t>
  </si>
  <si>
    <t>INFORMAN DE UN INCENDIO EN UN ARBOL, PERO AL LLEGAR ES SOLO UNA BASURA QUE ESTABAN QUEMANDO</t>
  </si>
  <si>
    <t>CR 9A 24 - 34</t>
  </si>
  <si>
    <t>SAN MIGUEL</t>
  </si>
  <si>
    <t>INFORMAN DE UN HUMO QUE SALE POR EL TECHO DE UNA VIVIENDA</t>
  </si>
  <si>
    <t>CALLE 16</t>
  </si>
  <si>
    <t>FALSA ALARMA DE QUEMA DE UN ARBOL</t>
  </si>
  <si>
    <t>CALLE 13 CON CARRERA 13</t>
  </si>
  <si>
    <t>SE REALIZA VISITA PARA VERIFICAR ABEJAS</t>
  </si>
  <si>
    <t>27 MNTOS</t>
  </si>
  <si>
    <t>CALLE 13 CRA 13</t>
  </si>
  <si>
    <t>VERIFICACION DE ABEJAS,</t>
  </si>
  <si>
    <t>INFORMAN DE UN VEHICULO VOLCADO CON PERSONAS ATRAPADAS LAS CUALES AL LLEGAR AL SITIO HABIAN SALIDO POR SUS PROPIOS MEDIOS</t>
  </si>
  <si>
    <t>CALLE 22 19 37</t>
  </si>
  <si>
    <t>INFORMAN DE UNA DAÑO EN LA TUBERIA POR PARTE DEL TRABAJADOR DE LA OBRA</t>
  </si>
  <si>
    <t>36 MINUTOS</t>
  </si>
  <si>
    <t>CALLE 15 CON CARRERA 16 ESQUINA</t>
  </si>
  <si>
    <t>INCENDIO AL REDEDOR DE CAMPANA DE ESTUFA DEL AZADERO</t>
  </si>
  <si>
    <t>VERED QUEBRADA GRANDE</t>
  </si>
  <si>
    <t>QUEBRADA GRANDE</t>
  </si>
  <si>
    <t>FUGA DE GAS POR ROMPIMIENTO DE TUBERIA</t>
  </si>
  <si>
    <t>MZ 1 CASA 23</t>
  </si>
  <si>
    <t>INFORMAN DE UNA FUGA DE GAS POR DAÑO EN LA TUBERIA</t>
  </si>
  <si>
    <t>GLORIETA DE LA UNION TORO LA VICTORIA</t>
  </si>
  <si>
    <t>VEHICULO QUE PIERDE EL CONTROL Y SE SALE DE LA VIA SIN PERSONAS LESIONADAS</t>
  </si>
  <si>
    <t>CALLE 13 # 13 - 40</t>
  </si>
  <si>
    <t>INFORMA EL COMANDANTE DE UN INCENDIO ELECTRICO</t>
  </si>
  <si>
    <t>URB LA ESPERANZA MANZ-C CASA2</t>
  </si>
  <si>
    <t>CONTROL DE AVISPAS QUE SE ENCUENTRAN EN UN A VIVIENDA</t>
  </si>
  <si>
    <t>49 MNT</t>
  </si>
  <si>
    <t>CALLE 15 13-40</t>
  </si>
  <si>
    <t>INCENDIOP ELECTRICO EN CAJA DE MEDIDORES</t>
  </si>
  <si>
    <t>CARRERA 19</t>
  </si>
  <si>
    <t>ACTIVACION DE LA SIRENA DE GESTION DE RIESGO</t>
  </si>
  <si>
    <t>1 HORA TREINTA MINUTOS</t>
  </si>
  <si>
    <t>FINCA LA ESPERANZA</t>
  </si>
  <si>
    <t>VACA EN LA CANAL</t>
  </si>
  <si>
    <t>CELEBRACION DEL DIA DE LA FAMILIA</t>
  </si>
  <si>
    <t>CALLE 12 N° 22-34</t>
  </si>
  <si>
    <t>CUERDA QUE CAE SOBRE TECHO</t>
  </si>
  <si>
    <t>4.11 HORAS</t>
  </si>
  <si>
    <t>COLEGIO LA CONCENTRACION</t>
  </si>
  <si>
    <t>ACOMPAÑAMIENTO OPERARTIVO CELEBRACION DIA DE LA FAMILIA</t>
  </si>
  <si>
    <t>9/12/0025</t>
  </si>
  <si>
    <t>1.09HORAS</t>
  </si>
  <si>
    <t>BODEGA DE LIMONES VIA PANORAMA KL 2 LA UNION TORO</t>
  </si>
  <si>
    <t>40MNTO</t>
  </si>
  <si>
    <t>CALLE 15 CRA 10</t>
  </si>
  <si>
    <t>DERRAME DE ACPM , POR ROMPIMIENTO DEL FILTRO DE UN VEHICULO TIPÓ CAMIONETA</t>
  </si>
  <si>
    <t>120 MT APROX</t>
  </si>
  <si>
    <t>BODEGA AGROPACK</t>
  </si>
  <si>
    <t>10 MT</t>
  </si>
  <si>
    <t>INCENDIO EN PREDIO QUE SE SALIO DE CONTROL</t>
  </si>
  <si>
    <t>1/2 PLAZA</t>
  </si>
  <si>
    <t>MIGUEL GOMEZ AYALA</t>
  </si>
  <si>
    <t>INFORMAN DE UN GATO EN UN TECHO QUE QUEDO DESDE AYER ATRAPADO</t>
  </si>
  <si>
    <t>INFORMAN DE UNAS RAMAS CAIDAS POR LAS LLUVIAS</t>
  </si>
  <si>
    <t>CARRERA 27 # 22 27</t>
  </si>
  <si>
    <t>INFORMAN DE UNA CUERDA DE LA ENERGIA CAIDA EN LA VIA</t>
  </si>
  <si>
    <t>1.23 HORAS</t>
  </si>
  <si>
    <t>CRA 27 # 22 -27</t>
  </si>
  <si>
    <t>ARBOL QUE CAE SOBRE UNAS CUERDAS DE ENERGIA</t>
  </si>
  <si>
    <t>1000 MT</t>
  </si>
  <si>
    <t>LA CANTERA</t>
  </si>
  <si>
    <t>SIMULACRO NIVEL NACIONAL</t>
  </si>
  <si>
    <t>CALLE 9 CRA 9 ESQUINA</t>
  </si>
  <si>
    <t>VIVIENDA QUE SE INUNDA POR COLAPSO DEL ALCANTARILLADO PRINCIPAL</t>
  </si>
  <si>
    <t>80 MT2</t>
  </si>
  <si>
    <t>CRA 17 #18 39</t>
  </si>
  <si>
    <t>FUGA DE GAS NATURAL POR ROMPIMIENTO DE TUBO DE SUMINISTRO DOMICILIARIO</t>
  </si>
  <si>
    <t>ACOMPAÑAMIENTO EN DESFILE DIA DE LOS NIÑOS A LA PARROQUIA PERPETUO SOCORRO</t>
  </si>
  <si>
    <t>CALLE 15 # 14 - 34</t>
  </si>
  <si>
    <t>ACOMPAÑAMIENTO DIA DE DISFRACES</t>
  </si>
  <si>
    <t>LA PERCHOSA</t>
  </si>
  <si>
    <t>INFORMAN DE UN ACCIDENTE DE TRANSITO, CON POSIBLE PERSONA ATRAPADA</t>
  </si>
  <si>
    <t>CARRERA 14 CON CALLE 15</t>
  </si>
  <si>
    <t>ACOMPAÑAMIENTO AL EVENTO</t>
  </si>
  <si>
    <t>CALLE 18 ENTRE CARRERA 16 Y 15</t>
  </si>
  <si>
    <t>LIMPIEZA DE LA PLAZA DE MERCADO</t>
  </si>
  <si>
    <t>URBA EL PRADO MANZA e CASA 1</t>
  </si>
  <si>
    <t>SERPIENTE QUE SE ENCUENTRA EN EL BALCON DE UNA VIVIENDA</t>
  </si>
  <si>
    <t>CARRERA 15 CON CALLE 7</t>
  </si>
  <si>
    <t>FUGA DE GAS POR DAÑO EN LA TUBERIA</t>
  </si>
  <si>
    <t>NO SE ALCALSO A LLEGAR YA QUE LA VICTIMA FUE RESCATADA</t>
  </si>
  <si>
    <t>CALLE 14 06 61</t>
  </si>
  <si>
    <t>RETIRO DE ANILLO EN MANO QUE SUFRIO QUEMADURA CON ACEITE</t>
  </si>
  <si>
    <t>CALLE 15 CON CR 21</t>
  </si>
  <si>
    <t>CARRO QUE SE INCENDIO EN SU TOTALIDAD</t>
  </si>
  <si>
    <t>KLM 1 VIA LA UNION TORO</t>
  </si>
  <si>
    <t>ACOMPAÑAMIENTO Y PREVENCION DE MATPEL</t>
  </si>
  <si>
    <t>CRA 17 # 19-65</t>
  </si>
  <si>
    <t>FELINO QUE CAE A UN ALJIBER</t>
  </si>
  <si>
    <t>16 MNTO</t>
  </si>
  <si>
    <t>VIA EL LUCERO</t>
  </si>
  <si>
    <t>INFORMAN DE UNA VIVIENDOA QUE SE ESTA INUNDANDO POR FUERTES AGUACEROS</t>
  </si>
  <si>
    <t>CALLE 15 CRA 19</t>
  </si>
  <si>
    <t>INCENDIO VEHICULAR DECLARADO,CON PERDIDA TOTAL</t>
  </si>
  <si>
    <t>VIA PANORAMA K 2 SAN LUIS</t>
  </si>
  <si>
    <t>SE PRESTA PREVENCION PARA TRANSVACIAR COMBUSTIBLE DE CARRO CISTERNA ACCIDENTADO</t>
  </si>
  <si>
    <t>CR 15 CON CALLE 19</t>
  </si>
  <si>
    <t>INFORMAN DE UN CUERPOESPIN METIDO POR LA LLANTA DE UNA AMBULANCIA</t>
  </si>
  <si>
    <t>10 MNTO</t>
  </si>
  <si>
    <t>QUEMA DE PASTO A ORILLAS DE CARRETERA</t>
  </si>
  <si>
    <t>PARQUE PRINCIPAL ARGEMIRO ESCOBAR CARDONA</t>
  </si>
  <si>
    <t>ACOMPAÑAMIENTO DE ALUMBRADO PUBLICO EN EL PARQUE PRINCIPAL COMO PREVENCION</t>
  </si>
  <si>
    <t>LA CIUDADELA GRAJALES</t>
  </si>
  <si>
    <t>APOYO A PERSONAL DE SUBSALUD.PARA BAJAR PERSONA DE UN SEGUNDO PISO,LA CUAL ESTABA DESMAYADA</t>
  </si>
  <si>
    <t>CARRERA 14 13 60</t>
  </si>
  <si>
    <t>SUMINISTRO DE AGUA PARA LA INSTITUCION</t>
  </si>
  <si>
    <t>SECTOR CASA H</t>
  </si>
  <si>
    <t>INFORMAN DE UNA QUEMA EN UNA LOTE</t>
  </si>
  <si>
    <t>2 HORAS Y MEDIA</t>
  </si>
  <si>
    <t>COOTRAUNION</t>
  </si>
  <si>
    <t>ACOMPAÑAMIENTO EN LABORES DE PREVENCION A COOTRAUNION</t>
  </si>
  <si>
    <t>CALLE 25 11 58</t>
  </si>
  <si>
    <t>RESCATE DE UNA ZARIGUEYA, QUE ESTA EN VIA PUBLICA ES LLEVADA A PANUVA</t>
  </si>
  <si>
    <t>CARRERA 19 # 14-14</t>
  </si>
  <si>
    <t>INCENDIO POR CORTO CIRCUITO</t>
  </si>
  <si>
    <t>MANZANA D CASA 7</t>
  </si>
  <si>
    <t>INFORMAN DE UN GATO ATRAPADO EN MEDIO DE DOS PAREDES</t>
  </si>
  <si>
    <t>FINCA EL ENCANTO</t>
  </si>
  <si>
    <t>MONTAÑAS VIA A LA AGUADA</t>
  </si>
  <si>
    <t>BUSQUEDA DE PARAPENTISTA QUE CAE EN LA ZONA MONTAÑOSA DE LA AGUADA</t>
  </si>
  <si>
    <t>VIA LAS CINTAS</t>
  </si>
  <si>
    <t>INFORMAN DE HUMO EN LA MONTAÑA</t>
  </si>
  <si>
    <t>200 MTR</t>
  </si>
  <si>
    <t>LA BASCULA DE CERVALLE</t>
  </si>
  <si>
    <t>ARBOL QUE CAE TAPONANDO PARTE DE LA VIA Y AFECTANDO UNA VIVIENDA</t>
  </si>
  <si>
    <t>100 M/2</t>
  </si>
  <si>
    <t>CALLE 20 CRA 17</t>
  </si>
  <si>
    <t>RECUPERACION Y LIBERACION DE ENJAMBRE DE AVISPAS QUE ESTAN DENTRO DE UNA VIVIENDA</t>
  </si>
  <si>
    <t>10 MT/2</t>
  </si>
  <si>
    <t>12 MNTOS</t>
  </si>
  <si>
    <t>CALLE 13 CRA 8</t>
  </si>
  <si>
    <t>POSIBLE INCENDIO ESTRUCTURAL,RESULTANDO SER UN SARTEN QUE SE ESTABA QUEMANDO</t>
  </si>
  <si>
    <t>MANZANA B CASA 6</t>
  </si>
  <si>
    <t>LA ANDINA</t>
  </si>
  <si>
    <t>INFORMAN DE UN MENOR ATRAPADO EN UN BAÑO, POR UN CAJON QUE CAE Y BLOQUEA LA PUERTA</t>
  </si>
  <si>
    <t>CARRERA 15 CON CALLE 15</t>
  </si>
  <si>
    <t>INCENDIO EN UN LOCAL DEL CENTRO</t>
  </si>
  <si>
    <t>ZONA DEL AJISAL</t>
  </si>
  <si>
    <t>EL AJISAL</t>
  </si>
  <si>
    <t>RESCATE DE PILOTO DE PARAPENTE QUE CAE EN LA ZONA ALTA DEL AJISAL, PILOTO SALE POR SUS PROPIOS MEDIOS</t>
  </si>
  <si>
    <t>QUEMA VEGETAL CONTROLADA</t>
  </si>
  <si>
    <t>23/12/0026</t>
  </si>
  <si>
    <t>CERRO DE SANTA ELENA</t>
  </si>
  <si>
    <t>PILOTOS DE PARAPENTES QUE SE ENREDAN EN VUELO Y SUFREN CAIDA SALIENDO ILESOS</t>
  </si>
  <si>
    <t>VIA A SAN LUIS</t>
  </si>
  <si>
    <t>NO SE ENCONTRO LA DIRECCION</t>
  </si>
  <si>
    <t>CRA 15 #7a 36</t>
  </si>
  <si>
    <t>LA CIUDADELA BAJA</t>
  </si>
  <si>
    <t>FUERTE OLOR A GAS ,SIN ENCONTRAR CAUSAS</t>
  </si>
  <si>
    <t>45MT/2</t>
  </si>
  <si>
    <t>2.33 HORAS</t>
  </si>
  <si>
    <t>TRANS 17 CRA 17</t>
  </si>
  <si>
    <t>INCENDIO ESTRUCTURAL EN VIVIENDA UTILIADA PARA ALMACENAR PRODUCTOS DE RECICLAJE</t>
  </si>
  <si>
    <t>B-2, B-4, L-2, OTROS</t>
  </si>
  <si>
    <t>CRA 18 #14 19</t>
  </si>
  <si>
    <t>FUGA DE GAS EN VIVIENDA</t>
  </si>
  <si>
    <t>CALLE 8 # 9 - 120</t>
  </si>
  <si>
    <t>GATO QUE QUEDA ATRAPADO EN UN TECHO</t>
  </si>
  <si>
    <t>VOLADERO DE LA AGUADA</t>
  </si>
  <si>
    <t>PILOTO DE PARAPENTE QUE CAE EN EL SECTOR DEL VOLADERO DE LA AGUADA,SE REQUIERE TRASLADO EN AMBULANCIA</t>
  </si>
  <si>
    <t>CUERPO DE BOMBEROS VOLUNTARIOS, LA UNIÓN, VALLE DEL CAUCA
INFORME DE ACTIVIDADES DESDE EL AÑO 2021 HASTA EL 2025</t>
  </si>
  <si>
    <t>ABEJAS AL PARECER PASAGERAS</t>
  </si>
  <si>
    <t>CR 15 7A-36</t>
  </si>
  <si>
    <t>CILINDRO DE GAS QUE PRESENTA FUGA, SE TRAJO PARA LA PARTE DE LA ESCUELA</t>
  </si>
  <si>
    <t>TRASVERSAL 17</t>
  </si>
  <si>
    <t>RESCATE DE UN FELINO EN UN ALJIBER</t>
  </si>
  <si>
    <t>CRA 16 #25 04</t>
  </si>
  <si>
    <t>QUEMA DE RESIDUOS SOLIDOPS QUE ESTAN REALIZANDO DOS ADULTOS MAYORES. SE REALIZA SOFOCACION</t>
  </si>
  <si>
    <t>POSIBLE QUEMA DE DESECHOS SIENDO FALSA ALARMA</t>
  </si>
  <si>
    <t>BAR LOS AMIGOS, EL REY DEL DESPECHO Y FINCA VILLA LIANA</t>
  </si>
  <si>
    <t>LA UNION</t>
  </si>
  <si>
    <t>SE REALIZAN VISITA PARA DAR CONCEPTO DE SEGURIDAD</t>
  </si>
  <si>
    <t>CARRERA 15 CON CALLE 12</t>
  </si>
  <si>
    <t>INFORMAN DE UN BULTO QUE CAE DE UNA MOTO, CON UN PRODUCTO AGRICOLA TOXICO</t>
  </si>
  <si>
    <t>VIA PANORAMA KM1 EL AMPARO SAN LUIS</t>
  </si>
  <si>
    <t>ARBOL QUE CAE TAPONANDO EL CARRIL EN SENTIDO EL AMPARO SAN LUIS</t>
  </si>
  <si>
    <t>100 MT/2</t>
  </si>
  <si>
    <t>CALLE 17 # 14 - 57</t>
  </si>
  <si>
    <t>INFORMAN DE UNA FUGA DE GAS DURANTE TRABAJO EN LA VIA</t>
  </si>
  <si>
    <t>CRA 15 CON CL 17</t>
  </si>
  <si>
    <t>FUGA DE GAS POR ROMPIMIENTO DEL TUBO QUE LO TRANSPORTA</t>
  </si>
  <si>
    <t>4.40 HORAS</t>
  </si>
  <si>
    <t>MORELIA</t>
  </si>
  <si>
    <t>SANTA RITA</t>
  </si>
  <si>
    <t>APOYO OPERATIVO CON MAQUINAA EXTINTORA,CARROTANQUE Y PERSONAL, AL CBV DE ROLDANILLO EN QUEMA DE RESIDUOS AGRICOLAS,QUE SE SALEN DE CONTROL</t>
  </si>
  <si>
    <t>2 HECTAREAS</t>
  </si>
  <si>
    <t>B-4, L-1, OTROS</t>
  </si>
  <si>
    <t>VIA SAN LUIS S/N 730</t>
  </si>
  <si>
    <t>INFORMAN DE UN POSTE EN LLAMAS</t>
  </si>
  <si>
    <t>47 MNTOS</t>
  </si>
  <si>
    <t>CALLE 21 CRA 15 ESQU</t>
  </si>
  <si>
    <t>FUGA DE GAS NATURAL POR ROMPIMIENTO EN LA TUBERIA AL REALIZAR TRABAJOS DE CONSTRUCCION</t>
  </si>
  <si>
    <t>100MT/2</t>
  </si>
  <si>
    <t>CARRERA 10 # 15 - 28</t>
  </si>
  <si>
    <t>INFORMAN DE UN GATO EN UN ARBOL QUE SE DIFICULTA BAJAR POR MOTIVOS DE LLUVIA</t>
  </si>
  <si>
    <t>CRA 12 CALLE10</t>
  </si>
  <si>
    <t>POR FUERTES VIENTO EN EL MNPIO SE CAE UN ARBOL SOBRE LA PARTE SUPERIOR DE UNA VIVIENDA, RESULTANDO AFECTADO EL TECHO</t>
  </si>
  <si>
    <t>40 M/2</t>
  </si>
  <si>
    <t>EL JORDAN</t>
  </si>
  <si>
    <t>TECHO DE GUADUA Y ZINC QUE POR LOS FUERTE VIENTOS EN EL MPIO SE CAE A LA VIA PUBLICA</t>
  </si>
  <si>
    <t>40 MT/2</t>
  </si>
  <si>
    <t>CALLE 11 CRA 15 ESQ</t>
  </si>
  <si>
    <t>VERIFICACION DE ABEJAS EN VIVIENDA</t>
  </si>
  <si>
    <t>APOYO A PERSONAL DE LA ALCALDIA EN RECUPERACION DE ABEJAS</t>
  </si>
  <si>
    <t>30 MT/2</t>
  </si>
  <si>
    <t>APOYO OPERATIVO AL PERSONAL DE HUMATA PARA CAPTURAR ABEJAS QUE ESTAN EN EL TECHO DE LA CASA CONSISTORIAL</t>
  </si>
  <si>
    <t>50 MT/2</t>
  </si>
  <si>
    <t>CRA 27 23 125</t>
  </si>
  <si>
    <t>ARBOL QUE CAE POR FUERTES AGUACEROS EN LA MADRUGA , TAPOBNANDO LA VIA ENTRE SAN JOSE Y EL AJISAL DEJANDO HABITANTES SIN PASO VEHICULAR</t>
  </si>
  <si>
    <t>50MT/2</t>
  </si>
  <si>
    <t>2.13 HORAS</t>
  </si>
  <si>
    <t>CRA 12 #10 31</t>
  </si>
  <si>
    <t>ARBOL QUE CAE SOBRE UN TECHO DE LA VIVIENDA, DEBIDO A FUERTES AGUACEROS DURANTE EL FIN DE SEMANA</t>
  </si>
  <si>
    <t>20 MT/2</t>
  </si>
  <si>
    <t>2.15</t>
  </si>
  <si>
    <t>QUEBRADA LA UNION CRA 12</t>
  </si>
  <si>
    <t>ARBOL QUE CAE AL CAUCE DE LA QUEBRADA POR LA CRA 12 PUENTE DE LOS MIRANDAS</t>
  </si>
  <si>
    <t>6 horas</t>
  </si>
  <si>
    <t>clv 11 carrera 18</t>
  </si>
  <si>
    <t>el prado</t>
  </si>
  <si>
    <t>ENPALIZADA EN EL PUENTE</t>
  </si>
  <si>
    <t>CL 21 23 87</t>
  </si>
  <si>
    <t>INFORMAN DE UNA CULEBRA QUE ESTA EN EL BAÑO DE LA VIVIENDA</t>
  </si>
  <si>
    <t>CAIDA DE ARBOL POR VENDAVAL</t>
  </si>
  <si>
    <t>CORTE DE ARBOL POR CAIDA DE FUERTE VENDAVAL</t>
  </si>
  <si>
    <t>QUEBRADA EL RINCON</t>
  </si>
  <si>
    <t>MONITOREO POR CRESIENTE SUBITA</t>
  </si>
  <si>
    <t>MONITOREO CRESIENTE SUBITA</t>
  </si>
  <si>
    <t>CRESIENTE SUBITA</t>
  </si>
  <si>
    <t>CR 12A 8-74</t>
  </si>
  <si>
    <t>ABEJAS EN UNA CASA</t>
  </si>
  <si>
    <t>CLL 23 # 14-16</t>
  </si>
  <si>
    <t>RESCATE DE UNA ZARIGUELLA PERO AL LLEGAR AL SITIO YA SE HABIA IDO</t>
  </si>
  <si>
    <t>LA BATEA</t>
  </si>
  <si>
    <t>CUERPO DE BOMBEROS VOLUNTARIOS, LA UNIÓN, VALLE DEL CAUCA
INFORME DE ACTIVIDADES EN LO CORRIDO DEL AÑO 2026</t>
  </si>
  <si>
    <t>CONTROL Y RECUPERACION DE TRES COLMENAS DE ABEJAS QUE ESTAN EN BOBEDAS DEL CEMENTERIO. SE REQUIERE APOYO DE APICULTORES PARTICULARES Y FUNCIONARIO DE AGRICULTURA</t>
  </si>
  <si>
    <t>200MT/2</t>
  </si>
  <si>
    <t>QUEMA DE RESIDUOS AGRICOLAS QUE SE SALE DE CONTROL A LOS TRABAJADORES DE LA FINCA</t>
  </si>
  <si>
    <t>QUEMA DE CAÑA QUE ESTA SIENDO CONTROLADA POR TRABAJADORES DE LA FINCA SE DEJAN RECOMENDACIONES</t>
  </si>
  <si>
    <t>LA MILAGROSA</t>
  </si>
  <si>
    <t>ARBOLES QUE CAEN POR CRECIENTES SUBITAS AL CAUCE DE LA QUEBRADA LA UNION TAPONANDO EL FLUJO DE LA MISMA</t>
  </si>
  <si>
    <t>200 MT</t>
  </si>
  <si>
    <t>CALL 15 CRA 21 ESQ</t>
  </si>
  <si>
    <t>FUGA DE GAS POR ROMPIMIENTO DE LA TUBERIA EN LA CONSTRUCCION AL FRENTE DEL CEMENTERIO</t>
  </si>
  <si>
    <t>MANZ B CASA 5</t>
  </si>
  <si>
    <t>URBA LA ESPERANZA</t>
  </si>
  <si>
    <t>INCENDIO EN UNA CERCA, POR QUEMAS DE BASURAS EN EL INTERIOR DE LA VIVIENDA, LA CUAL SE LE SALE DE CONTROL</t>
  </si>
  <si>
    <t>30 MINUT6OS</t>
  </si>
  <si>
    <t>FINCA DOCTOR ESTEFEN</t>
  </si>
  <si>
    <t>INCENDIO QUE SE SALIO DE CONTROL PERO FUE CONTROLADO POR GENTE DEL LUGAR</t>
  </si>
  <si>
    <t>INCENDIO POR POSIBLE QUEMA CONTROLADA QUE SALIO DE CONTROL</t>
  </si>
  <si>
    <t>2.75 HECTAREAS</t>
  </si>
  <si>
    <t>CRA 11 CALLE 18a</t>
  </si>
  <si>
    <t>RECUPERACION DE UN ENJAMBRE DE ABEJAS QUE LLEVA TRES DIAS EN UNA LLANTA EN LOS LAGOS DE PESCA VILLA KERLY</t>
  </si>
  <si>
    <t>100/ MT</t>
  </si>
  <si>
    <t>CALLE 13 CRA 17</t>
  </si>
  <si>
    <t>ENJAMBRE DE AVISPAS QUE SE ENCUENTRAN EN UN ARBOL PEQUEÑO ,AFECTANDO LOS HABITANTES DE LA VIVIENDA</t>
  </si>
  <si>
    <t>VIA LA UNION LA VICTORIA KL 0.5</t>
  </si>
  <si>
    <t>RAMA DE UN ARBOL QUE CAE SOBRE LA CABINA DE UN TRACTO CAMION OCASIONANDO DAÑOS MATERIALES</t>
  </si>
  <si>
    <t>30 MT</t>
  </si>
  <si>
    <t>ROTURA DE TUVERIA DE GAS</t>
  </si>
  <si>
    <t>CALLE 15 CON CRA 16 ESQUINA</t>
  </si>
  <si>
    <t>INCENDIO VEHICULAR CONTROLADO POR LA POBLACION CIVIL</t>
  </si>
  <si>
    <t>2.21 HORAS</t>
  </si>
  <si>
    <t>CORCEGA ASORUT</t>
  </si>
  <si>
    <t>QUEMA DE CAÑA DE AZUCAR</t>
  </si>
  <si>
    <t>3 HECTAREAAS</t>
  </si>
  <si>
    <t>LUCERO BAJO</t>
  </si>
  <si>
    <t>QUEMA DE PASTOS QUE SE SALEN DE CONTROL SE REFRIGERA LA ORILLA DEL CERCO</t>
  </si>
  <si>
    <t>30MT</t>
  </si>
  <si>
    <t>URBANIZACION LOS ANGELES</t>
  </si>
  <si>
    <t>INFORMAN DE UNA QUEMA DE PASTIZAL QUE NO PUEDEN APAGAR</t>
  </si>
  <si>
    <t>500 MTR</t>
  </si>
  <si>
    <t>KL 23 VIA A SANLUIS</t>
  </si>
  <si>
    <t>QUEMA CONTROLADA POR TRABAJADORES</t>
  </si>
  <si>
    <t>CLL 22 # 15-57</t>
  </si>
  <si>
    <t>FUGA DE GAS NATURAL POR ROMPIMIENTO DE TUBO</t>
  </si>
  <si>
    <t>CL 14 # 7-01</t>
  </si>
  <si>
    <t>LA LAJAS</t>
  </si>
  <si>
    <t>FUGA DE GAS POR ROMPIMIENTO DE TUBO</t>
  </si>
  <si>
    <t>3.21 HORAS</t>
  </si>
  <si>
    <t>ACOMPAÑAMIENTO DURANTE LA PROCESION DEL DOMINGO DE RAMOS</t>
  </si>
  <si>
    <t>B-3, B-4, L-1</t>
  </si>
  <si>
    <t>2.30</t>
  </si>
  <si>
    <t>CR 15 # 19 24</t>
  </si>
  <si>
    <t>ZARIGUELLA ATRAPADAS</t>
  </si>
  <si>
    <t>CR 21 # 12-65</t>
  </si>
  <si>
    <t>ZARIGUELLA ATRAPADA EN UN CIELO RAZO</t>
  </si>
  <si>
    <t>CRA 15 19 24</t>
  </si>
  <si>
    <t>RESCATE DE ZARIGUEYA QUE ESTABA EN UNA VIVIENDA</t>
  </si>
  <si>
    <t>CRA 21 15 78</t>
  </si>
  <si>
    <t>RECOLECCION DE AVISPAS</t>
  </si>
  <si>
    <t>PARQUE PRINICIPAL ARGEMIRO ESCOBAR CARDONA</t>
  </si>
  <si>
    <t>INFORMAN DE UN ARBOL QUE CAE DEBIDO A VIENTOS FUERTES</t>
  </si>
  <si>
    <t>PARROQUIA SAN JOSE</t>
  </si>
  <si>
    <t>ACOMPAÑAMIENTO DURANTE PROCESION Y PRESTADA DE GUARDIA EN LA IGLESIA</t>
  </si>
  <si>
    <t>SAN LUIS POR LA ESQUINA DEL SABOR</t>
  </si>
  <si>
    <t>ROMPIMIENTO DE TUBERIA DE GAS NATURAL,</t>
  </si>
  <si>
    <t>4.55 HORAS</t>
  </si>
  <si>
    <t>SAN LUIS A LA UNION ZONA CENTRO</t>
  </si>
  <si>
    <t>ACOMPAÑAMIENTO A EVENTOS RELIGIOSOS DE LA SEMANA SANTA</t>
  </si>
  <si>
    <t>CALLES DEL PUEBLO</t>
  </si>
  <si>
    <t>ACOMPAÑAMIENTO EN LA PROCESION</t>
  </si>
  <si>
    <t>MEDIVALLE SAS, SALSAMENTARIA LOS HATEÑOS, PAMELA GORDILLO</t>
  </si>
  <si>
    <t>SE REALIZAN VISITAS A ESTABLECIMIENTOS DEL MUNICIPIO PARA CONCEPTOS DE SEGURIDAD</t>
  </si>
  <si>
    <t>CALLE 14 7 73</t>
  </si>
  <si>
    <t>INFORMAN DE UNA DAÑO EN LA TUVERIA DEL GAS POR TRABAJOS EN LA VIA</t>
  </si>
  <si>
    <t>VIA ROLDANILLO LA UNION</t>
  </si>
  <si>
    <t>HIGUERON SANTA RITA</t>
  </si>
  <si>
    <t>APOYO OPERATIVO CON MAQUINA EXTINTORA Y PERSONAL PARA CONTROLAR INCENDIO FORESTAL</t>
  </si>
  <si>
    <t>PROCESIÓN PARROQUIA SAN JOSE</t>
  </si>
  <si>
    <t>FINCA VILLEDO LA JULIANA</t>
  </si>
  <si>
    <t>INFORMAN DE UN ATAQUE DE ABEJAS A UN TERNERO Y A UN TRABAJADOR DE LA FINCA</t>
  </si>
  <si>
    <t>ULTRAIMAGEN, MOTO SPORT, VALLAS MOTOS</t>
  </si>
  <si>
    <t>VISITAS PARA REALIZAR CONCEPTO DE SEGURIDAD</t>
  </si>
  <si>
    <t>RECICLAJE, DPIN PANTHER COFFE BAR, SARAY, TIENDA SOFI</t>
  </si>
  <si>
    <t>SE REALIZAN VISITA PARA CONCEPTO DE SEGURIDAD</t>
  </si>
  <si>
    <t>ALCANDIA MNPAL</t>
  </si>
  <si>
    <t>REUNION CMGRD ASUNTO CABALGATA 18 ABRIL</t>
  </si>
  <si>
    <t>18 MNTOS</t>
  </si>
  <si>
    <t>CRA 7 CALLE 13</t>
  </si>
  <si>
    <t xml:space="preserve">FUGA DE GAS VEHICULAR, POR EL SISTENA DE TUBERIA
</t>
  </si>
  <si>
    <t>FINCA MARGARITA</t>
  </si>
  <si>
    <t>INFORMAN DE UN ENJAMBRE DE ABEJAS CERCA A UNOS ESTABLOS</t>
  </si>
  <si>
    <t>INFORMAN DE UN ACCIDENTE DE TRANSITO CERCA AL LUGAR DONDE SE ENCONTRABA LA L-2 REALIZANDO UNA LIBERACION DE ABEJAS. SE ATIENDEN DOS LESIONADOS Y LUEGO SON ENTREGADOS A LA AMBULANCIA SUB SALUD</t>
  </si>
  <si>
    <t>INFORMAN DE LA FINCA, QUE ENCUENTRAN UNA CULEBRA ENRREDADA EN UNA MALLA</t>
  </si>
  <si>
    <t>CRA 11 20 03</t>
  </si>
  <si>
    <t>APERTURA DE PUERTA DE UNA VIVIENDA SOLICITADA POR LA PROPIETARIA ,DIANA ZAMUDIO</t>
  </si>
  <si>
    <t>10 M/ 2</t>
  </si>
  <si>
    <t>CL 17 18 74</t>
  </si>
  <si>
    <t>INFORMAN DE UN AVE ATRAPADA EN UN BAÑO DE UNA VIVIENDA</t>
  </si>
  <si>
    <t>INCENDIO ESTRUCRURAL EN UNA BODEGA,POSIBLEMENTE POR UNA VELADORA, LA COMUNIDAD YA TENIA CONTROLADA LA SITUACION</t>
  </si>
  <si>
    <t>PANAL DE ABEJAS EN EL POSTE DE LA CAMARA</t>
  </si>
  <si>
    <t>44 MINUTOS</t>
  </si>
  <si>
    <t>CL 24 12-03</t>
  </si>
  <si>
    <t>SINGLA QUER SE QUEMA EN UNA URBANIZACION EN CONSTRUCIO</t>
  </si>
  <si>
    <t>10 MTS LINEALES</t>
  </si>
  <si>
    <t>INFORMA DE UN ARBOL QUE CAE A LA VIA Y ESTA ENERGIZADO PRODUCIENDO CHISPAS</t>
  </si>
  <si>
    <t>INFORMAN DE DESBORDAMIENTO DEL AGUA EN LA CANAL</t>
  </si>
  <si>
    <t>CRESIENTE DE LAS QUEBRADAS DE LA UNION</t>
  </si>
  <si>
    <t>CEMENTERIO MNCIPAL</t>
  </si>
  <si>
    <t>RECUPERACION DE 2 ENJAMBRES DE ABEJAS QUE ESTAN EN LAS BOVEDAS DEL CEMENTERIO, SE RECIBE APOYO DE LA OFICINA DE AGRICULTURA MNPAL CON UN FUNCIONARIO</t>
  </si>
  <si>
    <t>CR 23 22 78</t>
  </si>
  <si>
    <t>INFORMAN DE UN PERRO QUE CAE A UN POZO</t>
  </si>
  <si>
    <t>CALLE 7A # 11-52</t>
  </si>
  <si>
    <t>BARRIO EL PARAISO</t>
  </si>
  <si>
    <t>6 MANZANAS A LA REDONDA</t>
  </si>
  <si>
    <t>CLL 18 13 28</t>
  </si>
  <si>
    <t>INFORMAN DE UNA ZARIGUEYA DENTRO DE UNA VIVIENDA</t>
  </si>
  <si>
    <t>DEBIDO A LAS FUERTES LLUVIAS CAE UN ARBOL SOBRE LA VIA</t>
  </si>
  <si>
    <t>INFORMAN QUE DEBIDO A LAS FUERTES LLUVIAS, UN ARBOL QUE CAE SOBRE LA VIA CON AFECTACION EN LAS REDES ELECTRICAS</t>
  </si>
  <si>
    <t>CALLE 14 CRA5 FRENTE A LA CRUZ ROJA</t>
  </si>
  <si>
    <t>FUGA DE GAS NATURAL POR ROMPIMIENTO DE LA TUBERIA</t>
  </si>
  <si>
    <t>CALLE 14 CRA8 FRENTE AL ARGEMIRO</t>
  </si>
  <si>
    <t>CORTE DE UNA RAMA QUE SE DESGAJA POR COLISION DE UN CAMION EN LA PARTE ALTA DEL ARBOL</t>
  </si>
  <si>
    <t>30 M/2</t>
  </si>
  <si>
    <t>INFORMAN DE UN CABLE CAIDO Y ENERGIZADO SOBRE LA VIA, SE REALIZAN LABORES DE PREVENCION MIENTRAS LLEGA EL PERSONAL DE CELSIA</t>
  </si>
  <si>
    <t>TRASVERSAL 15 # 9-64</t>
  </si>
  <si>
    <t>GATO QUE SE QUEDO ENREDADO EN UNAS CUERDAS ELECTRICAS</t>
  </si>
  <si>
    <t>3 HORAS 30 MINUTOS</t>
  </si>
  <si>
    <t>CL 13 # 12-36</t>
  </si>
  <si>
    <t xml:space="preserve">ABEJAS EN UN TAMBOR DE CUERDA DE ENERGIA
</t>
  </si>
  <si>
    <t>SERPIOENTE QUE SE UEDO ENREDADA EN UNA MAYA(YA ESTABA MUERTA AL RESCATE)</t>
  </si>
  <si>
    <t>LA BASCULA</t>
  </si>
  <si>
    <t>INCENDIO PASTIZAL</t>
  </si>
  <si>
    <t>CONTROL Y RETIRO DE AVISPAS</t>
  </si>
  <si>
    <t>50 M/2</t>
  </si>
  <si>
    <t>LA GRANJA VIA LA VICTORIA ZARZAL</t>
  </si>
  <si>
    <t>VIA LA OBANDO TULUA</t>
  </si>
  <si>
    <t>APOYO OPERATIVO Y CON RECURSOS AL CBV DE LA VICTORIA EN INCENDIO ESTRUCTURAL</t>
  </si>
  <si>
    <t>B-4, OTROS</t>
  </si>
  <si>
    <t>REUNION ORDINARIA - PREPARACION JORNADA ELECTORAL (PRIMERA VUELTA)</t>
  </si>
  <si>
    <t>CALLE 12 11 38</t>
  </si>
  <si>
    <t>INFORMAN DE UN DAÑO EN LA TUBERIA DEL GAS</t>
  </si>
  <si>
    <t>BUSQUEDA Y RESCATE, OTROS</t>
  </si>
  <si>
    <t>SE BRINDA APOYO A PERSONAL DE AGRICULTURA QUE ESTAN REALIZANDO CONTROL</t>
  </si>
  <si>
    <t>CRA 17 CALLE 24</t>
  </si>
  <si>
    <t>CABLE ELECTRICO DE ALTA TENSION LAS CUALES ESTAN EN CONTACTO CON LAS RAMAS DE UN ARBOL PRODUCIENDO CORTO CIRCUITO</t>
  </si>
  <si>
    <t>CUARTEL DE BOMBEROS</t>
  </si>
  <si>
    <t>SE ACUARTELA EL PERSONAL POR MOTIVOS DE ESCRUTINIOS PRIMERA RONDA</t>
  </si>
  <si>
    <t>52 MNTOS</t>
  </si>
  <si>
    <t>FINCA DEL CABO GONZALEZ</t>
  </si>
  <si>
    <t>CAPTURA Y TRASLADO DE UN REPTIL(SERPIENTE) A ZONA DONDE NO REPRESENTE RIESGO A LA COMUNIDAD</t>
  </si>
  <si>
    <t>CORTE DE ARBOL EN LA VIA</t>
  </si>
  <si>
    <t>50 MIN</t>
  </si>
  <si>
    <t>CALLE 16 #15 55 POR LA PANADERÍA PANTOLIMA</t>
  </si>
  <si>
    <t>RESCATE DE UN GATO QUE SE ENCONTRABA ATRAPADO EN TECHO DE VIVIENDA SIN POSIBILIDAD DE BAJAR POR SU PROPIO MEDIO</t>
  </si>
  <si>
    <t>CRA 11 8-34</t>
  </si>
  <si>
    <t>VERIFICACION DE ENJAMBRE EN UNA BODEGA,</t>
  </si>
  <si>
    <t>80 M/2</t>
  </si>
  <si>
    <t>CLL 14 CON CRA 5</t>
  </si>
  <si>
    <t>ROCTURA DE TUBERIA DE GAS EN VIA</t>
  </si>
  <si>
    <t>cr 25 CL 20 PISO 1</t>
  </si>
  <si>
    <t>ZARIGUELLA ATRAPADA, PERO LOS RECATISTAS NO LA ENCONTRARON</t>
  </si>
  <si>
    <t>1.27 HORAS</t>
  </si>
  <si>
    <t>CAPTURA DE UN REPTIL SERPIENTE)QUE ESTABA EN UNA RED AGRICOLA, SE REALIXZA LA MANIOBRA DE EMBALAJE PARA SER ENTRAGADA EN LA CVC</t>
  </si>
  <si>
    <t>10/M2</t>
  </si>
  <si>
    <t>CRA 10 # 7 - 02</t>
  </si>
  <si>
    <t>Durante los arreglos a una cerca, con una pica barra se perfora el tubo abastecedor del gas natural de la zona, ocacionando una fuga.</t>
  </si>
  <si>
    <t>CRA 19 314 19</t>
  </si>
  <si>
    <t>recuperacion de una zarigueya que se encontraba en una vivienda, la cual fue liberada en la zona montañosa</t>
  </si>
  <si>
    <t>CALLE 17 CRA 14</t>
  </si>
  <si>
    <t>INCENDIO ESTRUCTURAL EN ALMACEN DE PINTURAS,CON PERDIDA TOTAL,SIN LESIONADOS</t>
  </si>
  <si>
    <t>50 M</t>
  </si>
  <si>
    <t>B-2, B-4, L-1, OTROS</t>
  </si>
  <si>
    <t>CR 16 # 21-24</t>
  </si>
  <si>
    <t>CONTROL DE PANAL DE AVISPAS</t>
  </si>
  <si>
    <t>1 HORA 35 MINUTOS</t>
  </si>
  <si>
    <t>REUNION DEL COMANDANTE EN LA ALCALDIA</t>
  </si>
  <si>
    <t>REUNION PREPARACION JORNADA ELECTORAL - SEGUNDA VUELTA</t>
  </si>
  <si>
    <t>El limonar, vía Sabanazo</t>
  </si>
  <si>
    <t>Incendio forestal vía Sabanazo con vivienda cercana al incidente</t>
  </si>
  <si>
    <t>B-2, L-1, L-2, OTROS</t>
  </si>
  <si>
    <t>MUNICIPIO LA UNIÓN VALLE</t>
  </si>
  <si>
    <t>ACOMPAÑAMIENTO JORNADA ELECTORAL VOTACIÓN DE PRESIDENTE EN SEGUNDA VUELTA</t>
  </si>
  <si>
    <t>L-1, L-2, L-3</t>
  </si>
  <si>
    <t>CARRERA 12 16 39</t>
  </si>
  <si>
    <t>INFORMAN DE UN ATAQUE DE ABEJAS</t>
  </si>
  <si>
    <t>QUEBRADA GRANDE VIA AL DOVIO</t>
  </si>
  <si>
    <t>RAMA DEUN ARBOL QUE SE DESGAJA CAYENDO AL PATIO .SIENDO UN RIESGO PARA LA COMUNIDAD ESTUDIANTIL</t>
  </si>
  <si>
    <t>3.30 HORAS</t>
  </si>
  <si>
    <t>COLICEO MUNICIPAL</t>
  </si>
  <si>
    <t>APOYO CON CARROTANQUE PARA LAVADO D LA CUBIERTA DEL COLICEO MUNICIPAL</t>
  </si>
  <si>
    <t>500 M/2</t>
  </si>
  <si>
    <t>COLEGIO LA CONCENTRACIÓN</t>
  </si>
  <si>
    <t>CORTE DE ARBOL PARA EVITAR ACCIDENTES</t>
  </si>
  <si>
    <t>CALLE 16 CON CARRERA 13</t>
  </si>
  <si>
    <t>SE REALIZA TRABAJO DE CONTROL DE ABEJA EN UN ENJAMBRE QUE DIAS ANTERIORES HABIA ATACADO A LOS CIUDADANOS DEL SECTOR</t>
  </si>
  <si>
    <t>CR 21 CL 12</t>
  </si>
  <si>
    <t>INCENDIO DE CAPA VEJETAL</t>
  </si>
  <si>
    <t>BRISAS DEL CAUCA POR EL PUENTE</t>
  </si>
  <si>
    <t>APOYO AL CBV LA VICTORIA INC. EXTRUCTU</t>
  </si>
  <si>
    <t>CRA 17 # 14-43</t>
  </si>
  <si>
    <t>SOLICITUD DE APAERTURA DE PUERTA YA QUE LA SEÑORA SE QUEDO AFUERA Y EL NIÑO</t>
  </si>
  <si>
    <t>URB LOS VIÑEDOS MANZ B</t>
  </si>
  <si>
    <t>URBA LOS VIÑEDOS</t>
  </si>
  <si>
    <t>TRANSFORMADOR DE ENERGIA QUE ESTA PRODUCIENDO CORTO EN LAS VELAS</t>
  </si>
  <si>
    <t>1000 MT /2</t>
  </si>
  <si>
    <t>CORTE DE RAMAS POR BELLAVISTA</t>
  </si>
  <si>
    <t>4.30 HORAS</t>
  </si>
  <si>
    <t>FINCA CACHORROS</t>
  </si>
  <si>
    <t>INCENDIO FORESTAL EN LOTE DE PASTO Y MALEZAS</t>
  </si>
  <si>
    <t>2 PLAZAS APROX</t>
  </si>
  <si>
    <t>3 HORA Y 30 MINUTOS</t>
  </si>
  <si>
    <t>LA SONORA VIA QUEBRADA GRANDE</t>
  </si>
  <si>
    <t>INCENDIO FORESTAL EN LA SONARA VIA QUEBRADA GRANDE</t>
  </si>
  <si>
    <t>MANGUITOS</t>
  </si>
  <si>
    <t>QUEMA DE PASTOS Y RASTROJO A ORILLAS DE LA CARRETERA Y PARTE DE LA LOMA</t>
  </si>
  <si>
    <t>B-4, L-2, OTROS</t>
  </si>
  <si>
    <t>INCENDIO FORESTAL DE VEGETACION TIPO PAZTISAL</t>
  </si>
  <si>
    <t>300 METROS CUADRADOS</t>
  </si>
  <si>
    <t>GLORIETA ROUND POINT</t>
  </si>
  <si>
    <t>SE REPORTA INCENDIO EN UN VEHICULO TIPO TREN CAÑERO DE CUATRO CANASTAS, INCENDIÁNDOSE EN LA PARTE POSTERIOR DE LA ÚLTIMA CANASTA</t>
  </si>
  <si>
    <t>CARRERA 11 # 14 CON CALLE 14</t>
  </si>
  <si>
    <t>INCENDIO ESTRUCTURAL DE UN TALLER DE CARROCERÍAS</t>
  </si>
  <si>
    <t>PARQUEADERO LASPALMAS</t>
  </si>
  <si>
    <t>INCENDIO ESTRUCTURAL POR POSIBLE CORTO CIRCUITO EN LA PARTE DEL TECHO</t>
  </si>
  <si>
    <t>VIA LA UNION ZABANAZO</t>
  </si>
  <si>
    <t>B-2, B-3, L-1, OTROS</t>
  </si>
  <si>
    <t>43 MINUTOS</t>
  </si>
  <si>
    <t>CLL 17 CRA 4</t>
  </si>
  <si>
    <t>BOSQUES DE LA ACUARELA</t>
  </si>
  <si>
    <t>A LAS 18:50 LA CIUDADANA LAURA MONCADA informa sobre una quema realizada en el barrio Bosques de la acuarela cerca a viviendas y zona boscosa.</t>
  </si>
  <si>
    <t>10 - 15 MT2</t>
  </si>
  <si>
    <t>POR LA BODEGA DE IMONES</t>
  </si>
  <si>
    <t>QUEMA CONTROLADA SEGUN INFORMA EL PROPIETARIO DEL PREDIO, SE NIEGA A DAR DATOS PERSONALES</t>
  </si>
  <si>
    <t>CELEBRACION DEL DIA DE LA INDEPENDENCIA</t>
  </si>
  <si>
    <t>ARBOL QUE SE CAYYO Y LO ESTABAN DESTROSANDO</t>
  </si>
  <si>
    <t>APOLLO AL CBV DE ROLDANILLO</t>
  </si>
  <si>
    <t>CALLE 18b #12 --02</t>
  </si>
  <si>
    <t>RECUPERACION Y LIBERACION DE UN ENJAMBRE DE ABEJAS QUE ESTABA APOSENTADO EN EL TECHO DE LA VIVIENDA</t>
  </si>
  <si>
    <t>20 M/2</t>
  </si>
  <si>
    <t>CL 18 B # 12B 05</t>
  </si>
  <si>
    <t>ABEJAS EN UN TECHO</t>
  </si>
  <si>
    <t>ARBOL QUE CAE SOBRE UNA TRACTOMULA</t>
  </si>
  <si>
    <t>CR 9 8 39</t>
  </si>
  <si>
    <t>INFORMAN DE UNA FUGA DE GAS POR DAÑO EN LA TUBERIA DURANTE LABORES</t>
  </si>
  <si>
    <t>EN LA ENTRADA A CORSEGA</t>
  </si>
  <si>
    <t>VÍA LA UNIÓN - LA VICTORIA CERCA A ASORUT</t>
  </si>
  <si>
    <t>AGENTES DE TRANSITO REPORTAR EL INCENDIO DE UN VEHÍCULO TIPO MOTOCICLETA, SALEN 3 UNIDADES PARA HACER LIQUIDACI{ON DEL FUEGO E INFRIAMENTO DEL PERÍMETRO AFECTADO.</t>
  </si>
  <si>
    <t>QUEMAS DE UNAS TABLAS DE MADERA POR UN DESCONOCIDO</t>
  </si>
  <si>
    <t>10 MTS</t>
  </si>
  <si>
    <t>CLL 13 CON CR 14</t>
  </si>
  <si>
    <t>INFORMAN DE UNA EXPLOSION EN LA CAJA DE CABLEADO ELECTRICO</t>
  </si>
  <si>
    <t>INFORMAN DE UN ATAQUE DE ABEJAS CON UNA PERSONA LESIONADA</t>
  </si>
  <si>
    <t>TRANSV 13 VIA A LAS CINTAS</t>
  </si>
  <si>
    <t>CABLE ELECTRICO QUE CAE, PRODUCIENDO CHISPAS E INICIANDO UN INCENDIO EN PASTIZAL</t>
  </si>
  <si>
    <t>50 M/2 APROXI</t>
  </si>
  <si>
    <t>LINDEROS FINCA GALLINERO</t>
  </si>
  <si>
    <t>INCENDIO DE COVERTURA VEGETAL PASTO Y MALEZA, QUEMA SALTEADA POR SECTORES</t>
  </si>
  <si>
    <t>4 HECTAREAS APROX</t>
  </si>
  <si>
    <t>30.32 N 4;76 W</t>
  </si>
  <si>
    <t>.100MTR 2</t>
  </si>
  <si>
    <t>COCEGA</t>
  </si>
  <si>
    <t>INFORMAN DE UN CORTI CIRCUITO EN LA CAJA DE CABLES ELECTRICOS QUE ESTAN CERCA DE ARBOLES Y PUEDE INICIAR CON UN INCENDIO</t>
  </si>
  <si>
    <t>CR 15 CON CL 19 ESQUINA</t>
  </si>
  <si>
    <t>INFORMAN DE UN FUERTE OLOR A GAS</t>
  </si>
  <si>
    <t>CR 16 19 91</t>
  </si>
  <si>
    <t>INFORMAN DE UNA EDIFICACION QUE EMITE RUIDOS Y ESTA CON GRAN RIESGO DE COLAPSO</t>
  </si>
  <si>
    <t>RESCATES, BUSQUEDA Y RESCATE, OTROS</t>
  </si>
  <si>
    <t>12 HORAS</t>
  </si>
  <si>
    <t>ZONA URBANA DE LA UNION VALLE</t>
  </si>
  <si>
    <t>VERIFICACION DE DAÑOS Y/O BUSQUEDA Y RESCATE DE PERSONAS POR TERREMOTO</t>
  </si>
  <si>
    <t>B-2, B-3, B-4, L-1, L-2, L-3, OTROS</t>
  </si>
  <si>
    <t>CR 16 19 100</t>
  </si>
  <si>
    <t>EVALUACION DE AFECTACION A LA ESTRUCTURA</t>
  </si>
  <si>
    <t>CRA 19 C #19-04</t>
  </si>
  <si>
    <t>LA HABANA - URBANIZACION CAMINOS</t>
  </si>
  <si>
    <t>ANDRES FELIPE DIEZ, C.C: 1112630292, CEL: 3125190481. VIVIENDA DE DOS PISOS CON DAÑOS ESTRUCTURALES</t>
  </si>
  <si>
    <t>CRA 19 D # 19-63</t>
  </si>
  <si>
    <t>URBANIZACION CAMINOS</t>
  </si>
  <si>
    <t>GILDARDO RENGIFO, C.C: 18513953, CEL: 3217018236. VIVIENDA CON COLAPSO DE TECHO</t>
  </si>
  <si>
    <t>CRA 19 D #19-09</t>
  </si>
  <si>
    <t>RUBIELA PEREZ, C.C: 29613954, CEL: 3128240451-3185385634. SEPARACION DE LA CUBIERTA DEL TECHO</t>
  </si>
  <si>
    <t>CRA 19 D #19-15</t>
  </si>
  <si>
    <t>EDILMA FLORES, C.C: 38892573, CEL: 3148960797. AFECTACION EN LA CUBIERTA DEL TECHO Y PAREDES AGRIETADAS</t>
  </si>
  <si>
    <t>CRA 19 C # 19-10</t>
  </si>
  <si>
    <t>DANIELA CORREA, C.C: 11126311863, CEL: 3178583900. VIVIENDA CON PAREDES AGRIETADAS</t>
  </si>
  <si>
    <t>CRA 15 # 22-02</t>
  </si>
  <si>
    <t>CRISTINA VELEZ, C.C 66750742, CEL: 3102160599. CAIDA TOTAL DE EDIFICACION</t>
  </si>
  <si>
    <t>CRA 20 # 19-04</t>
  </si>
  <si>
    <t>MARCO AURELIO RAMIREZ, C.C 15599667, CEL: 3177575131. DILATACION DE PAREDES Y TECHO</t>
  </si>
  <si>
    <t>CRA 20 # 19-22</t>
  </si>
  <si>
    <t>LUIS GONZAGA LOPEZ, C.C: 1112619461, CEL: 3151924116. DILATACION DE PAREDES Y VIGAS DEL SEGUNDO PISO AGRIETADAS</t>
  </si>
  <si>
    <t>CRA 20 #19-64</t>
  </si>
  <si>
    <t>LEIDY CARDONA GAÑAN, C.C: 1000364885, CEL: 3173213134. CAIDA CONSIDERABLE DE TEJA DE BARRO EN TECHO</t>
  </si>
  <si>
    <t>CRA 20 # 18-241</t>
  </si>
  <si>
    <t>ALEIDA RIVERA GUERRERO, C.C 41895449, CEL: 3217769241. DAÑO EN TECHO Y PAREDES AGRIETADAS</t>
  </si>
  <si>
    <t>CRA 16 #19-20</t>
  </si>
  <si>
    <t>CRISTIAN CAMILO GALVIS, C.C 1112629109, CEL: 3215905304. COLAPSO DE TECHO Y PAREDES</t>
  </si>
  <si>
    <t>CRA 16 # 19-44</t>
  </si>
  <si>
    <t>VIRGELINA RUBIO, C.C 66751468, CEL: 3163240509. DAÑOS ESTRUCTURALES</t>
  </si>
  <si>
    <t>CRA 16#19-66</t>
  </si>
  <si>
    <t>JAIRO GALEANO, C.C: 94450938, CEL: 3104732455. UNAS PAREDES AGRIETADAS Y OTRAS COLAPSADAS</t>
  </si>
  <si>
    <t>CRA 16 #19-66</t>
  </si>
  <si>
    <t>LEONIDAS CABALLERO, C.C: 6356187, CEL: 3172559929. DAÑOS ESTRUCTULARES</t>
  </si>
  <si>
    <t>CRA 16#19-82</t>
  </si>
  <si>
    <t>LUZ ENAY TORO VALENCIA, C.C:66752243, CEL: 3103867057. DAÑO EN TECHO, PAREDES Y COLUMNAS AGRIETADAS</t>
  </si>
  <si>
    <t>CRA 16 # 19-100</t>
  </si>
  <si>
    <t>SAN PADRO</t>
  </si>
  <si>
    <t>EDIFICIO DE TRES PISOS CON FALLAS ESTRUCTURALES, INHABITABLE</t>
  </si>
  <si>
    <t>CRA 16 # 19-85</t>
  </si>
  <si>
    <t>ADRIANA ZAPATA, C.C. 66753630, CEL: 3187321088. DAÑOS ESTRUCTURALES</t>
  </si>
  <si>
    <t>CRA 16 #19-78</t>
  </si>
  <si>
    <t>JHON MAURICIO CORREA GALLEGO, C.C 1088237049, CEL: 3184729039. CASA DE DOS PISOS CON PAREDES AGRIETADAS, TECHO CON DAÑOS Y PISO AGRIETADO</t>
  </si>
  <si>
    <t>SARA MILLÁN – Cel. 3023993444 – Daño estructural.</t>
  </si>
  <si>
    <t>CLL 17 # 18-02</t>
  </si>
  <si>
    <t>—</t>
  </si>
  <si>
    <t>Infraestructura debilitada.</t>
  </si>
  <si>
    <t>CLL 17 # 15-38</t>
  </si>
  <si>
    <t>Techo y paredes.</t>
  </si>
  <si>
    <t>CLL 16 # 17-71</t>
  </si>
  <si>
    <t>Colapso de techo.</t>
  </si>
  <si>
    <t>CLL 18 # 18-35</t>
  </si>
  <si>
    <t>CLAUDIA MILENA LÓPEZ – Cel. 3243869979 – Infraestructura debilitada.</t>
  </si>
  <si>
    <t>CLL 18 # 19-02</t>
  </si>
  <si>
    <t>CLL 18 # 18-09</t>
  </si>
  <si>
    <t>Techo afectado.</t>
  </si>
  <si>
    <t>CLL 18 # 19-14</t>
  </si>
  <si>
    <t>YOHANA HURTADO VÁZQUEZ – Cel. 3202610582 – Techo afectado y paredes. Materiales: 2 vehículos.</t>
  </si>
  <si>
    <t>CLL 18 # 19-28</t>
  </si>
  <si>
    <t>Afectación estructural en segundo piso.</t>
  </si>
  <si>
    <t>CLL 14 # 17-44</t>
  </si>
  <si>
    <t>Caída de techo.</t>
  </si>
  <si>
    <t>CLL 14 # 16-54</t>
  </si>
  <si>
    <t>CLL 14 # 16-18</t>
  </si>
  <si>
    <t>Infraestructura colapsada.</t>
  </si>
  <si>
    <t>CLL 14 # 16-25</t>
  </si>
  <si>
    <t>CLL 14 # 16-44</t>
  </si>
  <si>
    <t>Afectación de techo y paredes.</t>
  </si>
  <si>
    <t>CLL 14 # 16-34</t>
  </si>
  <si>
    <t>Colisión del techo.</t>
  </si>
  <si>
    <t>CLL 14 # 16-15</t>
  </si>
  <si>
    <t>CLL 15 # 17-45</t>
  </si>
  <si>
    <t>CLL 14 # 18-35</t>
  </si>
  <si>
    <t>YENNER ORTIZ – Infraestructura debilitada.</t>
  </si>
  <si>
    <t>CLL 14 # 17-69</t>
  </si>
  <si>
    <t>Techo colapsado.</t>
  </si>
  <si>
    <t>CLL 14 # 17-31</t>
  </si>
  <si>
    <t>Colapso del techo.</t>
  </si>
  <si>
    <t>CLL 14 CON CRA 17</t>
  </si>
  <si>
    <t>PANADERÍA JJ / ANÍBAL GÓMEZ – Infraestructura debilitada.</t>
  </si>
  <si>
    <t>CLL 14 # 16-39</t>
  </si>
  <si>
    <t>CENTRO MISIONERO BETHESDA – Colapsó el techo en la parte trasera.</t>
  </si>
  <si>
    <t>CLL 14 # 16-14</t>
  </si>
  <si>
    <t>ALBA INÉS GORDILLO RAMÍREZ – Colapso de techo parcial.</t>
  </si>
  <si>
    <t>CLL 14 # 15-46</t>
  </si>
  <si>
    <t>WILLIAM OCAMPO – Colapso de techo y daños en pared segundo piso.</t>
  </si>
  <si>
    <t>CLL 14 CRA 15 ESQUINA</t>
  </si>
  <si>
    <t>EDIFICIO PANADERÍA MARINILLOS / JUAN DIEGO SIERRA – Cel. 3113082812 – Infraestructura debilitada.</t>
  </si>
  <si>
    <t>CRA 14 # 14 - 23</t>
  </si>
  <si>
    <t>DROGAS SÚPER ÉXITO EL PARQUE – Lado de la panadería – Colapso del techo.</t>
  </si>
  <si>
    <t>CRA 15 CON CLL 14</t>
  </si>
  <si>
    <t>CASA CONSISTORIAL – Colapso del techo.</t>
  </si>
  <si>
    <t>CLL 15 CON CRA 15</t>
  </si>
  <si>
    <t>MARÍA MULATA – Colapsó el techo.</t>
  </si>
  <si>
    <t>CLL 15 # 15 - 4</t>
  </si>
  <si>
    <t>HOTEL PRIMAVERAL – Estructura debilitada.</t>
  </si>
  <si>
    <t>CLL 14 # 17-28</t>
  </si>
  <si>
    <t>VALENTINA ANGULO DÍAZ – Colapso de techo y paredes.</t>
  </si>
  <si>
    <t>CLL 15 # 15-72</t>
  </si>
  <si>
    <t>DANIEL MONTEMIRANDA – Infraestructura debilitada.</t>
  </si>
  <si>
    <t>CLL 15 # 17-30</t>
  </si>
  <si>
    <t>CLL 15 # 17-37</t>
  </si>
  <si>
    <t>JESSICA OCHOA – Infraestructura colapsada.</t>
  </si>
  <si>
    <t>CLL 15 # 17-43</t>
  </si>
  <si>
    <t>RUBIELA POTES GARCÍA – Infraestructura debilitada.</t>
  </si>
  <si>
    <t>CLL 15 # 17 - 55</t>
  </si>
  <si>
    <t>FLORISTERÍA LA ROSA – Infraestructura debilitada segundo y tercer piso.</t>
  </si>
  <si>
    <t>CLL 12 # 20-77</t>
  </si>
  <si>
    <t>TRINIDAD GARCÍA – Colapso de infraestructura.</t>
  </si>
  <si>
    <t>CLL 14 # 06-01</t>
  </si>
  <si>
    <t>SALÓN SOCIAL CUERPO DE BOMBEROS – Techo dilatado.</t>
  </si>
  <si>
    <t>CLL 8 # 9-24</t>
  </si>
  <si>
    <t>Estructura agrietada con dilatación.</t>
  </si>
  <si>
    <t>CRA 11 # 9-75</t>
  </si>
  <si>
    <t>Estructura colapsada.</t>
  </si>
  <si>
    <t>CLL 12 # 20-141</t>
  </si>
  <si>
    <t>SANTIAGO HERNÁNDEZ – Cel. 3108231533 / 3233923524 – Estructura debilitada de dos pisos, sin escaleras.</t>
  </si>
  <si>
    <t>CRA 14 CON CLL 17 ESQUINA</t>
  </si>
  <si>
    <t>Edificio de 3 pisos a punto de colapso.</t>
  </si>
  <si>
    <t>CÓRCEGA</t>
  </si>
  <si>
    <t>GILDARDO / FINCA LA MARÍA – Cel. 3112547635 – Infraestructura debilitada.</t>
  </si>
  <si>
    <t>MISCELÁNEA POPULAR</t>
  </si>
  <si>
    <t>MISCELÁNEA POPULAR / ANA MILENA SEGURA GARCÍA – Techo colapsado.</t>
  </si>
  <si>
    <t>IGLESIA SAN LUIS</t>
  </si>
  <si>
    <t>NORALBA RODRÍGUEZ / IGLESIA DE SAN LUIS – Colapsada.</t>
  </si>
  <si>
    <t>CLL 4 # 2-43</t>
  </si>
  <si>
    <t>SANDRA DELGADO – Colapso del techo y paredes agrietadas.</t>
  </si>
  <si>
    <t>CRA 3 # 3-78</t>
  </si>
  <si>
    <t>DIEGO MARÍA DELGADO MILLÁN – Cel. 3104551202 – Afectación de techo.</t>
  </si>
  <si>
    <t>CLL 12 # 8-61</t>
  </si>
  <si>
    <t>ERMILA DEL PILAR LÓPEZ RIVERA – Techo colapsado.</t>
  </si>
  <si>
    <t>CLL 12 # 8-50</t>
  </si>
  <si>
    <t>CLL 11 # 11-55</t>
  </si>
  <si>
    <t>MARÍA NELLY CASTRO – Techo afectado.</t>
  </si>
  <si>
    <t>CRA 12 # 10-31</t>
  </si>
  <si>
    <t>GLORIA AMPARO RÍOS – Cel. 3204408889 – Colapso total de techo.</t>
  </si>
  <si>
    <t>CRA 12 # 10-18</t>
  </si>
  <si>
    <t>BELÉN</t>
  </si>
  <si>
    <t>CRA 12 # 10-25</t>
  </si>
  <si>
    <t>YON JAIRO NÚÑEZ – Cel. 3146451420 – Techo colapsado.</t>
  </si>
  <si>
    <t>ENTRADA A LO INTERNO, 12-29</t>
  </si>
  <si>
    <t>ARISTIL GALLEGO MARÍN – Cel. 3166770982 – Techo colapsado e infraestructura debilitada.</t>
  </si>
  <si>
    <t>CRA 12 # 10-09</t>
  </si>
  <si>
    <t>TERESA ESCOBAR – Cel. 3184742012 – Colapso parcial de techo.</t>
  </si>
  <si>
    <t>CRA 12 # 10-4</t>
  </si>
  <si>
    <t>MIRIAN OCAMPO – Cel. 3004128636 – Techo afectado y paredes.</t>
  </si>
  <si>
    <t>CLL 11 # 14-12</t>
  </si>
  <si>
    <t>Colapso de paredes.</t>
  </si>
  <si>
    <t>CRA 14 # 11-29</t>
  </si>
  <si>
    <t>CLL 12 # 13-77</t>
  </si>
  <si>
    <t>CRA 14 CON CLL 12</t>
  </si>
  <si>
    <t>CLL 13 CON CRA 13-18</t>
  </si>
  <si>
    <t>MARTA VICTORIA / MUNDO MUJER – Cel. 3178537767 – Colapso de edificio.</t>
  </si>
  <si>
    <t>CLL 11 # 13-79</t>
  </si>
  <si>
    <t>CLL 11 # 14-16</t>
  </si>
  <si>
    <t>CRA 16 # 10-01</t>
  </si>
  <si>
    <t>ELSY HAWER – Cel. 3128461292 – Colapso de vivienda.</t>
  </si>
  <si>
    <t>CLL 12 # 22-4</t>
  </si>
  <si>
    <t>JAIME ADRIÁN RENJIFO HINCAPIÉ – Cel. 3103529668 – Infraestructura debilitada y afectación al techo.</t>
  </si>
  <si>
    <t>CRA 17 # 13-51</t>
  </si>
  <si>
    <t>MARÍA DORIS ÁLVAREZ – Cel. 3137216214 – Infraestructura debilitada y riesgo.</t>
  </si>
  <si>
    <t>CLL 12 CON 15</t>
  </si>
  <si>
    <t>ALMACÉN DE QUÍMICOS – Entre las casas 15-03 y 15-37 – Colapso de plancha.</t>
  </si>
  <si>
    <t>CLL 12 # 13-15</t>
  </si>
  <si>
    <t>WILLIAM ALBERTO MARÍN POSSO – Cel. 3176680027 – Colapso de techo.</t>
  </si>
  <si>
    <t>CRA 13 # 11-75</t>
  </si>
  <si>
    <t>ALBA ROSA GARCÍA GÓMEZ – Cel. 3117156602 – Colapso de techo.</t>
  </si>
  <si>
    <t>CRA 13 CON CLL 12 ESQUINA</t>
  </si>
  <si>
    <t>CARLOS DURANGO – Cel. 3218582358 – Colapso de techo.</t>
  </si>
  <si>
    <t>CLL 13 # 17-05</t>
  </si>
  <si>
    <t>CLL 12 # 25-23</t>
  </si>
  <si>
    <t>Infraestructura de 5 pisos debilitada.</t>
  </si>
  <si>
    <t>CLL 12 # 25-483</t>
  </si>
  <si>
    <t>DUCARDO VALENCIA – Cel. 3223719456 – Infraestructura debilitada, posible colapso.</t>
  </si>
  <si>
    <t>CLL 12 # 21-26</t>
  </si>
  <si>
    <t>DAVID PEREA – Cel. 3233284422 – Colapso de techo.</t>
  </si>
  <si>
    <t>CLL 12 # 20-202 APTO 1</t>
  </si>
  <si>
    <t>HEIDY HINCAPIÉ HENAO – Cel. 3128719472 – Colapso de techo, segundo piso.</t>
  </si>
  <si>
    <t>FAREN TATIANA HINCAPIÉ – Cel. 3154517082 – Colapso de techo.</t>
  </si>
  <si>
    <t>CRA 12 # 11-58</t>
  </si>
  <si>
    <t>AMPARO OSPINA OCAMPO – Cel. 32006897815 – Infraestructura debilitada.</t>
  </si>
  <si>
    <t>CRA 12 # 12-27</t>
  </si>
  <si>
    <t>CARLOS ALBERTO TAMAYO – Cel. 3155508915 – Colapso de techo con caída de material/escombros.</t>
  </si>
  <si>
    <t>CRA 12 # 12-35</t>
  </si>
  <si>
    <t>ROSA DORIS OSORIO – Cel. 3148195689 – Colapso de techo.</t>
  </si>
  <si>
    <t>CRA 14 # 13-08</t>
  </si>
  <si>
    <t>Colapso estructural parcial.</t>
  </si>
  <si>
    <t>CRA 15 # 12-34</t>
  </si>
  <si>
    <t>Colapso de fachada y posible colapso de techo.</t>
  </si>
  <si>
    <t>CRA 13 # 12-71 ESQUINA</t>
  </si>
  <si>
    <t>Colapso de techo e infraestructura debilitada.</t>
  </si>
  <si>
    <t>CRA 12 # 13-31</t>
  </si>
  <si>
    <t>HUMBERTO MILLÁN AGUIRRE – Cel. 3122091575 – Colapso de techo.</t>
  </si>
  <si>
    <t>CRA 10 # 10-70</t>
  </si>
  <si>
    <t>EMILIO MARLES – Cel. 3044944561 – Infraestructura debilitada.</t>
  </si>
  <si>
    <t>CRA 10 CASA 4</t>
  </si>
  <si>
    <t>FABIAN RAMÍREZ – Cel. 3215144857 – Techo colapsado.</t>
  </si>
  <si>
    <t>JOSÉ IVÁN MARULANDA PULGARÍN – Techo e infraestructura.</t>
  </si>
  <si>
    <t>CLAUDIA MARCELA MEDINA CORTÉS – Techo e infraestructura.</t>
  </si>
  <si>
    <t>CRA 15 # 8A-62</t>
  </si>
  <si>
    <t>MARÍA LUCÍA CHICA – Techo colapsado.</t>
  </si>
  <si>
    <t>CRA 3 # 10-44</t>
  </si>
  <si>
    <t>JOSÉ MARÍN – Colapso de paredes.</t>
  </si>
  <si>
    <t>CLL # 14-25</t>
  </si>
  <si>
    <t>LUIS CARLOS RENGIFO – Colapso de paredes.</t>
  </si>
  <si>
    <t>GUÁCIMO</t>
  </si>
  <si>
    <t>KAROL VELÁSQUEZ – Cel. 3044031981 – Colapso de paredes.</t>
  </si>
  <si>
    <t>CRA 10 # M24 CASA 5</t>
  </si>
  <si>
    <t>EMILIO MARTÍNEZ – Cel. 3044944561 – Colapso de paredes.</t>
  </si>
  <si>
    <t>YEISON FABIÁN RAMÍREZ – Cel. 3215144857 – Colapso de techo.</t>
  </si>
  <si>
    <t>MARTÍN ALBEIRO CARVAJAL – Cel. 3127344567 – Colapso de techo.</t>
  </si>
  <si>
    <t>JULIANA ANDREA LÓPEZ – Cel. 3173158095 – Colapso de paredes.</t>
  </si>
  <si>
    <t>CRA 16 # 19-72</t>
  </si>
  <si>
    <t>JOSE ALCIDES TORO GOMEZ, C.C 6356394, CEL: 3128348871. EDIFICIO DE TRES PISOS CON PAREDES Y COLUMNAS AGRIETADAS, TECHO CON DAÑOS</t>
  </si>
  <si>
    <t>CRA 16 # 19-62</t>
  </si>
  <si>
    <t>JONATHAN GARCIA, C.C: 1115416986, CEL: 3146358950. COLAPSO DE TECHO TRASERO Y CIELO RASO</t>
  </si>
  <si>
    <t>CLL 23#7-67</t>
  </si>
  <si>
    <t>BARRIO SAN PEDRO</t>
  </si>
  <si>
    <t>LUIS ALBERTO GARCIA, C.C: 3652307, CEL: 3116221469. CASA CON PAREDES AGRIETADAS Y COLAPSO DE TECHO</t>
  </si>
  <si>
    <t>CLL 23 # 7-73</t>
  </si>
  <si>
    <t>FERNANDO MARTINEZ, C.C: 635764, CEL: 3127788286. CUBIERTA COLAPSADA</t>
  </si>
  <si>
    <t>CLL 23 #8-90</t>
  </si>
  <si>
    <t>DOLORES LOPEZ, C.C: 29154646, CEL: 3103290870. DILATACION DE CUBIERTA</t>
  </si>
  <si>
    <t>SANDRA MILENA ZAPATA, CEL: 3181135474. PAREDES COLAPSADAS</t>
  </si>
  <si>
    <t>TRANSVERSAL 15#23-05</t>
  </si>
  <si>
    <t>ELBA NELLY BORJA, C.C. 29613740, CEL: 3225087360. TECHO CON CAIDA DE TEJAS Y PAREDES AGRIETADAS</t>
  </si>
  <si>
    <t>TRANSVERSAL 15 #22-98</t>
  </si>
  <si>
    <t>MIRIA RAMIREZ POSSO, C.C: 29613170. TECHO CORRIDO Y PAREDES EN BAREQUE AGRIETADAS</t>
  </si>
  <si>
    <t>CRA 13 #23-76</t>
  </si>
  <si>
    <t>REINELBA POSSO AGUIRRE, C.C: 29612021, CEL: 3125289614. CASA EN BAREQUE CON GRAVES DAÑOS EN EL TECHO Y GRIETAS EN LAS PAREDES.</t>
  </si>
  <si>
    <t>CRA 13 # 23-29</t>
  </si>
  <si>
    <t>DAÑO EN LA CUBIERTA DEL TECHO Y CAIDA DE TEJA, CON COLAPSO DE PARED DE BAÑO.</t>
  </si>
  <si>
    <t>CRA 13 #25-09</t>
  </si>
  <si>
    <t>LEONEL POSSO, C.C: 6355029. COLAPSO DE TECHO Y CAIDA DE TEJAS.</t>
  </si>
  <si>
    <t>CLL 24 #13-04</t>
  </si>
  <si>
    <t>MARLEN CONSTANZA BORJA RANJEL, C.C. 66751589, CEL: 3506603976. DAÑO ESTRUCTURAL DE SEGUNDO PISO Y CAIDA DE TEJAS.</t>
  </si>
  <si>
    <t>CLL 22#16-69</t>
  </si>
  <si>
    <t>JAIME HERNANDO AGUIRRE, C.C: 6356944, CEL: 3152695297. DAÑO DE TECHO Y GRIETAS EN LAS PAREDES.</t>
  </si>
  <si>
    <t>CLL 21# 20-24</t>
  </si>
  <si>
    <t>ALBA LUCIA TORO, C.C: 66708360, CEL:3103706801. COLAPSO TOTAL DE TECHO.</t>
  </si>
  <si>
    <t>CLL 21# 19-80</t>
  </si>
  <si>
    <t>RAMIRO EDILSON TORRES, C.C: 94273858, CEL: 3175066255. CASA DE BAREQUE CON GRIETAS EN PAREDES Y TECHO DIVIDIDO.</t>
  </si>
  <si>
    <t>CLL 21#19-65</t>
  </si>
  <si>
    <t>NELSON JAVIER BARON, C.C: 93402451, CEL: 3160416202. TECHO HUNDIDO Y PISO CON UNA GRIETA GRANDE.</t>
  </si>
  <si>
    <t>CLL 21 #20-27</t>
  </si>
  <si>
    <t>JOSE NOLBERTO VINASCO, C.C: 66752439, CEL: 3235052671. INCLINACION DE CULATAS Y HUNDIMIENTO DE TECHO.</t>
  </si>
  <si>
    <t>CLL 21#20-49</t>
  </si>
  <si>
    <t>ISABEL VELEZ CANO, C.C: 66750268, CEL: 3114390509. DAÑO EN TODO EL TECHO.</t>
  </si>
  <si>
    <t>IGLESIA CRISTIANA CENTRO MISIONERO BETHESDA.</t>
  </si>
  <si>
    <t>TECHO COLAPSADO.</t>
  </si>
  <si>
    <t>CLL 24#15-42</t>
  </si>
  <si>
    <t>EPIFANIO MURIEL, CEL: 3116169881. DAÑO ESTRUCTURAL</t>
  </si>
  <si>
    <t>zona rosa---- la campesina</t>
  </si>
  <si>
    <t>suministro de agua en sector de zona rosa y la campesima baja</t>
  </si>
  <si>
    <t>CLL 21# 20-54</t>
  </si>
  <si>
    <t>JOSE ALDEMAR POSSO, C.C: 2582426, CEL: 3105067474. TECHO CON CAIDA DE TEJA Y GRIETAS EN LAS PAREDES.</t>
  </si>
  <si>
    <t>CALLE 14 #18-35 / CALLE 14 #17-69</t>
  </si>
  <si>
    <t>YENNER ORTIZ (INQUILINO). PAREDES AGRIETADAS Y TECHO COLAPSADO.</t>
  </si>
  <si>
    <t>CLL 24 # 16-48</t>
  </si>
  <si>
    <t>ALBA INES GORDILLO RAMIREZ, COLAPSO DE TECHO</t>
  </si>
  <si>
    <t>CALLE 14 #17-31</t>
  </si>
  <si>
    <t>CESAR RIVERA (INQUILINO). TECHO DE LA COCINA COLAPSADO.</t>
  </si>
  <si>
    <t>CALLE 14 #16-39 (PANADERIA JJ)</t>
  </si>
  <si>
    <t>ANIBAL GOMEZ. COLAPSO DEL TECHO Y ESTRUCTURA AFECTADA.</t>
  </si>
  <si>
    <t>CRA 13 CALLE 13 ESQUINA</t>
  </si>
  <si>
    <t>INCENDIO EN CABLE DE LLA ENERGIA, EL CUAL SE REVIENTA DEBIDO A FUERTE SISMO EN HORAS DE LA MAÑANA</t>
  </si>
  <si>
    <t>100 MTS</t>
  </si>
  <si>
    <t>CALLE 12 CRA 14</t>
  </si>
  <si>
    <t>FUGA DE GAS NATURAL EN UNA VIVIENDA DEL SECTOR,EN LA PARTE DEL MEDIDOR, RESULTANDO UNA PERSONA AFECTADA POR EL OLOR, LA CUAL FUE TRANSLADADA AL HOSPITAL LOCAL</t>
  </si>
  <si>
    <t>CLL 24#16-45</t>
  </si>
  <si>
    <t>LUZ ALBA ARCOS VILLEGAS, C.C: 31096724, CEL: 3113359748-3203345235. DAÑOS EN LA CUBIERTA DEL TECHO</t>
  </si>
  <si>
    <t>CLL 24#16-68</t>
  </si>
  <si>
    <t>OLIVO VINASCO, C.C: 31398474, CEL: 3177009304. DAÑOS ESTRUCTURALES</t>
  </si>
  <si>
    <t>CRA 17#24-39</t>
  </si>
  <si>
    <t>ELVIA DE JESUS RUIZ URIBE, C.C: 24544322, CEL: 3226248470. COLAPSO DE PARED Y TECHO DE ZINC</t>
  </si>
  <si>
    <t>CRA 17#24-27</t>
  </si>
  <si>
    <t>EVELIA ALZATE, C.C: 29611623, CEL: 312653781. COLAPSO DE TECHO</t>
  </si>
  <si>
    <t>CRA 17#24-51</t>
  </si>
  <si>
    <t>HOOVER ERNEY FLOREZ VELEZ, C.C: 6359158, CEL:3172170567. COLAPSO DE TECHO</t>
  </si>
  <si>
    <t>CRA 17# 24-51</t>
  </si>
  <si>
    <t>ABEL BERMUDEZ, C.C: 2382561, CEL: 3104194072. COLAPSO DE TECHO Y PARED EN LADRILLO</t>
  </si>
  <si>
    <t>ANA ADIELA HURTADO, C.C: 29613256, CEL: 3137808732. PARED POR COLAPSAR</t>
  </si>
  <si>
    <t>CLL 26#11-298</t>
  </si>
  <si>
    <t>CARMEN ROSA ECGEVRRY SUAZA, C.C: 29613638, CEL: 3113037675. CASA EN BAREQUE TOTALMENTE COLAPSADA</t>
  </si>
  <si>
    <t>CLL26#11-3-92</t>
  </si>
  <si>
    <t>CARLOS ALBERTO ECHEVERRY, C.C: 94276150, CEL: 3127431433. COLAPSO DE TECHO Y PARED EN LADRILLO</t>
  </si>
  <si>
    <t>CELMIRA ECHEVERRY SUAZA, CEL: 3225980286. CASA EN BAREQUE CON GRIETAS EN PAREDES Y COLAPSO DE TECHO</t>
  </si>
  <si>
    <t>CLL26#10A-91</t>
  </si>
  <si>
    <t>ELIZABETH SANTO SERNA, C.C: 25085963, CEL: 3124055956. COLAPSO TOTAL DE CASA EN LADRILLO</t>
  </si>
  <si>
    <t>MANZANA C CASA 13</t>
  </si>
  <si>
    <t>URBANIZACION LOS VIÑEDOS</t>
  </si>
  <si>
    <t>DIANA ALEJANDRA DUQUE RESTREPO, C.C: 1112623130, CEL: 3226043689. VIGAS DE SEGUNDO PISO CON GRIETAS</t>
  </si>
  <si>
    <t>MANZANA D CASA 3</t>
  </si>
  <si>
    <t>URBANIZACION LOS ALFREDOS GRAJALES</t>
  </si>
  <si>
    <t>FRANCISCO QUICENO, C.C: 1112629438, CEL: 3186599478. CASA DE TRES PISOS CON DAÑOS ESTRUCTURALES</t>
  </si>
  <si>
    <t>30 min</t>
  </si>
  <si>
    <t>calle 15#18-25</t>
  </si>
  <si>
    <t>COLAPSO PARCIAL / JENNY PATRICIA GARCIA / 304 6797331</t>
  </si>
  <si>
    <t>MANZANA C CASA 28</t>
  </si>
  <si>
    <t>LA PRIMAVERA</t>
  </si>
  <si>
    <t>FABIAN POSSO, ESTRUCTURA DEBILITADA</t>
  </si>
  <si>
    <t>CALLE 17#18a -27</t>
  </si>
  <si>
    <t>CRUZ</t>
  </si>
  <si>
    <t>AGRIETAMIENTO DE PAREDES/ ALEXANDER GARCIA/ 3104068551</t>
  </si>
  <si>
    <t>VIVIANA ZULUAGA, ESTRUCTURA COLAPSADA</t>
  </si>
  <si>
    <t>AGRIETAMIENTO DE PAREDES / GEORGELIS DURAN /3207026142</t>
  </si>
  <si>
    <t>ESCUELA ERMILA ZALASAR</t>
  </si>
  <si>
    <t>CARMEN YAMILET RAMIREZ, ESTRUCTURA COLAPSADA</t>
  </si>
  <si>
    <t>CLL 4#10-79</t>
  </si>
  <si>
    <t>DANIEL HUMBERTO, POSSO, TECHO COLAPSADO</t>
  </si>
  <si>
    <t>EIDER ALONSO MILLAN, CEL: 3106010702. DAÑO ESTRUCTURAL</t>
  </si>
  <si>
    <t>CALLE 17 # 15 -24</t>
  </si>
  <si>
    <t>CAIDA DE TECHO COMPLETO/ LUZ AYDE MILLAN / 3162950123</t>
  </si>
  <si>
    <t>CRA 8 a # 13 a -14</t>
  </si>
  <si>
    <t>CONSUELO NAVARRETE, CEL: 3011563617. TECHO COLAPSADO</t>
  </si>
  <si>
    <t>CARRERA 16 CALLE 18 PANADERIA EXQUISITA</t>
  </si>
  <si>
    <t>INFRAESTRUCTURA DEBILITADA</t>
  </si>
  <si>
    <t>CRA 13 a #18 b 21</t>
  </si>
  <si>
    <t>PERSONA LESIONADA: EIMI YAJAIRA VELASQUEZ, CEL: 3102573253. ESTRUCTURA DEBILITADA.</t>
  </si>
  <si>
    <t>CRA 19#9-89</t>
  </si>
  <si>
    <t>JOSE ELIEL GALLEGO, ESTRUCTURA COLAPSADA, 42 APARTAMENTOS.</t>
  </si>
  <si>
    <t>CALLE 13 #11-40</t>
  </si>
  <si>
    <t>COLAPSO DE TECHO Y PAREDES/ INES MONAR/ 3157235862</t>
  </si>
  <si>
    <t>PAOLA ANDREA MARTINEZ, CEL: 3168793824.</t>
  </si>
  <si>
    <t>CALLE 18 #11-52</t>
  </si>
  <si>
    <t>AGRIETAMIENTO DE PAREDES/ YOLIMA GIRALDO/3136363406</t>
  </si>
  <si>
    <t>CRA 11# 8 a 34</t>
  </si>
  <si>
    <t>JAVIER ZULETA, CEL: 3106438617. TECHO DILATADO</t>
  </si>
  <si>
    <t>CRA 11# 9-59</t>
  </si>
  <si>
    <t>ALBA CIELO RUIZ, CEL: 3217598224. MURO COLAPSADO</t>
  </si>
  <si>
    <t>CALLE 18 #18-88</t>
  </si>
  <si>
    <t>COLAPSO DE TECHOS/AURA LINA CASTAÑO/3103934027</t>
  </si>
  <si>
    <t>CALLE 18#18-94</t>
  </si>
  <si>
    <t>AGRIETAMIENTO DE PAREDES/DORA VALENCIA/3146723808</t>
  </si>
  <si>
    <t>30MIN</t>
  </si>
  <si>
    <t>CARRERA 19#11-58</t>
  </si>
  <si>
    <t>COLAPSO DE TECHO Y PAREDES/ HECTOR TORO/ 3136827101</t>
  </si>
  <si>
    <t>MANZANA C CASA 29</t>
  </si>
  <si>
    <t>JOSE LEONARDO HENAO, CEL: 3136514959. ESTRUCTURA DEBILITADA</t>
  </si>
  <si>
    <t>2O MINUTOS</t>
  </si>
  <si>
    <t>CARRERA 19 #18-10</t>
  </si>
  <si>
    <t>ANGELICA MONTOYA - TEL: 3127408450 - PAREDES AGRIETADAS</t>
  </si>
  <si>
    <t>MANZANA A CASA 12</t>
  </si>
  <si>
    <t>ARMANDO MAECHA, CEL: 3008651629. ESTRUCTURA DEBILITADA</t>
  </si>
  <si>
    <t>CRA 11# 8 a -109</t>
  </si>
  <si>
    <t>LUZ ENIT GALLON, ESTRUCTURA DEBILITADA</t>
  </si>
  <si>
    <t>MANZANA E CASA 10</t>
  </si>
  <si>
    <t>ANA DORIS RAMIREZ, ESTRUCTURA DEBILITADA</t>
  </si>
  <si>
    <t>CARRERA 19 #18-54</t>
  </si>
  <si>
    <t>RUBI RAMIREZ - TEL: 3136827101 - AFECTACIONES EN LAS PAREDES</t>
  </si>
  <si>
    <t>CLL 11# 14-18</t>
  </si>
  <si>
    <t>ADRIANA HERRERA, TECHO COLAPSADO</t>
  </si>
  <si>
    <t>CARERRA 13 #19 - 03</t>
  </si>
  <si>
    <t>MARTHA REBELLON - TEL: 3225638621 - COLAPSO DE TECHO Y PAREDES</t>
  </si>
  <si>
    <t>CRA 14 CON 12</t>
  </si>
  <si>
    <t>ESTRUCTURA DILATADA</t>
  </si>
  <si>
    <t>CALLE 18 #19 - 24</t>
  </si>
  <si>
    <t>JOSE MARTIN GUZMAN - TEL: 3188054624 - AGRIETAMIENTO EN PAREDES Y DAÑOS EN EL TECHO</t>
  </si>
  <si>
    <t>CALLE 18 # 19 - 24</t>
  </si>
  <si>
    <t>AGRIETAMIENTO EN PAREDES</t>
  </si>
  <si>
    <t>AMPARO ORPINA OCAMPO, CEL: 3206897815. EDIFICIO DE 8 APARTAMENTOS COLAPSADO</t>
  </si>
  <si>
    <t>CARRERA 12 B #8 - 27</t>
  </si>
  <si>
    <t>BEATRIZ CONDE - TEL: 3213668442 - TECHO COLAPSADO</t>
  </si>
  <si>
    <t>CRA 12 #11-44</t>
  </si>
  <si>
    <t>MARCO FIDEL GARCIA, CEL:3105792563, ESTRUCTURA COLAPSADA</t>
  </si>
  <si>
    <t>CRA 18 # 12-27</t>
  </si>
  <si>
    <t>LEIDY MILENA CARDENAS, CEL: 3235523202. ESTRUCTURA DEBILITADA</t>
  </si>
  <si>
    <t>CARRERA 20 #18 - 56</t>
  </si>
  <si>
    <t>HORACION BLANDON - TEL: 3177207363 - COLAPSO PARCIAL</t>
  </si>
  <si>
    <t>CALLE 26 B #8 - 04</t>
  </si>
  <si>
    <t>LEONIDAS VALENCIA - TEL: 3167472447 - AGRIETAMIENTO Y COLAPSO DE PAREDES</t>
  </si>
  <si>
    <t>CRA 11 # 9-53</t>
  </si>
  <si>
    <t>ADRIANA IMPATA, CEL: 3175534268. DAÑO ESTRUCTURAL</t>
  </si>
  <si>
    <t>MARIA BERENICE ZULUAGA, DAÑO ESTRUCTURAL</t>
  </si>
  <si>
    <t>CALLE 14 #16 - 14</t>
  </si>
  <si>
    <t>ALBA INES GORDILLO RAMIREZ - COLAPSO DEL TECHO EN LA PARTE TRASERA</t>
  </si>
  <si>
    <t>MARIA OLIVA BALLESTERO</t>
  </si>
  <si>
    <t>CALLE 14 #15 - 58</t>
  </si>
  <si>
    <t>WILIAM OCAMPO - COLAPSO DEL TECHO FRENTE A LA CALLE</t>
  </si>
  <si>
    <t>CALLE 14 # 15 - 46</t>
  </si>
  <si>
    <t>OFELIA AGUDELO - COLAPSO DEL TECHO DEL SEGUNDO PISO Y PARED</t>
  </si>
  <si>
    <t>PANADERIA MARINILLOS</t>
  </si>
  <si>
    <t>RIESGO ESTRUCTURAL - COLAPSO DE TECHO DE LA VIVIENDA</t>
  </si>
  <si>
    <t>TECHO COLAPSADO, COLAPSO EN ESTRUCTURA Y CABLES CAIDOS</t>
  </si>
  <si>
    <t>MARIA MULATA</t>
  </si>
  <si>
    <t>TECHO COLAPSADO</t>
  </si>
  <si>
    <t>HOTEL PRIMAVERA</t>
  </si>
  <si>
    <t>DAÑO ESTRUCTURAL</t>
  </si>
  <si>
    <t>MICELANEA POPULAR</t>
  </si>
  <si>
    <t>AURA MILENA SEGURA GARCIA, TECHO COLAPSADO</t>
  </si>
  <si>
    <t>EDIFICIO MARINILLOS</t>
  </si>
  <si>
    <t>JUAN DIEGO SERNA - TEL: 3113082812 - DAÑOS ESTRUCTURALES</t>
  </si>
  <si>
    <t>NORALBA RODRIGUEZ, COLAPSADO</t>
  </si>
  <si>
    <t>CLL 4#2-43</t>
  </si>
  <si>
    <t>SANDRA DELGADO, COLAPSO DE TECHO Y PAREDES AGRIETADAS</t>
  </si>
  <si>
    <t>CALLE 15 # 15 - 72</t>
  </si>
  <si>
    <t>DANIEL MONTEMIRANDA - AFECTACIONES ESTRUCTURALES</t>
  </si>
  <si>
    <t>CRA 3#3-78</t>
  </si>
  <si>
    <t>DIEGO MARIA DELGADO MILLAN, CEL: 3104551202. TECHO AFECTADO</t>
  </si>
  <si>
    <t>ASADERO LAS BRASAS</t>
  </si>
  <si>
    <t>CALLE 15 #17 - 28</t>
  </si>
  <si>
    <t>VALENTINA AGUDELO DIAZ - COLAPSO EN PARED Y TECHO</t>
  </si>
  <si>
    <t>CLL 14#17-44</t>
  </si>
  <si>
    <t>CAIDA DE TECHO</t>
  </si>
  <si>
    <t>CALLE 15 # 17 - 30</t>
  </si>
  <si>
    <t>VIVIENDA ESTRUCTURALMENTE AFECTADA</t>
  </si>
  <si>
    <t>CLL14#16-58</t>
  </si>
  <si>
    <t>ESTRUCTURA DEBILITADA</t>
  </si>
  <si>
    <t>CALLE 15 # 17 - 37</t>
  </si>
  <si>
    <t>JESSICA OCHOA - PARED INTERIOR COLAPSADA</t>
  </si>
  <si>
    <t>CLL 14# 16-18</t>
  </si>
  <si>
    <t>ESTRUCTURA COLAPSADA</t>
  </si>
  <si>
    <t>CALLE 15 #17 - 43</t>
  </si>
  <si>
    <t>RUBIELA POTES GARCIA - PARED AFECTADA</t>
  </si>
  <si>
    <t>FLORISTERIA LA ROSA MAYOLI</t>
  </si>
  <si>
    <t>AFECTACIONES ESTRUCTURALES DE PAREDES EN EL SEGUNDO Y TERCER PISO</t>
  </si>
  <si>
    <t>CLL 14 #16-44</t>
  </si>
  <si>
    <t>AFECTACIONES EN TECHO Y PAREDES</t>
  </si>
  <si>
    <t>CALLE 12 #20 - 77</t>
  </si>
  <si>
    <t>TRINIDAD GARCIA - COLAPSO DE TECHO Y PAREDES</t>
  </si>
  <si>
    <t>CLL 14#16-34</t>
  </si>
  <si>
    <t>COLICION DE TECHO</t>
  </si>
  <si>
    <t>CLL 15 #17-45</t>
  </si>
  <si>
    <t>CLL 14#18-35</t>
  </si>
  <si>
    <t>YENNER ORTIZ, ESTRUCTURA DEBILITADA</t>
  </si>
  <si>
    <t>RTECHO COLAPSADO</t>
  </si>
  <si>
    <t>CLL 14# 17-31</t>
  </si>
  <si>
    <t>COLAPSO DE TECHO</t>
  </si>
  <si>
    <t>PANADERIA JJ</t>
  </si>
  <si>
    <t>ANIBAL GOMEZ, ESTRUCTURA DEBILITADA</t>
  </si>
  <si>
    <t>CLL 14#16-39</t>
  </si>
  <si>
    <t>COLAPSO DE TECHO DE LA PARTE TRASERA, CENTRO MISIONERO BTHESDA</t>
  </si>
  <si>
    <t>CLL 14#16-14</t>
  </si>
  <si>
    <t>ALBA INES GORDILLO RAMIREZ, COLAPSO DE TECHO Y DAÑOS EN PARED</t>
  </si>
  <si>
    <t>WUILIAN OCAMPO, COLAPSO DE TECHO Y DAÑOS EN PARED</t>
  </si>
  <si>
    <t>CLL 14#15-46</t>
  </si>
  <si>
    <t>OFELIA AGUDELO, COLAPSO DE TECHO</t>
  </si>
  <si>
    <t>PANADERIA LOS MARINILLOS</t>
  </si>
  <si>
    <t>JUAN DIEGO SERNA, CEL: 3113082812. EDIFICIO CON ALTO RIESO DE DERRUMBE</t>
  </si>
  <si>
    <t>AL LADO DE PANADERIA LOS MARINILLOS</t>
  </si>
  <si>
    <t>#14-47</t>
  </si>
  <si>
    <t>COLAPSO DE ESTRUCTURA</t>
  </si>
  <si>
    <t>18 MINUTOS</t>
  </si>
  <si>
    <t>FINCA DEL TENIENTE RIVERA</t>
  </si>
  <si>
    <t>CAIDA DE PAREDES</t>
  </si>
  <si>
    <t>CALLE 23</t>
  </si>
  <si>
    <t>DARIO PANIAGUA - ABERTURA DE LA CUBIERTA DEL TECHO</t>
  </si>
  <si>
    <t>CRA 14 CON CLL 17</t>
  </si>
  <si>
    <t>EDIFICIO DE TRES PISOS CON POSIBLE COLAPSO
EN LA ESQUINA, UNA CASA CON COLAPSO ESTRUCTURAL
COLAPSO EN EL TALLER LONDOÑO
COLAPSO DE TECHO EN GUADUA Y ZINC</t>
  </si>
  <si>
    <t>ALBERTO CERRAJERO</t>
  </si>
  <si>
    <t>GILDARDO, CEL: 3112547635. CASA DEBILITADA SE DEJARON RECOMENDACIONES</t>
  </si>
  <si>
    <t>LA CASTELLANA</t>
  </si>
  <si>
    <t>ATAQUE DE ABEJAS CON PERSONAS PICADAS, CEL:3182011918</t>
  </si>
  <si>
    <t>ESQUINA DEL CONDOMINIO CARCAVELOS</t>
  </si>
  <si>
    <t>COLAPSO DE MEDIA ESTRUCTURA EN UNA VIVIENDA ANTIGUA</t>
  </si>
  <si>
    <t>FINCA LA MORITA</t>
  </si>
  <si>
    <t>MARIA EUGENIA CASTAÑO, CEL: 3170993271</t>
  </si>
  <si>
    <t>EN LA ESQUINA AL FRENTE DEL D1</t>
  </si>
  <si>
    <t>EIDA ROSA POSSO</t>
  </si>
  <si>
    <t>CLL 8 A B #9-24</t>
  </si>
  <si>
    <t>ESTRUCTURA DE TRES PISOS CON DAÑO ESTRUCTURAL</t>
  </si>
  <si>
    <t>CARRERA 14 CON CALLE 22</t>
  </si>
  <si>
    <t>UNA ESTRUCTURA COLAPSADA</t>
  </si>
  <si>
    <t>CLL 9</t>
  </si>
  <si>
    <t>BODEGA CON DAÑO ESTRUCTURAL</t>
  </si>
  <si>
    <t>CARRERA 19 CON CALLE 16</t>
  </si>
  <si>
    <t>CLL 12 #20-141</t>
  </si>
  <si>
    <t>SANTIAGO HERNANDEZ, CEL: 3233923524-3108231533. SEGUNDO PISO ESTA SIN ESCALERAS, ESTA LADEADA, ESTRUCTURA DEBILITADA</t>
  </si>
  <si>
    <t>CRA 15 #22-02</t>
  </si>
  <si>
    <t>ESQUINA DE PANADERIA</t>
  </si>
  <si>
    <t>TRES PERSONAS ATRAPADAS</t>
  </si>
  <si>
    <t>CRA 12#10-71</t>
  </si>
  <si>
    <t>YENNI GOMEZ, CEL: 3002006404. TECHO CON POSIBLE DERRUMBE</t>
  </si>
  <si>
    <t>CARRERA 19 #19 - 21B</t>
  </si>
  <si>
    <t>BLANCA IRENE TABAREZ - INFRAESTRUCTURA DEBILITADA</t>
  </si>
  <si>
    <t>CLL 18 #19-06</t>
  </si>
  <si>
    <t>ANTALIK MORA CARDONA, CEL: 3128404707. EDIFICIO COLAPSADO</t>
  </si>
  <si>
    <t>CARRERA 19B #19 - 22</t>
  </si>
  <si>
    <t>YUBEN GARCIA - INFRAESTRUCTURA COLAPSADA</t>
  </si>
  <si>
    <t>CLL 21 #19-81</t>
  </si>
  <si>
    <t>RAMIRO EDILSON TORRES, CEL: 31750666255. COLAPSO DE ESTRUCTURA</t>
  </si>
  <si>
    <t>CALLE 23 #20 - 56 (POR EL PUENTE LOS CIRUELOS)</t>
  </si>
  <si>
    <t>MARIA DEL CARMEN ARIAS - INFRAESTRUCTURA DEBILITADA A PUNTO DE COLAPSAR</t>
  </si>
  <si>
    <t>CALLE 22 #20 - 96</t>
  </si>
  <si>
    <t>ANGELA MUÑOZ ARIAS - TEL: 3214292569 - INFRAESTRUCTURA COLAPSADA</t>
  </si>
  <si>
    <t>YULI MARCELA MOSCOSO - TEL: 3182872903 - ESTRUCTURA COLAPSADA</t>
  </si>
  <si>
    <t>CALLE 19 # 17-44</t>
  </si>
  <si>
    <t>CAIDA DE TEJADO</t>
  </si>
  <si>
    <t>FACHADA DEL PRIMER PISO</t>
  </si>
  <si>
    <t>16 MIN</t>
  </si>
  <si>
    <t>CALLE 14# 16-58</t>
  </si>
  <si>
    <t>DESTRUCCION DE FACHADA</t>
  </si>
  <si>
    <t>CALLE 22 #19 - 62</t>
  </si>
  <si>
    <t>CRISTIAN ALEXANDER CORREA - TEL: 3113242254 - INFRAESTRUCTURA COLAPSADA Y AFECTACIONES EN EL TECHO DE LA VIVIENDA</t>
  </si>
  <si>
    <t>19 MIN</t>
  </si>
  <si>
    <t>CALLE 14 # 16-54</t>
  </si>
  <si>
    <t>POSIBLE CAIDA DE MURO Y FACHADA</t>
  </si>
  <si>
    <t>CALLE 14 # 16-18</t>
  </si>
  <si>
    <t>COLICCION DE TECHO DE UN TERCER PISO</t>
  </si>
  <si>
    <t>CR18# 12-27</t>
  </si>
  <si>
    <t>LEIDY MILENA CARDENAS, CEL: 3232523202. ESTRUCTURA DEBILITADA</t>
  </si>
  <si>
    <t>CALLE 22 #20 - 29</t>
  </si>
  <si>
    <t>ALEXANDRA AGUIRRE - TEL: 3113488779 - AFECTACIONES EN EL TECHO</t>
  </si>
  <si>
    <t>27 MIN</t>
  </si>
  <si>
    <t>CALLE 14 # 16-25</t>
  </si>
  <si>
    <t>COLIPCION DE LA VIVIENDA EN EL TERCER PISO, COLISION DE PARED Y CAIDA DE CUCHILLAS DEL TERCER PISO</t>
  </si>
  <si>
    <t>CLL 11#11-43</t>
  </si>
  <si>
    <t>39 MIN</t>
  </si>
  <si>
    <t>CALLE 14 # 16-44</t>
  </si>
  <si>
    <t>DESTRUCCION DE FACHADA Y COLICCION DE TECHO</t>
  </si>
  <si>
    <t>CLL 16#13-30</t>
  </si>
  <si>
    <t>CALLE 23A #13 - 29</t>
  </si>
  <si>
    <t>CAROL URIBE - TEL: 3127293391 - INFRAESTRUCTURA DEBILITADA</t>
  </si>
  <si>
    <t>CALLE 14 #16-34</t>
  </si>
  <si>
    <t>COLICION DE TECHO- JONDER BETANCOURT- 1006239196</t>
  </si>
  <si>
    <t>CLL 23 #17-15</t>
  </si>
  <si>
    <t>AFECTACIONES EN VIVIENDA</t>
  </si>
  <si>
    <t>CALLE 14# 16-15 BARRIO LA CRUZ</t>
  </si>
  <si>
    <t>COLISION DE TECHO</t>
  </si>
  <si>
    <t>CALLE 22 #19 - 48</t>
  </si>
  <si>
    <t>LUCERO OSPINA GALLEGO - TEL: 3145070668 - INFRAESTRUCTURA DEBILITADA</t>
  </si>
  <si>
    <t>28 MIN</t>
  </si>
  <si>
    <t>CALLE 15# 17-48</t>
  </si>
  <si>
    <t>COLICSION TOTAL DEL TECHOO DE LA VIVIENDA</t>
  </si>
  <si>
    <t>CARRERA 20 #21 - 53</t>
  </si>
  <si>
    <t>GLORIA AMPARO VARELA - TEL: 3172250328 - ESTRUCTURA COLAPSADA</t>
  </si>
  <si>
    <t>CALLE 18# 19-06</t>
  </si>
  <si>
    <t>EDIFICIO COLAPSO- CASA DE 3 PUSOS ESQUINERA- ANTALIK MORA CARDONA- 3128404707</t>
  </si>
  <si>
    <t>CALLE 22 #18 - 32</t>
  </si>
  <si>
    <t>SAN PEDRO (FRENTE AL GIMNASIO ROLDAN)</t>
  </si>
  <si>
    <t>INFRAESTRUCTURA COLAPSADA</t>
  </si>
  <si>
    <t>CALLE 21 #19 - 81</t>
  </si>
  <si>
    <t>RAMIRO EDILSON TORRES - TEL: 3175066255 - INFRAESTRUCTURA COLAPSADA</t>
  </si>
  <si>
    <t>ACOMPAÑAMIENTO EN LA ENTREGA DE MERCADOS A PERSONAS AFECTADAS POR EL TERREMOTO</t>
  </si>
  <si>
    <t>VEREDAD EL BANCO</t>
  </si>
  <si>
    <t>SUMINISTRO DE AGUA A LA COMUNIDAD DE LA VEREDA EL BANCO (PRIMER VIAJE)</t>
  </si>
  <si>
    <t>BARRIO LA CIUDADELA</t>
  </si>
  <si>
    <t>SUMINISTRO DE AGUA A LA COMUNIDAD DEL BARRIO LA CIUDADELA</t>
  </si>
  <si>
    <t>T-1</t>
  </si>
  <si>
    <t>SUMINISTRO DE AGUA A LA COMUNIDAD DE LA VEREDA LA ISLA</t>
  </si>
  <si>
    <t>CALLE 13 FRENTE EL AGRICULTOR</t>
  </si>
  <si>
    <t>LAVADO DE CALLE FRENTE AL AGRICULTOR</t>
  </si>
  <si>
    <t>BARRIO LA PRIMAVERA</t>
  </si>
  <si>
    <t>SUMINISTRO DE AGUA A LA COMUNIDAD EL BARRIO LA PRIMAVERA</t>
  </si>
  <si>
    <t>SUMINISTRO DE AGUA A LA COMUNIDAD DE LA CAMPESINA (PRIMER VIAJE)</t>
  </si>
  <si>
    <t>SUMINISTRO DE AGUA A LA COMUNIDAD DE LA CAMAPESINA (SEGUNDO VIAJE)</t>
  </si>
  <si>
    <t>SUMINISTRO DE AGUA A LA COMUNIDAD DE LA CAMPESINA (TERCER VIAJE)</t>
  </si>
  <si>
    <t>SUMINISTRO DE AGUA A LA COMUNIDA DE LA VEREDA EL BANCO (SEGUNDO VIAJE)</t>
  </si>
  <si>
    <t>SUMINISTRO DE AGUA A LA CAMUNIDAD DEL BARRIO LAS BRISAS</t>
  </si>
  <si>
    <t>SUMINISTRO DE AGUA A LA COMUNIDAD DE LA VEREDA EL LUCERO</t>
  </si>
  <si>
    <t>CARRERA 14 CON CALLE 12</t>
  </si>
  <si>
    <t>FUGA DE GAS NATURAL CON PERSONA DESMAYADA</t>
  </si>
  <si>
    <t>SUMINISTRO DE AGUA A LA COMUNIDAD DE LA CAMPESINA</t>
  </si>
  <si>
    <t>INFORMAN QUE DENTRO DE LA VIVIENDA AHI UN ENJAMBRE DE ABEJAS Y YA LOS PICARON</t>
  </si>
  <si>
    <t>CR 17 CON CLL 16 - CR 17 13 29</t>
  </si>
  <si>
    <t>INFORMAN DE CABLES CAIDOS DURANTE EL TERREMOTO Y NO ESTAN SEÑALIZADOS</t>
  </si>
  <si>
    <t>ALCALDÍA MUNICIPAL</t>
  </si>
  <si>
    <t>ANÁLISIS Y CLASIFICACIÓN DE LOS RIESGOS IDENTIFICADOS CON ESPECIALISTAS DE LA ALCALDÍA</t>
  </si>
  <si>
    <t>ESTACIÓN DE POLICÍA</t>
  </si>
  <si>
    <t>ALCALDÍA MUNICIPAL SEDE SAN PEDRO</t>
  </si>
  <si>
    <t>REGISTRADURÍA - EDIFICIO PASAJE BELÉN</t>
  </si>
  <si>
    <t>JUZGADO PROMISCUO MUNICIPAL Y FISCALÍA</t>
  </si>
  <si>
    <t>COLISEO CUBIERTO FÁTIMA</t>
  </si>
  <si>
    <t>IGLESIA SAN JOSÉ</t>
  </si>
  <si>
    <t>IGLESIA SAN PEDRO APÓSTOL</t>
  </si>
  <si>
    <t>IGLESIA PERPETUO SOCORRO</t>
  </si>
  <si>
    <t>CEMENTERIO SAN MIGUEL ARCÁNGEL</t>
  </si>
  <si>
    <t>CENTRO DEL ADULTO MAYOR SANTA TERESITA</t>
  </si>
  <si>
    <t>SECRETARÍA DE AGRICULTURA</t>
  </si>
  <si>
    <t>GALERÍA MUNICIPAL</t>
  </si>
  <si>
    <t>HOGAR INFANTIL EL JARDÍN</t>
  </si>
  <si>
    <t>ESCUELITA SAN JOSÉ</t>
  </si>
  <si>
    <t>COLEGIO SAN JOSÉ</t>
  </si>
  <si>
    <t>TANQUE DE RESERVA VEREDA LA ISLA</t>
  </si>
  <si>
    <t>MUSEO NACIONAL DE LA UVA</t>
  </si>
  <si>
    <t>CUERPO DE BOMBEROS VOLUNTARIOS</t>
  </si>
  <si>
    <t>3 HORAS Y 30 MINUTOS</t>
  </si>
  <si>
    <t xml:space="preserve">SUMINISTRO DE AGUA A LA COMUNIDAD DE LA VEREDA EL BANCO
</t>
  </si>
  <si>
    <t>INFORMAN DE UNA QUEMA QUE SE GENERA EN LA VIA</t>
  </si>
  <si>
    <t>CRR 11 VIA AL LUCERO</t>
  </si>
  <si>
    <t>INFORMAN DE UNA PERSONA QUE ESTA EN EL TECHO REALIZANDO TRABAJOS Y NO SE PUEDE MOVER</t>
  </si>
  <si>
    <t>2 HORAS 41 MINUTOS</t>
  </si>
  <si>
    <t>CASCO URBANO</t>
  </si>
  <si>
    <t>ACOMPAÑAMIENTO PARA ENTREGA DE DONACIONES</t>
  </si>
  <si>
    <t>1 HORA 27 MINUTOS</t>
  </si>
  <si>
    <t>CLL 17, CRA 15</t>
  </si>
  <si>
    <t>CORTO EN CABLE PRIMARIO CON AFECTACIÓN EN VELA</t>
  </si>
  <si>
    <t>3 Y 50 MINUTOS</t>
  </si>
  <si>
    <t>COLISEO ARGELINO GARZON</t>
  </si>
  <si>
    <t>AYUDA EN LOGISTICA PARA EL APOYO HUMANITARIO QUE LLEGÓ DE ESTADOS UNIDOS PARA LAS PERSONAS AFECTADAS EN EL TERREMOTO</t>
  </si>
  <si>
    <t>MANZADA D CASA 18</t>
  </si>
  <si>
    <t>INFORMAN DE UNA IGUANA HERIDO QUE ESTA EN UN ARBOL</t>
  </si>
  <si>
    <t>CRA 13 #10 44</t>
  </si>
  <si>
    <t>QUEMA DE DESECHOS DE UNA VIVIENDA QUE ESTAN DEMOLIENDO, LA CUAL ESTABA AFECTANDO LA CASA CONTINUA Y A LA COMUNIDAD DEVIDO AL FUERTE HUMO</t>
  </si>
  <si>
    <t>B-4, L-3</t>
  </si>
  <si>
    <t>4°32'51"N 76°03'09"W</t>
  </si>
  <si>
    <t>4°32'04"N 76°07'58"W</t>
  </si>
  <si>
    <t>4°32'13"N 76°06'02"W</t>
  </si>
  <si>
    <t>PARQUEADERO LAS PALMAS</t>
  </si>
  <si>
    <t>4°32'20.0"N 76°07'20.0"W</t>
  </si>
  <si>
    <t>4°32'01.3"N 76°05'43.3"W</t>
  </si>
  <si>
    <t>04°21´25.16´´N 76°08´00.28´´W</t>
  </si>
  <si>
    <t>REINICIAN QUEMA DE DESECHOS DE CONSTRUCION.MADERAS Y OTROS</t>
  </si>
  <si>
    <t>Vía Panorama cerca al corregimiento pedregal</t>
  </si>
  <si>
    <t>Pedregal</t>
  </si>
  <si>
    <t>15:54 La bombera Rivera reporta un árbol caido sobre la carretera obstruyendo paso vehicular.
15:55 se hace enlace con Gestión de riesgo y policía de carreteras.
16:20 Sale L2 con 2 unidades, Cbo. Villa y Bra. Alejandra para hacer verificación de riesgos en el lugar y realizar operaciones de despeje de vía.
16:37 L2 reporta llegada al sitio y acompañamioento de policía de carreteras.
16:47 L2 reporta el retiro del lugar dejando el área a cargo de policía de carreteras. Se dirigen a la estación para recoger al sbt. Rivera y herramientas necesarias.
17:06 Ingresa L2 a la institución, dando información sobre un árbol de tamaño mediano que se encuentra obtaculizando la mitad de la vía.
17:11 Sale L2 con 3 unidades, Sbt. Rivera, Cbo. Villa, y Bra. Alejandra.
17:22 L2 reporta llegada al sitio
17:23 Se inician labores de corte y despeje del área.
17:39 L2 reporta fin de las operaciones. Se inicia recogida de material.
17:41 L2 reporta que se retiran del sitio y se dirigen a la institución.
17:52 L2 ingresa a la estación con 3 unidades, reportando las novedades antes mencionadas.</t>
  </si>
  <si>
    <t>CALLE 9A # 13 - 37</t>
  </si>
  <si>
    <t>ANALISIS DE RIESGO</t>
  </si>
  <si>
    <t>CALLE 12A # 23A - 28 PISO 2</t>
  </si>
  <si>
    <t>CARRERA 14 # 13 - 44</t>
  </si>
  <si>
    <t>CARRERA 14 # 16 - 52</t>
  </si>
  <si>
    <t>TV 15 # 22 - 72</t>
  </si>
  <si>
    <t>CARRERA 24 # 12 - 121</t>
  </si>
  <si>
    <t>CRA 15 CALLE 15 PARQUE PPAL</t>
  </si>
  <si>
    <t>ACOMPAÑAMIENTO PARA DEMOLER UNA PARED DE LA CASA CONSISTORIAL</t>
  </si>
  <si>
    <t>100M/2</t>
  </si>
  <si>
    <t>CR 20 CON CLL 11</t>
  </si>
  <si>
    <t>INFORMAN DE UNA QUEMA EN GUADUAL</t>
  </si>
  <si>
    <t>100 MTR2</t>
  </si>
  <si>
    <t>04°31'50.42" N 76°06'29.65" W</t>
  </si>
  <si>
    <t>CALLE 15 #13 24</t>
  </si>
  <si>
    <t>BELEN ZONA CENTRO</t>
  </si>
  <si>
    <t>RECUPERACION DE UNA SERPIENTE QUE SE ENCONTRABA DENTRO DE UNA VIVIENDA*</t>
  </si>
  <si>
    <t>ESCUELA EL LUCERO</t>
  </si>
  <si>
    <t>VIA LAUNION EL PORTACHUELO KL4.5</t>
  </si>
  <si>
    <t>QUEMA DE PASTOS SECOS A ORILLAS DE LA CARRETERA, EL CUAL APENAS SE ESTABA INICIANDO</t>
  </si>
  <si>
    <t>5 M/2</t>
  </si>
  <si>
    <t>INFORMAN DE UNA QUEMA DE COBERTURA VEJETAL EN ZONA RURAL</t>
  </si>
  <si>
    <t>50 MTR 2</t>
  </si>
  <si>
    <t>04°32`47.64" N 76°07`10.03"W</t>
  </si>
  <si>
    <t>CALLE 16 CON CR 2</t>
  </si>
  <si>
    <t>INFORMAN DE FUGA DE GAS DURANTE LABORES EN LA VIA</t>
  </si>
  <si>
    <t>LA DESMONTADORA</t>
  </si>
  <si>
    <t>INCENDIO FORESTAL CON UNA AFECTACION DE 300 MTS, COMPROMETIENDO UNA VELA DE POSTE DE ENERGIA ELECTRICA, CELSIA.</t>
  </si>
  <si>
    <t>POR EL MOTEL LOS DOS</t>
  </si>
  <si>
    <t>SE DESPACHAN UNIDADES A UN INCENDIO VEHICULAR, PROCEDIENDO A REALIZAR CONTROL Y EXTINCIONDEL FUEGO.</t>
  </si>
  <si>
    <t>VEREDA EL GUANABANO</t>
  </si>
  <si>
    <t>INCENDIO QUE SE PROPAGA A HACIA UNA AVICOLA</t>
  </si>
  <si>
    <t>INCENDIO AL LADSO DE LA CANDERA POR RADIACION EN LA MADERA</t>
  </si>
  <si>
    <t>B-4, T-1</t>
  </si>
  <si>
    <t>ROMPOY</t>
  </si>
  <si>
    <t>ACPM REGADO EN EL SUELO</t>
  </si>
  <si>
    <t>10 HORAS</t>
  </si>
  <si>
    <t>BOLIVAR VALLE</t>
  </si>
  <si>
    <t>EL CUERPO DE BOMBEROS DE BOLIVAR SOLICITA APOYO EN UN INCENDIO FORESTAL</t>
  </si>
  <si>
    <t>CIUDADANO REPORTA UNA QUEMA POR MORADA DEL VIENTO, SE DESPACHAN LAS UNIDADES, AL MOMENTO DE LLEGAR SE REALIZA LABORES DE EXTINCION.</t>
  </si>
  <si>
    <t>SE REALIZA VISITA PARA CONCEPTO DE SEGURIDAD</t>
  </si>
  <si>
    <t>IGLEIS DE SAN LUIS</t>
  </si>
  <si>
    <t>7 horas</t>
  </si>
  <si>
    <t>C.B.V BOLIVAR SOLICITA APOYO PARA ATENCION DE INCENDIO FORESTAL</t>
  </si>
  <si>
    <t>HOTEL VILLA JULIANA</t>
  </si>
  <si>
    <t>INCENDIO QUE SE PRESENTA EN ZONA VEJETAL</t>
  </si>
  <si>
    <t>2 HECTARES</t>
  </si>
  <si>
    <t>4°32´40.2N 76°5´16.146 W</t>
  </si>
  <si>
    <t>LA SINAGUETA</t>
  </si>
  <si>
    <t>INFORMAN DE UNA QUEMA VEJETAL PERO NO SE ENCUENTRA NADA</t>
  </si>
  <si>
    <t>VÍA PANORAMA CERCA A "PESCA DEPORTIVA LOS SAMANES"</t>
  </si>
  <si>
    <t>13:49 Se recibe llamada por parte de la empresa sub salud para reportar el posible incendio de un vehículo involucrado en un accidente.
13:59 Sale B4 con 3 unidades. Conduce el Bro. Yddelanobert, lo acompañan el Cbo. Villa y el Bro. Pelaez. 
14:10 Se reporta llegada al sitio. Se instala P.C Los lagos y se procede a hacer verificación del vehículo.
14:15 P.C. Los lagos informa que se encuentra el vehículo sin fuego activo, ni proceso inicial de incendio; además la comunidad indica que el vehículo fue movido del lugar dónde había quedado debido al impacto. Al llegar al sitio, la victima ya había sido trasladada al hospital por parrte de la empresa sub salud.
14:20 Se procede con la desconexión de la batería y la comunidad presente mueve el automovil para despejar la vía.
14:25 Se reporta el desmonte del P.C. Los lagos y se procede con el retiro de las unidades del sitio.
14:34 Ingresa B4 con las novedades antes mencionadas, anexando información sobre la victima el cual es identificado como Jorge Eliecer Ríos Ospina con cc. 16211381 de Cartago Valle del Cauca, se movilizaba en un vehículo de marca Chevrolet de color gris con placas JRV466 de Pereira.</t>
  </si>
  <si>
    <t>CRA. 25 # 12 - 50</t>
  </si>
  <si>
    <t>16:41 El comandante reporta el colapso de un techo a raíz de los fuertes vientos.
17:31 Sale L1 conducida por el Cbo. Villa, lo acompaña el Bro. Peláez.
17:38 L1 reporta llegada al sitio.
17:45 El Bro. Peláez reporta la llegada del secretario municipal de gestión de riesgo
17:52 El Bro Peláez reporta la retirada del sitio quedando gestión de riesgo a cargo de la situación. Las unidades proceden a retornar a la institución.
18:03 Ingresa L1 con las novedades anteriormente mencionadas.</t>
  </si>
  <si>
    <t>INFORMAN DE UN INCENDIO ELECTRICO</t>
  </si>
  <si>
    <t>REUNION CMGRD</t>
  </si>
  <si>
    <t>MOTO PERSONAL</t>
  </si>
  <si>
    <t>APOYO AL C.B.V LA VICTORIA CON SUMINISTRO DE AGUA</t>
  </si>
  <si>
    <t>REUNION EN LA ALCALDIA MUNICIPAL CMGRD</t>
  </si>
  <si>
    <t>CONTROL DE ABEJAS EN APOYO CON AGRICULTURA</t>
  </si>
  <si>
    <t>LA UNION VIA SABANAZO</t>
  </si>
  <si>
    <t>LIMONES</t>
  </si>
  <si>
    <t>VEHICULO QUE QUEDA ATRAPADO EN UN DERRUMBE ,POR FUERTES LLUVIAS EN EL MUNICIPIO</t>
  </si>
  <si>
    <t>300 MT/2</t>
  </si>
  <si>
    <t>B-3, L-2,</t>
  </si>
  <si>
    <t>CALLE 18 314 36</t>
  </si>
  <si>
    <t>vivienda inundada por colapso del sistema de alcantarrillado, sin intervencion</t>
  </si>
  <si>
    <t>80 mt/2</t>
  </si>
  <si>
    <t>15 mntos</t>
  </si>
  <si>
    <t>cra 21 CALLE 16</t>
  </si>
  <si>
    <t>VIVIENDAS QUE RESULTAN INUNDADAS POR COLAPSO DEL SISTEMA DE ALCANTARILLADO DEL MNIPIO, SIN INTERVENSION</t>
  </si>
  <si>
    <t>30MNTOS</t>
  </si>
  <si>
    <t>URBA LA HABANA</t>
  </si>
  <si>
    <t>MONITOREO DEL SANJON DE LOS MUERTOS, POSIBLE DESBORDAMIENTO</t>
  </si>
  <si>
    <t>CARRERA 20 # 18 - 56</t>
  </si>
  <si>
    <t>BARRIO LA HABANA</t>
  </si>
  <si>
    <t>INCENDIO ESTRUCTURAL DE UNA ENRAMADA DE MADERA</t>
  </si>
  <si>
    <t>3.06 HORAS</t>
  </si>
  <si>
    <t>CRA 16 19 68</t>
  </si>
  <si>
    <t>COLISION DE VEHICULOS, CON VOLCAMIENTO E IMPACTO CONTRA UNA VIVIENDA PRODUCIENDO ROTURA DEL MEDIDOR DE GAS DOMICILIARIO, Y DERRAME DE COMBUSTIBLE EN LA VIA</t>
  </si>
  <si>
    <t>CRA 17 27 30</t>
  </si>
  <si>
    <t>ATAQUE DE ABEJAS A SEMOVIENTE VACUNO TERNERO EL CUAL ES ATENDIDO POR FUNCIONARIO DE LA SECRETARIA DE AGRICULTURA</t>
  </si>
  <si>
    <t>I.E PERPETUO SOCORRO</t>
  </si>
  <si>
    <t>SE REALIZA ACTIVIDAD DE LABOR SOCIAL, RETIRANDO DE LOS SALONES AFECTADOS POR EL TERREMOTO, ALGUNAS DE LAS PERTENENCIAS DE LOS ESTUDIANTES, QUE HABIAN QUEDADO BAJO LOS ESCOMBROS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</si>
</sst>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0.0"/>
  </numFmts>
  <fonts count="78"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b/>
      <sz val="10"/>
      <color theme="1"/>
      <name val="Arial"/>
      <family val="2"/>
      <scheme val="minor"/>
    </font>
    <font>
      <sz val="10"/>
      <color theme="1"/>
      <name val="Arial"/>
      <family val="2"/>
    </font>
    <font>
      <b/>
      <sz val="10"/>
      <color theme="1"/>
      <name val="Arial"/>
      <family val="2"/>
      <scheme val="minor"/>
    </font>
    <font>
      <b/>
      <sz val="10"/>
      <color rgb="FF000000"/>
      <name val="Arial"/>
      <family val="2"/>
      <scheme val="minor"/>
    </font>
    <font>
      <sz val="10"/>
      <color theme="1"/>
      <name val="Arial"/>
      <family val="2"/>
      <scheme val="minor"/>
    </font>
    <font>
      <sz val="10"/>
      <color rgb="FF000000"/>
      <name val="Arial"/>
      <family val="2"/>
      <scheme val="minor"/>
    </font>
    <font>
      <b/>
      <sz val="10"/>
      <name val="Arial"/>
      <family val="2"/>
    </font>
    <font>
      <sz val="12"/>
      <color rgb="FF000000"/>
      <name val="Century Gothic"/>
      <family val="2"/>
    </font>
    <font>
      <b/>
      <sz val="12"/>
      <color theme="0"/>
      <name val="Century Gothic"/>
      <family val="2"/>
    </font>
    <font>
      <b/>
      <sz val="12"/>
      <color rgb="FF000000"/>
      <name val="Century Gothic"/>
      <family val="2"/>
    </font>
    <font>
      <sz val="8"/>
      <name val="Arial"/>
      <family val="2"/>
      <scheme val="minor"/>
    </font>
    <font>
      <sz val="10"/>
      <color rgb="FF000000"/>
      <name val="Arial"/>
      <family val="2"/>
      <scheme val="minor"/>
    </font>
    <font>
      <sz val="10"/>
      <color theme="0"/>
      <name val="Arial"/>
      <family val="2"/>
      <scheme val="minor"/>
    </font>
    <font>
      <b/>
      <sz val="12"/>
      <color rgb="FFFFFF00"/>
      <name val="Century Gothic"/>
      <family val="2"/>
    </font>
    <font>
      <sz val="10"/>
      <name val="Arial"/>
      <family val="2"/>
      <scheme val="minor"/>
    </font>
    <font>
      <b/>
      <sz val="10"/>
      <color theme="0"/>
      <name val="Arial"/>
      <family val="2"/>
      <scheme val="minor"/>
    </font>
    <font>
      <b/>
      <sz val="10"/>
      <color theme="1"/>
      <name val="Arial"/>
      <family val="2"/>
      <scheme val="minor"/>
    </font>
    <font>
      <sz val="10"/>
      <color theme="1"/>
      <name val="Arial"/>
      <family val="2"/>
      <scheme val="minor"/>
    </font>
    <font>
      <sz val="10"/>
      <color theme="1"/>
      <name val="Arial"/>
      <family val="2"/>
    </font>
    <font>
      <b/>
      <sz val="12"/>
      <color theme="1"/>
      <name val="Arial"/>
      <family val="2"/>
      <scheme val="minor"/>
    </font>
    <font>
      <b/>
      <sz val="16"/>
      <color rgb="FF000000"/>
      <name val="Arial"/>
      <family val="2"/>
      <scheme val="minor"/>
    </font>
    <font>
      <b/>
      <sz val="12"/>
      <color rgb="FF000000"/>
      <name val="Arial"/>
      <family val="2"/>
      <scheme val="minor"/>
    </font>
    <font>
      <sz val="12"/>
      <color rgb="FF000000"/>
      <name val="Arial"/>
      <family val="2"/>
      <scheme val="minor"/>
    </font>
    <font>
      <b/>
      <sz val="11"/>
      <color theme="3"/>
      <name val="Arial"/>
      <family val="2"/>
      <scheme val="minor"/>
    </font>
    <font>
      <b/>
      <sz val="11"/>
      <color theme="1"/>
      <name val="Arial"/>
      <family val="2"/>
      <scheme val="minor"/>
    </font>
    <font>
      <sz val="12"/>
      <color indexed="8"/>
      <name val="Arial"/>
      <family val="2"/>
    </font>
    <font>
      <sz val="8"/>
      <name val="Arial"/>
      <family val="2"/>
    </font>
    <font>
      <sz val="8"/>
      <color indexed="8"/>
      <name val="Arial"/>
      <family val="2"/>
    </font>
    <font>
      <sz val="8"/>
      <color rgb="FF00B0F0"/>
      <name val="Arial"/>
      <family val="2"/>
    </font>
    <font>
      <b/>
      <sz val="14"/>
      <color theme="1"/>
      <name val="Arial"/>
      <family val="2"/>
      <scheme val="minor"/>
    </font>
    <font>
      <b/>
      <sz val="11"/>
      <color rgb="FF000000"/>
      <name val="Arial"/>
      <family val="2"/>
      <scheme val="minor"/>
    </font>
    <font>
      <b/>
      <sz val="9"/>
      <color rgb="FF000000"/>
      <name val="Arial"/>
      <family val="2"/>
      <scheme val="minor"/>
    </font>
    <font>
      <b/>
      <sz val="7"/>
      <color rgb="FF000000"/>
      <name val="Arial"/>
      <family val="2"/>
      <scheme val="minor"/>
    </font>
    <font>
      <b/>
      <sz val="7"/>
      <color theme="1"/>
      <name val="Arial"/>
      <family val="2"/>
      <scheme val="minor"/>
    </font>
    <font>
      <sz val="11"/>
      <color rgb="FF000000"/>
      <name val="Arial"/>
      <family val="2"/>
      <scheme val="minor"/>
    </font>
    <font>
      <sz val="7"/>
      <color rgb="FF000000"/>
      <name val="Arial"/>
      <family val="2"/>
      <scheme val="minor"/>
    </font>
    <font>
      <u/>
      <sz val="11"/>
      <color theme="10"/>
      <name val="Calibri"/>
      <family val="2"/>
    </font>
    <font>
      <b/>
      <sz val="7"/>
      <color theme="3"/>
      <name val="Arial"/>
      <family val="2"/>
      <scheme val="minor"/>
    </font>
    <font>
      <sz val="7"/>
      <color theme="1"/>
      <name val="Arial"/>
      <family val="2"/>
      <scheme val="minor"/>
    </font>
    <font>
      <sz val="9"/>
      <color theme="1"/>
      <name val="Arial"/>
      <family val="2"/>
    </font>
    <font>
      <b/>
      <sz val="9"/>
      <color indexed="8"/>
      <name val="Arial"/>
      <family val="2"/>
    </font>
    <font>
      <b/>
      <sz val="9"/>
      <color theme="1"/>
      <name val="Arial"/>
      <family val="2"/>
    </font>
    <font>
      <sz val="9"/>
      <color indexed="8"/>
      <name val="Arial"/>
      <family val="2"/>
    </font>
    <font>
      <b/>
      <sz val="11"/>
      <color theme="1"/>
      <name val="Arial"/>
      <family val="2"/>
    </font>
    <font>
      <b/>
      <sz val="11"/>
      <color indexed="8"/>
      <name val="Arial"/>
      <family val="2"/>
    </font>
    <font>
      <sz val="9"/>
      <name val="Arial"/>
      <family val="2"/>
    </font>
    <font>
      <b/>
      <sz val="10"/>
      <color indexed="8"/>
      <name val="Arial"/>
      <family val="2"/>
    </font>
    <font>
      <b/>
      <sz val="12"/>
      <color indexed="8"/>
      <name val="Arial"/>
      <family val="2"/>
    </font>
    <font>
      <b/>
      <sz val="8"/>
      <color theme="1"/>
      <name val="Arial"/>
      <family val="2"/>
    </font>
    <font>
      <sz val="11"/>
      <color theme="1"/>
      <name val="Arial"/>
      <family val="2"/>
    </font>
    <font>
      <b/>
      <sz val="14"/>
      <color theme="1"/>
      <name val="Arial"/>
      <family val="2"/>
    </font>
    <font>
      <sz val="12"/>
      <color theme="1"/>
      <name val="Century Gothic"/>
      <family val="2"/>
    </font>
    <font>
      <b/>
      <sz val="12"/>
      <color indexed="8"/>
      <name val="Century Gothic"/>
      <family val="2"/>
    </font>
    <font>
      <b/>
      <sz val="12"/>
      <color theme="1"/>
      <name val="Century Gothic"/>
      <family val="2"/>
    </font>
    <font>
      <sz val="14"/>
      <color indexed="8"/>
      <name val="Century Gothic"/>
      <family val="2"/>
    </font>
    <font>
      <sz val="12"/>
      <color indexed="8"/>
      <name val="Century Gothic"/>
      <family val="2"/>
    </font>
    <font>
      <sz val="12"/>
      <name val="Century Gothic"/>
      <family val="2"/>
    </font>
    <font>
      <b/>
      <sz val="9"/>
      <color indexed="81"/>
      <name val="Tahoma"/>
      <family val="2"/>
    </font>
    <font>
      <sz val="9"/>
      <color indexed="81"/>
      <name val="Tahoma"/>
      <family val="2"/>
    </font>
    <font>
      <b/>
      <sz val="11"/>
      <color theme="0"/>
      <name val="Arial"/>
      <family val="2"/>
      <scheme val="minor"/>
    </font>
    <font>
      <b/>
      <sz val="12"/>
      <color rgb="FFFF0000"/>
      <name val="Century Gothic"/>
      <family val="2"/>
    </font>
    <font>
      <sz val="10"/>
      <color rgb="FFFF0000"/>
      <name val="Arial"/>
      <family val="2"/>
      <scheme val="minor"/>
    </font>
    <font>
      <sz val="10"/>
      <color theme="0"/>
      <name val="Arial"/>
      <family val="2"/>
      <scheme val="minor"/>
    </font>
    <font>
      <b/>
      <sz val="12"/>
      <color theme="0"/>
      <name val="Arial"/>
      <family val="2"/>
      <scheme val="minor"/>
    </font>
    <font>
      <sz val="12"/>
      <color theme="0"/>
      <name val="Arial"/>
      <family val="2"/>
      <scheme val="minor"/>
    </font>
    <font>
      <b/>
      <sz val="16"/>
      <color theme="0"/>
      <name val="Arial"/>
      <family val="2"/>
      <scheme val="minor"/>
    </font>
    <font>
      <sz val="10"/>
      <color rgb="FF434343"/>
      <name val="Roboto"/>
    </font>
    <font>
      <b/>
      <sz val="10"/>
      <color theme="0"/>
      <name val="Arial"/>
      <family val="2"/>
      <scheme val="major"/>
    </font>
    <font>
      <b/>
      <sz val="10"/>
      <color theme="1"/>
      <name val="Arial"/>
      <family val="2"/>
      <scheme val="major"/>
    </font>
    <font>
      <sz val="10"/>
      <color theme="1"/>
      <name val="Arial"/>
      <family val="2"/>
      <scheme val="major"/>
    </font>
    <font>
      <sz val="10"/>
      <color rgb="FF000000"/>
      <name val="Arial"/>
      <family val="2"/>
      <scheme val="major"/>
    </font>
    <font>
      <sz val="10"/>
      <color rgb="FF434343"/>
      <name val="Arial"/>
      <family val="2"/>
      <scheme val="major"/>
    </font>
    <font>
      <b/>
      <sz val="10"/>
      <color rgb="FF000000"/>
      <name val="Arial"/>
      <family val="2"/>
      <scheme val="major"/>
    </font>
    <font>
      <b/>
      <sz val="10"/>
      <color rgb="FF434343"/>
      <name val="Roboto"/>
    </font>
  </fonts>
  <fills count="37">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FFFF00"/>
        <bgColor rgb="FF00FF00"/>
      </patternFill>
    </fill>
    <fill>
      <patternFill patternType="solid">
        <fgColor rgb="FFFFFF00"/>
        <bgColor rgb="FFFF0000"/>
      </patternFill>
    </fill>
    <fill>
      <patternFill patternType="solid">
        <fgColor rgb="FFFFFF00"/>
        <bgColor rgb="FF00FFFF"/>
      </patternFill>
    </fill>
    <fill>
      <patternFill patternType="solid">
        <fgColor rgb="FFFFFF00"/>
        <bgColor theme="7"/>
      </patternFill>
    </fill>
    <fill>
      <patternFill patternType="solid">
        <fgColor rgb="FF002060"/>
        <bgColor indexed="64"/>
      </patternFill>
    </fill>
    <fill>
      <patternFill patternType="solid">
        <fgColor indexed="15"/>
        <bgColor indexed="64"/>
      </patternFill>
    </fill>
    <fill>
      <patternFill patternType="solid">
        <fgColor theme="0"/>
        <bgColor indexed="64"/>
      </patternFill>
    </fill>
    <fill>
      <patternFill patternType="solid">
        <fgColor rgb="FFC0C0C0"/>
        <bgColor indexed="64"/>
      </patternFill>
    </fill>
    <fill>
      <patternFill patternType="solid">
        <fgColor rgb="FFFF0066"/>
        <bgColor indexed="64"/>
      </patternFill>
    </fill>
    <fill>
      <patternFill patternType="solid">
        <fgColor rgb="FFFFFFFF"/>
        <bgColor indexed="64"/>
      </patternFill>
    </fill>
    <fill>
      <patternFill patternType="solid">
        <fgColor rgb="FFD8D8D8"/>
        <bgColor indexed="64"/>
      </patternFill>
    </fill>
    <fill>
      <patternFill patternType="solid">
        <fgColor theme="9"/>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rgb="FF00B0F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indexed="22"/>
        <bgColor indexed="64"/>
      </patternFill>
    </fill>
    <fill>
      <patternFill patternType="solid">
        <fgColor indexed="14"/>
        <bgColor indexed="64"/>
      </patternFill>
    </fill>
    <fill>
      <patternFill patternType="solid">
        <fgColor indexed="9"/>
        <bgColor indexed="64"/>
      </patternFill>
    </fill>
    <fill>
      <patternFill patternType="solid">
        <fgColor indexed="53"/>
        <bgColor indexed="64"/>
      </patternFill>
    </fill>
    <fill>
      <patternFill patternType="solid">
        <fgColor indexed="31"/>
        <bgColor indexed="64"/>
      </patternFill>
    </fill>
    <fill>
      <patternFill patternType="solid">
        <fgColor indexed="11"/>
        <bgColor indexed="64"/>
      </patternFill>
    </fill>
    <fill>
      <patternFill patternType="solid">
        <fgColor indexed="45"/>
        <bgColor indexed="64"/>
      </patternFill>
    </fill>
    <fill>
      <patternFill patternType="solid">
        <fgColor indexed="13"/>
        <bgColor indexed="64"/>
      </patternFill>
    </fill>
    <fill>
      <patternFill patternType="solid">
        <fgColor indexed="40"/>
        <bgColor indexed="64"/>
      </patternFill>
    </fill>
    <fill>
      <patternFill patternType="solid">
        <fgColor rgb="FF66CCFF"/>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rgb="FFF8F9FA"/>
        <bgColor indexed="64"/>
      </patternFill>
    </fill>
  </fills>
  <borders count="9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top/>
      <bottom style="thin">
        <color indexed="64"/>
      </bottom>
      <diagonal/>
    </border>
    <border>
      <left style="thin">
        <color indexed="64"/>
      </left>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right/>
      <top style="thin">
        <color indexed="64"/>
      </top>
      <bottom/>
      <diagonal/>
    </border>
    <border>
      <left/>
      <right/>
      <top/>
      <bottom style="thin">
        <color rgb="FF000000"/>
      </bottom>
      <diagonal/>
    </border>
    <border>
      <left style="medium">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right/>
      <top style="thin">
        <color rgb="FF000000"/>
      </top>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style="double">
        <color indexed="64"/>
      </top>
      <bottom/>
      <diagonal/>
    </border>
    <border>
      <left style="thin">
        <color indexed="64"/>
      </left>
      <right style="medium">
        <color indexed="64"/>
      </right>
      <top/>
      <bottom/>
      <diagonal/>
    </border>
    <border>
      <left style="thin">
        <color indexed="64"/>
      </left>
      <right style="medium">
        <color indexed="64"/>
      </right>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top/>
      <bottom style="double">
        <color indexed="64"/>
      </bottom>
      <diagonal/>
    </border>
    <border>
      <left style="medium">
        <color indexed="64"/>
      </left>
      <right style="thin">
        <color indexed="64"/>
      </right>
      <top/>
      <bottom/>
      <diagonal/>
    </border>
  </borders>
  <cellStyleXfs count="3">
    <xf numFmtId="0" fontId="0" fillId="0" borderId="0"/>
    <xf numFmtId="9" fontId="15" fillId="0" borderId="0" applyFont="0" applyFill="0" applyBorder="0" applyAlignment="0" applyProtection="0"/>
    <xf numFmtId="0" fontId="40" fillId="0" borderId="0" applyNumberFormat="0" applyFill="0" applyBorder="0" applyAlignment="0" applyProtection="0">
      <alignment vertical="top"/>
      <protection locked="0"/>
    </xf>
  </cellStyleXfs>
  <cellXfs count="714">
    <xf numFmtId="0" fontId="0" fillId="0" borderId="0" xfId="0" applyFont="1" applyAlignment="1"/>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3" fillId="2" borderId="1" xfId="0" applyFont="1" applyFill="1" applyBorder="1" applyAlignment="1">
      <alignment horizontal="left" vertical="center" wrapText="1"/>
    </xf>
    <xf numFmtId="14" fontId="3" fillId="2" borderId="1" xfId="0" applyNumberFormat="1" applyFont="1" applyFill="1" applyBorder="1" applyAlignment="1">
      <alignment horizontal="left" vertical="center"/>
    </xf>
    <xf numFmtId="0" fontId="3" fillId="2" borderId="1" xfId="0" applyFont="1" applyFill="1" applyBorder="1" applyAlignment="1">
      <alignment horizontal="left" vertical="center"/>
    </xf>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xf>
    <xf numFmtId="0" fontId="3" fillId="0" borderId="1" xfId="0" applyFont="1" applyBorder="1" applyAlignment="1">
      <alignment horizontal="left" vertical="center"/>
    </xf>
    <xf numFmtId="14" fontId="1" fillId="0" borderId="1" xfId="0" applyNumberFormat="1" applyFont="1" applyBorder="1" applyAlignment="1">
      <alignment horizontal="left" vertical="center"/>
    </xf>
    <xf numFmtId="0" fontId="1" fillId="2" borderId="1" xfId="0" applyFont="1" applyFill="1" applyBorder="1" applyAlignment="1">
      <alignment horizontal="left" vertical="center" wrapText="1"/>
    </xf>
    <xf numFmtId="14"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xf>
    <xf numFmtId="0" fontId="1" fillId="0" borderId="0" xfId="0" applyFont="1" applyBorder="1" applyAlignment="1">
      <alignment horizontal="left" vertical="center" wrapText="1"/>
    </xf>
    <xf numFmtId="0" fontId="0" fillId="0" borderId="1" xfId="0" applyFont="1" applyBorder="1" applyAlignment="1">
      <alignment horizontal="left" vertical="center"/>
    </xf>
    <xf numFmtId="0" fontId="0" fillId="0" borderId="0" xfId="0" applyFont="1" applyBorder="1" applyAlignment="1">
      <alignment horizontal="left" vertical="center"/>
    </xf>
    <xf numFmtId="14" fontId="0" fillId="0" borderId="0" xfId="0" applyNumberFormat="1" applyFont="1" applyBorder="1" applyAlignment="1">
      <alignment horizontal="left" vertical="center"/>
    </xf>
    <xf numFmtId="14" fontId="8" fillId="0" borderId="1" xfId="0" applyNumberFormat="1" applyFont="1" applyBorder="1" applyAlignment="1">
      <alignment horizontal="left" vertical="center"/>
    </xf>
    <xf numFmtId="0" fontId="6" fillId="3" borderId="1" xfId="0" applyFont="1" applyFill="1" applyBorder="1" applyAlignment="1">
      <alignment horizontal="center" vertical="center"/>
    </xf>
    <xf numFmtId="0" fontId="8" fillId="0" borderId="1" xfId="0" applyFont="1" applyBorder="1" applyAlignment="1">
      <alignment horizontal="left" vertical="center"/>
    </xf>
    <xf numFmtId="0" fontId="5" fillId="0" borderId="1" xfId="0" applyFont="1" applyBorder="1" applyAlignment="1">
      <alignment horizontal="left" vertical="center"/>
    </xf>
    <xf numFmtId="14" fontId="5" fillId="0" borderId="1" xfId="0" applyNumberFormat="1" applyFont="1" applyBorder="1" applyAlignment="1">
      <alignment horizontal="left" vertical="center"/>
    </xf>
    <xf numFmtId="0" fontId="8" fillId="0" borderId="1" xfId="0" applyFont="1" applyFill="1" applyBorder="1" applyAlignment="1">
      <alignment horizontal="left" vertical="center"/>
    </xf>
    <xf numFmtId="14" fontId="8" fillId="0" borderId="1" xfId="0" applyNumberFormat="1" applyFont="1" applyFill="1" applyBorder="1" applyAlignment="1">
      <alignment horizontal="left" vertical="center"/>
    </xf>
    <xf numFmtId="0" fontId="8" fillId="0" borderId="1" xfId="0" quotePrefix="1" applyFont="1" applyBorder="1" applyAlignment="1">
      <alignment horizontal="left" vertical="center"/>
    </xf>
    <xf numFmtId="0" fontId="8" fillId="0" borderId="0" xfId="0" applyFont="1" applyBorder="1" applyAlignment="1">
      <alignment horizontal="left" vertical="center"/>
    </xf>
    <xf numFmtId="14" fontId="6" fillId="4" borderId="1" xfId="0" applyNumberFormat="1" applyFont="1" applyFill="1" applyBorder="1" applyAlignment="1">
      <alignment horizontal="left" vertical="center"/>
    </xf>
    <xf numFmtId="0" fontId="6" fillId="3" borderId="1" xfId="0" applyFont="1" applyFill="1" applyBorder="1" applyAlignment="1">
      <alignment horizontal="left" vertical="center"/>
    </xf>
    <xf numFmtId="14" fontId="6" fillId="3" borderId="1" xfId="0" applyNumberFormat="1" applyFont="1" applyFill="1" applyBorder="1" applyAlignment="1">
      <alignment horizontal="left" vertical="center"/>
    </xf>
    <xf numFmtId="14" fontId="6" fillId="5" borderId="1" xfId="0" applyNumberFormat="1" applyFont="1" applyFill="1" applyBorder="1" applyAlignment="1">
      <alignment horizontal="left" vertical="center"/>
    </xf>
    <xf numFmtId="0" fontId="6" fillId="7" borderId="1" xfId="0" applyFont="1" applyFill="1" applyBorder="1" applyAlignment="1">
      <alignment horizontal="left" vertical="center"/>
    </xf>
    <xf numFmtId="14" fontId="6" fillId="7" borderId="1" xfId="0" applyNumberFormat="1" applyFont="1" applyFill="1" applyBorder="1" applyAlignment="1">
      <alignment horizontal="left" vertical="center"/>
    </xf>
    <xf numFmtId="0" fontId="9" fillId="0" borderId="0" xfId="0" applyFont="1" applyBorder="1" applyAlignment="1">
      <alignment horizontal="left" vertical="center"/>
    </xf>
    <xf numFmtId="14" fontId="8" fillId="0" borderId="0" xfId="0" applyNumberFormat="1" applyFont="1" applyBorder="1" applyAlignment="1">
      <alignment horizontal="left" vertical="center"/>
    </xf>
    <xf numFmtId="14" fontId="9" fillId="0" borderId="0" xfId="0" applyNumberFormat="1" applyFont="1" applyBorder="1" applyAlignment="1">
      <alignment horizontal="left" vertical="center"/>
    </xf>
    <xf numFmtId="0" fontId="7" fillId="3" borderId="1" xfId="0" applyFont="1" applyFill="1" applyBorder="1" applyAlignment="1">
      <alignment horizontal="left" vertical="center"/>
    </xf>
    <xf numFmtId="14" fontId="6" fillId="3" borderId="1" xfId="0" applyNumberFormat="1" applyFont="1" applyFill="1" applyBorder="1" applyAlignment="1">
      <alignment horizontal="center" vertical="center"/>
    </xf>
    <xf numFmtId="0" fontId="13" fillId="0" borderId="0" xfId="0" applyFont="1" applyAlignment="1">
      <alignment horizontal="center" vertical="center"/>
    </xf>
    <xf numFmtId="0" fontId="11"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3" xfId="0" applyFont="1" applyBorder="1" applyAlignment="1">
      <alignment horizontal="center" vertical="center"/>
    </xf>
    <xf numFmtId="0" fontId="12" fillId="8" borderId="15" xfId="0" applyFont="1" applyFill="1" applyBorder="1" applyAlignment="1">
      <alignment horizontal="center" vertical="center"/>
    </xf>
    <xf numFmtId="0" fontId="1" fillId="0" borderId="0" xfId="0" applyFont="1" applyBorder="1" applyAlignment="1">
      <alignment horizontal="left" vertical="center"/>
    </xf>
    <xf numFmtId="9" fontId="13" fillId="0" borderId="1" xfId="0" applyNumberFormat="1" applyFont="1" applyBorder="1" applyAlignment="1">
      <alignment horizontal="center" vertical="center"/>
    </xf>
    <xf numFmtId="0" fontId="9" fillId="0" borderId="1" xfId="0" applyFont="1" applyBorder="1" applyAlignment="1">
      <alignment horizontal="left" wrapText="1"/>
    </xf>
    <xf numFmtId="14" fontId="9" fillId="0" borderId="1" xfId="0" applyNumberFormat="1" applyFont="1" applyBorder="1" applyAlignment="1">
      <alignment horizontal="left" wrapText="1"/>
    </xf>
    <xf numFmtId="0" fontId="21" fillId="2" borderId="1" xfId="0" applyFont="1" applyFill="1" applyBorder="1" applyAlignment="1">
      <alignment horizontal="left" vertical="center" wrapText="1"/>
    </xf>
    <xf numFmtId="0" fontId="21" fillId="2" borderId="1" xfId="0" applyFont="1" applyFill="1" applyBorder="1" applyAlignment="1">
      <alignment horizontal="left" vertical="center"/>
    </xf>
    <xf numFmtId="14" fontId="21" fillId="2" borderId="1" xfId="0" applyNumberFormat="1" applyFont="1" applyFill="1" applyBorder="1" applyAlignment="1">
      <alignment horizontal="left" vertical="center"/>
    </xf>
    <xf numFmtId="0" fontId="0" fillId="0" borderId="1" xfId="0" applyBorder="1" applyAlignment="1">
      <alignment horizontal="left" vertical="center"/>
    </xf>
    <xf numFmtId="0" fontId="21" fillId="0" borderId="1" xfId="0" applyFont="1" applyBorder="1" applyAlignment="1">
      <alignment horizontal="left" vertical="center"/>
    </xf>
    <xf numFmtId="14" fontId="21" fillId="0" borderId="1" xfId="0" applyNumberFormat="1" applyFont="1" applyBorder="1" applyAlignment="1">
      <alignment horizontal="left" vertical="center"/>
    </xf>
    <xf numFmtId="0" fontId="21" fillId="0" borderId="1" xfId="0" quotePrefix="1" applyFont="1" applyBorder="1" applyAlignment="1">
      <alignment horizontal="left" vertical="center"/>
    </xf>
    <xf numFmtId="0" fontId="22" fillId="2" borderId="1" xfId="0" applyFont="1" applyFill="1" applyBorder="1" applyAlignment="1">
      <alignment horizontal="left" vertical="center"/>
    </xf>
    <xf numFmtId="0" fontId="16" fillId="0" borderId="0" xfId="0"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ill="1" applyBorder="1" applyAlignment="1">
      <alignment horizontal="left" vertical="center"/>
    </xf>
    <xf numFmtId="14" fontId="1" fillId="0" borderId="0" xfId="0" applyNumberFormat="1" applyFont="1" applyBorder="1" applyAlignment="1">
      <alignment horizontal="left" vertical="center"/>
    </xf>
    <xf numFmtId="0" fontId="2" fillId="2" borderId="7" xfId="0" applyFont="1" applyFill="1" applyBorder="1" applyAlignment="1">
      <alignment horizontal="left" vertical="center"/>
    </xf>
    <xf numFmtId="0" fontId="4" fillId="2" borderId="7" xfId="0" applyFont="1" applyFill="1" applyBorder="1" applyAlignment="1">
      <alignment horizontal="left" vertical="center"/>
    </xf>
    <xf numFmtId="0" fontId="20" fillId="2" borderId="7" xfId="0" applyFont="1" applyFill="1" applyBorder="1" applyAlignment="1">
      <alignment horizontal="left" vertical="center"/>
    </xf>
    <xf numFmtId="0" fontId="13" fillId="0" borderId="12" xfId="0" applyFont="1" applyBorder="1" applyAlignment="1">
      <alignment horizontal="center" vertical="center"/>
    </xf>
    <xf numFmtId="0" fontId="21" fillId="0" borderId="25" xfId="0" applyFont="1" applyBorder="1" applyAlignment="1">
      <alignment horizontal="left"/>
    </xf>
    <xf numFmtId="14" fontId="21" fillId="0" borderId="25" xfId="0" applyNumberFormat="1" applyFont="1" applyBorder="1" applyAlignment="1">
      <alignment horizontal="left"/>
    </xf>
    <xf numFmtId="0" fontId="0" fillId="0" borderId="0" xfId="0"/>
    <xf numFmtId="0" fontId="20" fillId="2" borderId="25" xfId="0" applyFont="1" applyFill="1" applyBorder="1" applyAlignment="1">
      <alignment horizontal="left"/>
    </xf>
    <xf numFmtId="14" fontId="20" fillId="2" borderId="25" xfId="0" applyNumberFormat="1" applyFont="1" applyFill="1" applyBorder="1" applyAlignment="1">
      <alignment horizontal="left"/>
    </xf>
    <xf numFmtId="0" fontId="21" fillId="0" borderId="29" xfId="0" applyFont="1" applyBorder="1" applyAlignment="1">
      <alignment horizontal="left"/>
    </xf>
    <xf numFmtId="14" fontId="21" fillId="0" borderId="29" xfId="0" applyNumberFormat="1" applyFont="1" applyBorder="1" applyAlignment="1">
      <alignment horizontal="left"/>
    </xf>
    <xf numFmtId="0" fontId="3" fillId="2" borderId="8" xfId="0" applyFont="1" applyFill="1" applyBorder="1" applyAlignment="1">
      <alignment horizontal="center" vertical="center"/>
    </xf>
    <xf numFmtId="0" fontId="3" fillId="0" borderId="8" xfId="0" applyFont="1" applyBorder="1" applyAlignment="1">
      <alignment horizontal="center" vertical="center"/>
    </xf>
    <xf numFmtId="0" fontId="1" fillId="0" borderId="8" xfId="0" applyFont="1" applyBorder="1" applyAlignment="1">
      <alignment horizontal="center" vertical="center"/>
    </xf>
    <xf numFmtId="0" fontId="1" fillId="2" borderId="8" xfId="0" applyFont="1" applyFill="1" applyBorder="1" applyAlignment="1">
      <alignment horizontal="center" vertical="center"/>
    </xf>
    <xf numFmtId="0" fontId="21" fillId="2" borderId="8" xfId="0" applyFont="1" applyFill="1" applyBorder="1" applyAlignment="1">
      <alignment horizontal="center" vertical="center"/>
    </xf>
    <xf numFmtId="0" fontId="21" fillId="0" borderId="8" xfId="0" applyFont="1" applyBorder="1" applyAlignment="1">
      <alignment horizontal="center" vertical="center"/>
    </xf>
    <xf numFmtId="0" fontId="22" fillId="2" borderId="8" xfId="0" applyFont="1" applyFill="1" applyBorder="1" applyAlignment="1">
      <alignment horizontal="center" vertical="center"/>
    </xf>
    <xf numFmtId="0" fontId="1" fillId="0" borderId="0" xfId="0" applyFont="1" applyBorder="1" applyAlignment="1">
      <alignment horizontal="center" vertical="center"/>
    </xf>
    <xf numFmtId="0" fontId="0" fillId="0" borderId="0" xfId="0" applyFont="1" applyBorder="1" applyAlignment="1">
      <alignment horizontal="center" vertical="center"/>
    </xf>
    <xf numFmtId="0" fontId="9" fillId="0" borderId="8" xfId="0" applyFont="1" applyBorder="1" applyAlignment="1">
      <alignment horizontal="center" vertical="center" wrapText="1"/>
    </xf>
    <xf numFmtId="0" fontId="21" fillId="0" borderId="30" xfId="0" applyFont="1" applyBorder="1" applyAlignment="1">
      <alignment horizontal="center" vertical="center"/>
    </xf>
    <xf numFmtId="0" fontId="21" fillId="0" borderId="27" xfId="0" applyFont="1" applyBorder="1" applyAlignment="1">
      <alignment horizontal="center" vertical="center"/>
    </xf>
    <xf numFmtId="0" fontId="20" fillId="2" borderId="27" xfId="0" applyFont="1" applyFill="1" applyBorder="1" applyAlignment="1">
      <alignment horizontal="center" vertical="center"/>
    </xf>
    <xf numFmtId="0" fontId="1" fillId="3" borderId="1" xfId="0" applyFont="1" applyFill="1" applyBorder="1" applyAlignment="1">
      <alignment horizontal="center" vertical="center" wrapText="1"/>
    </xf>
    <xf numFmtId="0" fontId="21" fillId="2" borderId="1" xfId="0" applyFont="1" applyFill="1" applyBorder="1" applyAlignment="1">
      <alignment horizontal="center" vertical="center"/>
    </xf>
    <xf numFmtId="0" fontId="21"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1" fillId="0" borderId="0" xfId="0" applyFont="1" applyBorder="1" applyAlignment="1">
      <alignment horizontal="center" vertical="center" wrapText="1"/>
    </xf>
    <xf numFmtId="0" fontId="0" fillId="0" borderId="0" xfId="0" applyBorder="1" applyAlignment="1">
      <alignment horizontal="center" vertical="center" wrapText="1"/>
    </xf>
    <xf numFmtId="0" fontId="20" fillId="2" borderId="25" xfId="0" applyFont="1" applyFill="1" applyBorder="1" applyAlignment="1">
      <alignment horizontal="center" vertical="center"/>
    </xf>
    <xf numFmtId="0" fontId="6" fillId="4" borderId="1" xfId="0" applyFont="1" applyFill="1" applyBorder="1" applyAlignment="1">
      <alignment horizontal="left" vertical="center"/>
    </xf>
    <xf numFmtId="0" fontId="6" fillId="5" borderId="1" xfId="0" applyFont="1" applyFill="1" applyBorder="1" applyAlignment="1">
      <alignment horizontal="left" vertical="center"/>
    </xf>
    <xf numFmtId="0" fontId="6" fillId="6" borderId="1" xfId="0" applyFont="1" applyFill="1" applyBorder="1" applyAlignment="1">
      <alignment horizontal="left" vertical="center"/>
    </xf>
    <xf numFmtId="0" fontId="21" fillId="0" borderId="34" xfId="0" applyFont="1" applyBorder="1" applyAlignment="1">
      <alignment horizontal="left"/>
    </xf>
    <xf numFmtId="14" fontId="21" fillId="0" borderId="34" xfId="0" applyNumberFormat="1" applyFont="1" applyBorder="1" applyAlignment="1">
      <alignment horizontal="left"/>
    </xf>
    <xf numFmtId="0" fontId="21" fillId="0" borderId="35" xfId="0" applyFont="1" applyBorder="1" applyAlignment="1">
      <alignment horizontal="center" vertical="center"/>
    </xf>
    <xf numFmtId="0" fontId="9" fillId="3" borderId="1" xfId="0" applyFont="1" applyFill="1" applyBorder="1" applyAlignment="1">
      <alignment horizontal="left" wrapText="1"/>
    </xf>
    <xf numFmtId="0" fontId="0" fillId="3" borderId="1" xfId="0" applyFont="1" applyFill="1" applyBorder="1" applyAlignment="1">
      <alignment horizontal="left" vertical="center"/>
    </xf>
    <xf numFmtId="14" fontId="9" fillId="3" borderId="1" xfId="0" applyNumberFormat="1" applyFont="1" applyFill="1" applyBorder="1" applyAlignment="1">
      <alignment horizontal="left" wrapText="1"/>
    </xf>
    <xf numFmtId="0" fontId="0" fillId="3" borderId="0" xfId="0" applyFont="1" applyFill="1" applyAlignment="1"/>
    <xf numFmtId="0" fontId="0" fillId="3" borderId="0" xfId="0" applyFont="1" applyFill="1" applyBorder="1" applyAlignment="1">
      <alignment horizontal="left" vertical="center"/>
    </xf>
    <xf numFmtId="0" fontId="7" fillId="3" borderId="1" xfId="0" applyFont="1" applyFill="1" applyBorder="1" applyAlignment="1">
      <alignment horizontal="left" wrapText="1"/>
    </xf>
    <xf numFmtId="14" fontId="7" fillId="3" borderId="1" xfId="0" applyNumberFormat="1" applyFont="1" applyFill="1" applyBorder="1" applyAlignment="1">
      <alignment horizontal="left" wrapText="1"/>
    </xf>
    <xf numFmtId="0" fontId="7" fillId="3" borderId="0" xfId="0" applyFont="1" applyFill="1" applyAlignment="1"/>
    <xf numFmtId="0" fontId="7" fillId="3" borderId="0" xfId="0" applyFont="1" applyFill="1" applyBorder="1" applyAlignment="1">
      <alignment horizontal="left" vertical="center"/>
    </xf>
    <xf numFmtId="0" fontId="20" fillId="2" borderId="26" xfId="0" applyFont="1" applyFill="1" applyBorder="1" applyAlignment="1">
      <alignment horizontal="left" vertical="center"/>
    </xf>
    <xf numFmtId="0" fontId="9" fillId="0" borderId="16" xfId="0" applyFont="1" applyBorder="1" applyAlignment="1">
      <alignment horizontal="left" wrapText="1"/>
    </xf>
    <xf numFmtId="14" fontId="9" fillId="0" borderId="16" xfId="0" applyNumberFormat="1" applyFont="1" applyBorder="1" applyAlignment="1">
      <alignment horizontal="left" wrapText="1"/>
    </xf>
    <xf numFmtId="0" fontId="24" fillId="0" borderId="0" xfId="0" applyFont="1" applyAlignment="1"/>
    <xf numFmtId="0" fontId="8" fillId="0" borderId="16" xfId="0" applyFont="1" applyBorder="1" applyAlignment="1">
      <alignment horizontal="left" vertical="center"/>
    </xf>
    <xf numFmtId="14" fontId="8" fillId="0" borderId="16" xfId="0" applyNumberFormat="1" applyFont="1" applyBorder="1" applyAlignment="1">
      <alignment horizontal="left" vertical="center"/>
    </xf>
    <xf numFmtId="0" fontId="6" fillId="3" borderId="7" xfId="0" applyFont="1" applyFill="1" applyBorder="1" applyAlignment="1">
      <alignment horizontal="left" vertical="center"/>
    </xf>
    <xf numFmtId="0" fontId="6" fillId="3" borderId="8" xfId="0" applyFont="1" applyFill="1" applyBorder="1" applyAlignment="1">
      <alignment horizontal="center" vertical="center"/>
    </xf>
    <xf numFmtId="0" fontId="8" fillId="0" borderId="8" xfId="0" applyFont="1" applyBorder="1" applyAlignment="1">
      <alignment horizontal="left" vertical="center"/>
    </xf>
    <xf numFmtId="164" fontId="6" fillId="4" borderId="7" xfId="0" applyNumberFormat="1" applyFont="1" applyFill="1" applyBorder="1" applyAlignment="1">
      <alignment horizontal="left" vertical="center"/>
    </xf>
    <xf numFmtId="0" fontId="6" fillId="4" borderId="8" xfId="0" applyFont="1" applyFill="1" applyBorder="1" applyAlignment="1">
      <alignment horizontal="left" vertical="center"/>
    </xf>
    <xf numFmtId="164" fontId="6" fillId="3" borderId="7" xfId="0" applyNumberFormat="1" applyFont="1" applyFill="1" applyBorder="1" applyAlignment="1">
      <alignment horizontal="left" vertical="center"/>
    </xf>
    <xf numFmtId="0" fontId="6" fillId="3" borderId="8" xfId="0" applyFont="1" applyFill="1" applyBorder="1" applyAlignment="1">
      <alignment horizontal="left" vertical="center"/>
    </xf>
    <xf numFmtId="0" fontId="5" fillId="0" borderId="8" xfId="0" applyFont="1" applyBorder="1" applyAlignment="1">
      <alignment horizontal="left" vertical="center"/>
    </xf>
    <xf numFmtId="0" fontId="6" fillId="5" borderId="8" xfId="0" applyFont="1" applyFill="1" applyBorder="1" applyAlignment="1">
      <alignment horizontal="left" vertical="center"/>
    </xf>
    <xf numFmtId="0" fontId="6" fillId="6" borderId="8" xfId="0" applyFont="1" applyFill="1" applyBorder="1" applyAlignment="1">
      <alignment horizontal="left" vertical="center"/>
    </xf>
    <xf numFmtId="0" fontId="8" fillId="0" borderId="40" xfId="0" applyFont="1" applyBorder="1" applyAlignment="1">
      <alignment horizontal="left" vertical="center"/>
    </xf>
    <xf numFmtId="164" fontId="6" fillId="7" borderId="7" xfId="0" applyNumberFormat="1" applyFont="1" applyFill="1" applyBorder="1" applyAlignment="1">
      <alignment horizontal="left" vertical="center"/>
    </xf>
    <xf numFmtId="164" fontId="6" fillId="7" borderId="8" xfId="0" applyNumberFormat="1" applyFont="1" applyFill="1" applyBorder="1" applyAlignment="1">
      <alignment horizontal="left" vertical="center"/>
    </xf>
    <xf numFmtId="0" fontId="8" fillId="0" borderId="8" xfId="0" applyFont="1" applyFill="1" applyBorder="1" applyAlignment="1">
      <alignment horizontal="left" vertical="center"/>
    </xf>
    <xf numFmtId="164" fontId="6" fillId="5" borderId="7" xfId="0" applyNumberFormat="1" applyFont="1" applyFill="1" applyBorder="1" applyAlignment="1">
      <alignment horizontal="left" vertical="center"/>
    </xf>
    <xf numFmtId="0" fontId="25" fillId="0" borderId="0" xfId="0" applyFont="1" applyAlignment="1"/>
    <xf numFmtId="0" fontId="6" fillId="4" borderId="7" xfId="0" applyFont="1" applyFill="1" applyBorder="1" applyAlignment="1">
      <alignment vertical="center"/>
    </xf>
    <xf numFmtId="0" fontId="10" fillId="3" borderId="1" xfId="0" applyFont="1" applyFill="1" applyBorder="1" applyAlignment="1">
      <alignment vertical="center"/>
    </xf>
    <xf numFmtId="0" fontId="6" fillId="5" borderId="7" xfId="0" applyFont="1" applyFill="1" applyBorder="1" applyAlignment="1">
      <alignment vertical="center"/>
    </xf>
    <xf numFmtId="0" fontId="6" fillId="6" borderId="7" xfId="0" applyFont="1" applyFill="1" applyBorder="1" applyAlignment="1">
      <alignment vertical="center"/>
    </xf>
    <xf numFmtId="0" fontId="8" fillId="0" borderId="7" xfId="0" applyFont="1" applyBorder="1" applyAlignment="1">
      <alignment horizontal="left" vertical="center"/>
    </xf>
    <xf numFmtId="0" fontId="5" fillId="0" borderId="7" xfId="0" applyFont="1" applyBorder="1" applyAlignment="1">
      <alignment horizontal="left" vertical="center"/>
    </xf>
    <xf numFmtId="0" fontId="8" fillId="0" borderId="7" xfId="0" applyFont="1" applyFill="1" applyBorder="1" applyAlignment="1">
      <alignment horizontal="left" vertical="center"/>
    </xf>
    <xf numFmtId="0" fontId="8" fillId="0" borderId="15" xfId="0" applyFont="1" applyBorder="1" applyAlignment="1">
      <alignment horizontal="left" vertical="center"/>
    </xf>
    <xf numFmtId="0" fontId="3" fillId="0" borderId="7" xfId="0" applyFont="1" applyBorder="1" applyAlignment="1">
      <alignment horizontal="left" vertical="center" wrapText="1"/>
    </xf>
    <xf numFmtId="0" fontId="1" fillId="0" borderId="7" xfId="0" applyFont="1" applyBorder="1" applyAlignment="1">
      <alignment horizontal="left" vertical="center" wrapText="1"/>
    </xf>
    <xf numFmtId="0" fontId="1" fillId="0" borderId="7" xfId="0" applyFont="1" applyBorder="1" applyAlignment="1">
      <alignment horizontal="left" vertical="center"/>
    </xf>
    <xf numFmtId="0" fontId="9" fillId="0" borderId="7" xfId="0" applyFont="1" applyBorder="1" applyAlignment="1">
      <alignment horizontal="left" wrapText="1"/>
    </xf>
    <xf numFmtId="0" fontId="21" fillId="0" borderId="7" xfId="0" applyFont="1" applyBorder="1" applyAlignment="1">
      <alignment horizontal="left" vertical="center"/>
    </xf>
    <xf numFmtId="0" fontId="21" fillId="0" borderId="28" xfId="0" applyFont="1" applyBorder="1" applyAlignment="1">
      <alignment horizontal="left"/>
    </xf>
    <xf numFmtId="0" fontId="21" fillId="0" borderId="26" xfId="0" applyFont="1" applyBorder="1" applyAlignment="1">
      <alignment horizontal="left"/>
    </xf>
    <xf numFmtId="0" fontId="21" fillId="0" borderId="33" xfId="0" applyFont="1" applyBorder="1" applyAlignment="1">
      <alignment horizontal="left"/>
    </xf>
    <xf numFmtId="0" fontId="9" fillId="0" borderId="8" xfId="0" applyFont="1" applyBorder="1" applyAlignment="1">
      <alignment horizontal="left" wrapText="1"/>
    </xf>
    <xf numFmtId="22" fontId="7" fillId="3" borderId="7" xfId="0" applyNumberFormat="1" applyFont="1" applyFill="1" applyBorder="1" applyAlignment="1">
      <alignment horizontal="left" vertical="center" wrapText="1"/>
    </xf>
    <xf numFmtId="0" fontId="7" fillId="3" borderId="8" xfId="0" applyFont="1" applyFill="1" applyBorder="1" applyAlignment="1">
      <alignment horizontal="left" wrapText="1"/>
    </xf>
    <xf numFmtId="0" fontId="9" fillId="3" borderId="8" xfId="0" applyFont="1" applyFill="1" applyBorder="1" applyAlignment="1">
      <alignment horizontal="left" wrapText="1"/>
    </xf>
    <xf numFmtId="0" fontId="9" fillId="0" borderId="15" xfId="0" applyFont="1" applyBorder="1" applyAlignment="1">
      <alignment horizontal="left" wrapText="1"/>
    </xf>
    <xf numFmtId="0" fontId="9" fillId="0" borderId="40" xfId="0" applyFont="1" applyBorder="1" applyAlignment="1">
      <alignment horizontal="left" wrapText="1"/>
    </xf>
    <xf numFmtId="0" fontId="1" fillId="3" borderId="4" xfId="0" applyFont="1" applyFill="1" applyBorder="1" applyAlignment="1">
      <alignment horizontal="center" vertical="center" wrapText="1"/>
    </xf>
    <xf numFmtId="0" fontId="23" fillId="0" borderId="0" xfId="0" applyFont="1" applyFill="1" applyBorder="1" applyAlignment="1">
      <alignment horizontal="left" vertical="center"/>
    </xf>
    <xf numFmtId="0" fontId="26" fillId="0" borderId="0" xfId="0" applyFont="1" applyAlignment="1">
      <alignment horizontal="center" wrapText="1"/>
    </xf>
    <xf numFmtId="0" fontId="9" fillId="0" borderId="1" xfId="0" applyFont="1" applyBorder="1" applyAlignment="1">
      <alignment horizontal="left" vertical="center" wrapText="1"/>
    </xf>
    <xf numFmtId="14" fontId="9" fillId="0" borderId="1" xfId="0" applyNumberFormat="1" applyFont="1" applyBorder="1" applyAlignment="1">
      <alignment horizontal="left" vertical="center" wrapText="1"/>
    </xf>
    <xf numFmtId="20" fontId="9" fillId="0" borderId="1" xfId="0" applyNumberFormat="1" applyFont="1" applyBorder="1" applyAlignment="1">
      <alignment horizontal="left" vertical="center" wrapText="1"/>
    </xf>
    <xf numFmtId="0" fontId="3" fillId="2" borderId="1" xfId="0" applyFont="1" applyFill="1" applyBorder="1" applyAlignment="1">
      <alignment horizontal="center" vertical="center"/>
    </xf>
    <xf numFmtId="0" fontId="2" fillId="2" borderId="7" xfId="0" applyFont="1" applyFill="1" applyBorder="1" applyAlignment="1">
      <alignment horizontal="left" vertical="center" wrapText="1"/>
    </xf>
    <xf numFmtId="0" fontId="9" fillId="0" borderId="7" xfId="0" applyFont="1" applyBorder="1" applyAlignment="1">
      <alignment horizontal="left" vertical="center" wrapText="1"/>
    </xf>
    <xf numFmtId="0" fontId="12" fillId="8" borderId="16" xfId="0" applyFont="1" applyFill="1" applyBorder="1" applyAlignment="1">
      <alignment horizontal="center" vertical="center"/>
    </xf>
    <xf numFmtId="0" fontId="13" fillId="0" borderId="41" xfId="0" applyFont="1" applyBorder="1" applyAlignment="1">
      <alignment horizontal="center" vertical="center"/>
    </xf>
    <xf numFmtId="1" fontId="13" fillId="0" borderId="14" xfId="0" applyNumberFormat="1" applyFont="1" applyBorder="1" applyAlignment="1">
      <alignment horizontal="center" vertical="center"/>
    </xf>
    <xf numFmtId="0" fontId="12" fillId="8" borderId="24" xfId="0" applyFont="1" applyFill="1" applyBorder="1" applyAlignment="1">
      <alignment horizontal="center" vertical="center"/>
    </xf>
    <xf numFmtId="0" fontId="13" fillId="0" borderId="46" xfId="0" applyFont="1" applyBorder="1" applyAlignment="1">
      <alignment horizontal="center" vertical="center"/>
    </xf>
    <xf numFmtId="0" fontId="12" fillId="8" borderId="47" xfId="0" applyFont="1" applyFill="1" applyBorder="1" applyAlignment="1">
      <alignment horizontal="center" vertical="center"/>
    </xf>
    <xf numFmtId="0" fontId="12" fillId="8" borderId="48" xfId="0" applyFont="1" applyFill="1" applyBorder="1" applyAlignment="1">
      <alignment horizontal="center" vertical="center" wrapText="1"/>
    </xf>
    <xf numFmtId="3" fontId="13" fillId="0" borderId="12" xfId="0" applyNumberFormat="1" applyFont="1" applyBorder="1" applyAlignment="1">
      <alignment horizontal="center" vertical="center"/>
    </xf>
    <xf numFmtId="9" fontId="13" fillId="0" borderId="0" xfId="0" applyNumberFormat="1" applyFont="1" applyAlignment="1">
      <alignment horizontal="center" vertical="center"/>
    </xf>
    <xf numFmtId="9" fontId="13" fillId="0" borderId="8" xfId="1" applyFont="1" applyBorder="1" applyAlignment="1">
      <alignment horizontal="center" vertical="center"/>
    </xf>
    <xf numFmtId="9" fontId="13" fillId="0" borderId="41" xfId="0" applyNumberFormat="1" applyFont="1" applyBorder="1" applyAlignment="1">
      <alignment horizontal="center" vertical="center"/>
    </xf>
    <xf numFmtId="9" fontId="13" fillId="8" borderId="41" xfId="0" applyNumberFormat="1" applyFont="1" applyFill="1" applyBorder="1" applyAlignment="1">
      <alignment horizontal="center" vertical="center"/>
    </xf>
    <xf numFmtId="0" fontId="13" fillId="8" borderId="45" xfId="0" applyFont="1" applyFill="1" applyBorder="1" applyAlignment="1">
      <alignment horizontal="center" vertical="center"/>
    </xf>
    <xf numFmtId="9" fontId="13" fillId="0" borderId="0" xfId="1" applyFont="1" applyAlignment="1">
      <alignment horizontal="center" vertical="center"/>
    </xf>
    <xf numFmtId="9" fontId="13" fillId="0" borderId="13" xfId="1" applyFont="1" applyBorder="1" applyAlignment="1">
      <alignment horizontal="center" vertical="center"/>
    </xf>
    <xf numFmtId="0" fontId="13" fillId="8" borderId="13" xfId="0" applyFont="1" applyFill="1" applyBorder="1" applyAlignment="1">
      <alignment horizontal="center" vertical="center"/>
    </xf>
    <xf numFmtId="0" fontId="13" fillId="8" borderId="14" xfId="0" applyFont="1" applyFill="1" applyBorder="1" applyAlignment="1">
      <alignment horizontal="center" vertical="center"/>
    </xf>
    <xf numFmtId="9" fontId="13" fillId="0" borderId="1" xfId="1" applyNumberFormat="1" applyFont="1" applyBorder="1" applyAlignment="1">
      <alignment horizontal="center" vertical="center"/>
    </xf>
    <xf numFmtId="0" fontId="9" fillId="0" borderId="1" xfId="0" applyFont="1" applyBorder="1" applyAlignment="1">
      <alignment wrapText="1"/>
    </xf>
    <xf numFmtId="0" fontId="9" fillId="0" borderId="7" xfId="0" applyFont="1" applyBorder="1" applyAlignment="1">
      <alignment wrapText="1"/>
    </xf>
    <xf numFmtId="0" fontId="0" fillId="0" borderId="0" xfId="0" applyFont="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xf numFmtId="0" fontId="12" fillId="8" borderId="8"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2" fillId="8" borderId="49" xfId="0" applyFont="1" applyFill="1" applyBorder="1" applyAlignment="1">
      <alignment horizontal="center" vertical="center"/>
    </xf>
    <xf numFmtId="0" fontId="12" fillId="8" borderId="41" xfId="0" applyFont="1" applyFill="1" applyBorder="1" applyAlignment="1">
      <alignment horizontal="center" vertical="center"/>
    </xf>
    <xf numFmtId="0" fontId="12" fillId="8" borderId="1" xfId="0" applyFont="1" applyFill="1" applyBorder="1" applyAlignment="1">
      <alignment horizontal="center" vertical="center"/>
    </xf>
    <xf numFmtId="0" fontId="12" fillId="8" borderId="7" xfId="0" applyFont="1" applyFill="1" applyBorder="1" applyAlignment="1">
      <alignment horizontal="center" vertical="center"/>
    </xf>
    <xf numFmtId="0" fontId="30" fillId="0" borderId="0" xfId="0" applyFont="1" applyAlignment="1">
      <alignment horizontal="center"/>
    </xf>
    <xf numFmtId="0" fontId="30" fillId="10" borderId="1" xfId="0" applyFont="1" applyFill="1" applyBorder="1" applyAlignment="1">
      <alignment horizontal="center"/>
    </xf>
    <xf numFmtId="20" fontId="30" fillId="10" borderId="1" xfId="0" applyNumberFormat="1" applyFont="1" applyFill="1" applyBorder="1" applyAlignment="1">
      <alignment horizontal="center"/>
    </xf>
    <xf numFmtId="0" fontId="30" fillId="3" borderId="1" xfId="0" applyFont="1" applyFill="1" applyBorder="1" applyAlignment="1">
      <alignment horizontal="center"/>
    </xf>
    <xf numFmtId="16" fontId="30" fillId="10" borderId="1" xfId="0" applyNumberFormat="1" applyFont="1" applyFill="1" applyBorder="1" applyAlignment="1">
      <alignment horizontal="center"/>
    </xf>
    <xf numFmtId="0" fontId="31" fillId="10" borderId="1" xfId="0" applyFont="1" applyFill="1" applyBorder="1" applyAlignment="1">
      <alignment horizontal="center"/>
    </xf>
    <xf numFmtId="0" fontId="30" fillId="10" borderId="0" xfId="0" applyFont="1" applyFill="1" applyAlignment="1">
      <alignment horizontal="center"/>
    </xf>
    <xf numFmtId="20" fontId="31" fillId="10" borderId="1" xfId="0" applyNumberFormat="1" applyFont="1" applyFill="1" applyBorder="1" applyAlignment="1">
      <alignment horizontal="center"/>
    </xf>
    <xf numFmtId="0" fontId="31" fillId="3" borderId="1" xfId="0" applyFont="1" applyFill="1" applyBorder="1" applyAlignment="1">
      <alignment horizontal="center"/>
    </xf>
    <xf numFmtId="49" fontId="31" fillId="10" borderId="1" xfId="0" applyNumberFormat="1" applyFont="1" applyFill="1" applyBorder="1" applyAlignment="1">
      <alignment horizontal="center"/>
    </xf>
    <xf numFmtId="0" fontId="31" fillId="10" borderId="1" xfId="0" applyFont="1" applyFill="1" applyBorder="1"/>
    <xf numFmtId="49" fontId="30" fillId="10" borderId="1" xfId="0" applyNumberFormat="1" applyFont="1" applyFill="1" applyBorder="1" applyAlignment="1">
      <alignment horizontal="center"/>
    </xf>
    <xf numFmtId="17" fontId="30" fillId="10" borderId="1" xfId="0" applyNumberFormat="1" applyFont="1" applyFill="1" applyBorder="1" applyAlignment="1">
      <alignment horizontal="center"/>
    </xf>
    <xf numFmtId="49" fontId="30" fillId="10" borderId="1" xfId="0" applyNumberFormat="1" applyFont="1" applyFill="1" applyBorder="1"/>
    <xf numFmtId="49" fontId="30" fillId="10" borderId="1" xfId="0" applyNumberFormat="1" applyFont="1" applyFill="1" applyBorder="1" applyAlignment="1">
      <alignment horizontal="left"/>
    </xf>
    <xf numFmtId="0" fontId="30" fillId="10" borderId="1" xfId="0" applyFont="1" applyFill="1" applyBorder="1" applyAlignment="1">
      <alignment horizontal="left"/>
    </xf>
    <xf numFmtId="3" fontId="30" fillId="10" borderId="1" xfId="0" applyNumberFormat="1" applyFont="1" applyFill="1" applyBorder="1" applyAlignment="1">
      <alignment horizontal="left"/>
    </xf>
    <xf numFmtId="0" fontId="31" fillId="10" borderId="1" xfId="0" applyFont="1" applyFill="1" applyBorder="1" applyAlignment="1">
      <alignment vertical="center"/>
    </xf>
    <xf numFmtId="0" fontId="30" fillId="0" borderId="1" xfId="0" applyFont="1" applyBorder="1" applyAlignment="1">
      <alignment horizontal="center"/>
    </xf>
    <xf numFmtId="0" fontId="31" fillId="10" borderId="1" xfId="0" applyFont="1" applyFill="1" applyBorder="1" applyAlignment="1">
      <alignment horizontal="right" vertical="center"/>
    </xf>
    <xf numFmtId="0" fontId="31" fillId="10" borderId="1" xfId="0" applyFont="1" applyFill="1" applyBorder="1" applyAlignment="1">
      <alignment horizontal="left" vertical="justify"/>
    </xf>
    <xf numFmtId="49" fontId="31" fillId="10" borderId="1" xfId="0" applyNumberFormat="1" applyFont="1" applyFill="1" applyBorder="1" applyAlignment="1">
      <alignment horizontal="right" vertical="center"/>
    </xf>
    <xf numFmtId="0" fontId="31" fillId="10" borderId="1" xfId="0" applyFont="1" applyFill="1" applyBorder="1" applyAlignment="1">
      <alignment horizontal="left" vertical="center"/>
    </xf>
    <xf numFmtId="0" fontId="30" fillId="3" borderId="0" xfId="0" applyFont="1" applyFill="1" applyAlignment="1">
      <alignment horizontal="center"/>
    </xf>
    <xf numFmtId="49" fontId="30" fillId="10" borderId="0" xfId="0" applyNumberFormat="1" applyFont="1" applyFill="1" applyAlignment="1">
      <alignment horizontal="right"/>
    </xf>
    <xf numFmtId="0" fontId="30" fillId="10" borderId="1" xfId="0" applyFont="1" applyFill="1" applyBorder="1" applyAlignment="1">
      <alignment horizontal="right"/>
    </xf>
    <xf numFmtId="0" fontId="31" fillId="10" borderId="1" xfId="0" applyFont="1" applyFill="1" applyBorder="1" applyAlignment="1">
      <alignment horizontal="center" vertical="center"/>
    </xf>
    <xf numFmtId="16" fontId="31" fillId="10" borderId="1" xfId="0" applyNumberFormat="1" applyFont="1" applyFill="1" applyBorder="1" applyAlignment="1">
      <alignment horizontal="center" vertical="center"/>
    </xf>
    <xf numFmtId="0" fontId="32" fillId="10" borderId="1" xfId="0" applyFont="1" applyFill="1" applyBorder="1" applyAlignment="1">
      <alignment horizontal="center"/>
    </xf>
    <xf numFmtId="20" fontId="30" fillId="10" borderId="0" xfId="0" applyNumberFormat="1" applyFont="1" applyFill="1" applyAlignment="1">
      <alignment horizontal="center"/>
    </xf>
    <xf numFmtId="0" fontId="31" fillId="10" borderId="0" xfId="0" applyFont="1" applyFill="1" applyAlignment="1">
      <alignment horizontal="center" vertical="center"/>
    </xf>
    <xf numFmtId="0" fontId="30" fillId="10" borderId="0" xfId="0" applyFont="1" applyFill="1" applyAlignment="1">
      <alignment horizontal="left"/>
    </xf>
    <xf numFmtId="14" fontId="30" fillId="10" borderId="0" xfId="0" applyNumberFormat="1" applyFont="1" applyFill="1" applyAlignment="1">
      <alignment horizontal="center"/>
    </xf>
    <xf numFmtId="16" fontId="30" fillId="10" borderId="0" xfId="0" applyNumberFormat="1" applyFont="1" applyFill="1" applyAlignment="1">
      <alignment horizontal="center"/>
    </xf>
    <xf numFmtId="0" fontId="0" fillId="0" borderId="61" xfId="0" applyBorder="1"/>
    <xf numFmtId="0" fontId="0" fillId="0" borderId="62" xfId="0" applyBorder="1"/>
    <xf numFmtId="0" fontId="35" fillId="11" borderId="1" xfId="0" applyFont="1" applyFill="1" applyBorder="1" applyAlignment="1">
      <alignment horizontal="center" vertical="center"/>
    </xf>
    <xf numFmtId="0" fontId="36" fillId="11" borderId="1" xfId="0" applyFont="1" applyFill="1" applyBorder="1" applyAlignment="1">
      <alignment horizontal="center" vertical="center"/>
    </xf>
    <xf numFmtId="0" fontId="36" fillId="11" borderId="1" xfId="0" applyFont="1" applyFill="1" applyBorder="1" applyAlignment="1">
      <alignment horizontal="center" vertical="center" wrapText="1"/>
    </xf>
    <xf numFmtId="0" fontId="37" fillId="11" borderId="1" xfId="0" applyFont="1" applyFill="1" applyBorder="1" applyAlignment="1">
      <alignment horizontal="center" vertical="center"/>
    </xf>
    <xf numFmtId="0" fontId="36" fillId="11" borderId="61" xfId="0" applyFont="1" applyFill="1" applyBorder="1" applyAlignment="1">
      <alignment horizontal="center" vertical="center" wrapText="1"/>
    </xf>
    <xf numFmtId="0" fontId="35" fillId="12" borderId="1" xfId="0" applyFont="1" applyFill="1" applyBorder="1" applyAlignment="1">
      <alignment horizontal="center"/>
    </xf>
    <xf numFmtId="0" fontId="0" fillId="12" borderId="0" xfId="0" applyFill="1"/>
    <xf numFmtId="0" fontId="38" fillId="13" borderId="1" xfId="0" applyFont="1" applyFill="1" applyBorder="1" applyAlignment="1">
      <alignment horizontal="center" vertical="center"/>
    </xf>
    <xf numFmtId="0" fontId="38" fillId="13" borderId="1" xfId="0" applyFont="1" applyFill="1" applyBorder="1" applyAlignment="1">
      <alignment vertical="center"/>
    </xf>
    <xf numFmtId="0" fontId="39" fillId="13" borderId="1" xfId="0" applyFont="1" applyFill="1" applyBorder="1" applyAlignment="1">
      <alignment horizontal="center" vertical="center"/>
    </xf>
    <xf numFmtId="0" fontId="37" fillId="14" borderId="1" xfId="0" applyFont="1" applyFill="1" applyBorder="1" applyAlignment="1">
      <alignment horizontal="center" vertical="center"/>
    </xf>
    <xf numFmtId="0" fontId="40" fillId="0" borderId="0" xfId="2" applyAlignment="1" applyProtection="1"/>
    <xf numFmtId="0" fontId="9" fillId="13" borderId="1" xfId="0" applyFont="1" applyFill="1" applyBorder="1" applyAlignment="1">
      <alignment horizontal="center" vertical="center"/>
    </xf>
    <xf numFmtId="0" fontId="35" fillId="13" borderId="1" xfId="0" applyFont="1" applyFill="1" applyBorder="1" applyAlignment="1">
      <alignment vertical="center"/>
    </xf>
    <xf numFmtId="0" fontId="36" fillId="13" borderId="1" xfId="0" applyFont="1" applyFill="1" applyBorder="1" applyAlignment="1">
      <alignment horizontal="center" vertical="center"/>
    </xf>
    <xf numFmtId="0" fontId="7" fillId="15" borderId="1" xfId="0" applyFont="1" applyFill="1" applyBorder="1" applyAlignment="1">
      <alignment horizontal="center" vertical="center"/>
    </xf>
    <xf numFmtId="0" fontId="35" fillId="15" borderId="1" xfId="0" applyFont="1" applyFill="1" applyBorder="1" applyAlignment="1">
      <alignment vertical="center"/>
    </xf>
    <xf numFmtId="0" fontId="38" fillId="13" borderId="1" xfId="0" applyFont="1" applyFill="1" applyBorder="1" applyAlignment="1">
      <alignment vertical="center" wrapText="1"/>
    </xf>
    <xf numFmtId="0" fontId="0" fillId="0" borderId="1" xfId="0" applyBorder="1" applyAlignment="1">
      <alignment vertical="center"/>
    </xf>
    <xf numFmtId="0" fontId="28" fillId="16" borderId="1" xfId="0" applyFont="1" applyFill="1" applyBorder="1" applyAlignment="1">
      <alignment horizontal="center" vertical="center"/>
    </xf>
    <xf numFmtId="0" fontId="28" fillId="16" borderId="1" xfId="0" applyFont="1" applyFill="1" applyBorder="1" applyAlignment="1">
      <alignment vertical="center"/>
    </xf>
    <xf numFmtId="0" fontId="0" fillId="0" borderId="1" xfId="0" applyBorder="1" applyAlignment="1">
      <alignment horizontal="center" vertical="center"/>
    </xf>
    <xf numFmtId="0" fontId="28" fillId="17" borderId="1" xfId="0" applyFont="1" applyFill="1" applyBorder="1" applyAlignment="1">
      <alignment horizontal="center" vertical="center"/>
    </xf>
    <xf numFmtId="0" fontId="28" fillId="17" borderId="1" xfId="0" applyFont="1" applyFill="1" applyBorder="1" applyAlignment="1">
      <alignment vertical="center"/>
    </xf>
    <xf numFmtId="0" fontId="28" fillId="18" borderId="1" xfId="0" applyFont="1" applyFill="1" applyBorder="1" applyAlignment="1">
      <alignment horizontal="center" vertical="center"/>
    </xf>
    <xf numFmtId="0" fontId="28" fillId="18" borderId="1" xfId="0" applyFont="1" applyFill="1" applyBorder="1" applyAlignment="1">
      <alignment vertical="center"/>
    </xf>
    <xf numFmtId="0" fontId="27" fillId="0" borderId="1" xfId="0" applyFont="1" applyBorder="1" applyAlignment="1">
      <alignment vertical="center"/>
    </xf>
    <xf numFmtId="0" fontId="41" fillId="13" borderId="1" xfId="0" applyFont="1" applyFill="1" applyBorder="1" applyAlignment="1">
      <alignment horizontal="center" vertical="center"/>
    </xf>
    <xf numFmtId="0" fontId="28" fillId="3" borderId="1" xfId="0" applyFont="1" applyFill="1" applyBorder="1" applyAlignment="1">
      <alignment horizontal="center" vertical="center"/>
    </xf>
    <xf numFmtId="0" fontId="28" fillId="3" borderId="1" xfId="0" applyFont="1" applyFill="1" applyBorder="1" applyAlignment="1">
      <alignment vertical="center"/>
    </xf>
    <xf numFmtId="0" fontId="42" fillId="0" borderId="1" xfId="0" applyFont="1" applyBorder="1" applyAlignment="1">
      <alignment horizontal="center" vertical="center"/>
    </xf>
    <xf numFmtId="0" fontId="0" fillId="19" borderId="1" xfId="0" applyFill="1" applyBorder="1" applyAlignment="1">
      <alignment horizontal="center" vertical="center"/>
    </xf>
    <xf numFmtId="0" fontId="25" fillId="19" borderId="1" xfId="0" applyFont="1" applyFill="1" applyBorder="1" applyAlignment="1">
      <alignment horizontal="center" vertical="center"/>
    </xf>
    <xf numFmtId="0" fontId="34" fillId="19" borderId="1" xfId="0" applyFont="1" applyFill="1" applyBorder="1" applyAlignment="1">
      <alignment horizontal="center" vertical="center"/>
    </xf>
    <xf numFmtId="0" fontId="0" fillId="0" borderId="53" xfId="0" applyBorder="1"/>
    <xf numFmtId="0" fontId="0" fillId="3" borderId="0" xfId="0" applyFill="1" applyAlignment="1">
      <alignment horizontal="center"/>
    </xf>
    <xf numFmtId="0" fontId="0" fillId="10" borderId="0" xfId="0" applyFill="1" applyAlignment="1">
      <alignment horizontal="center"/>
    </xf>
    <xf numFmtId="0" fontId="43" fillId="0" borderId="1" xfId="0" applyFont="1" applyBorder="1" applyAlignment="1">
      <alignment horizontal="center" vertical="center"/>
    </xf>
    <xf numFmtId="0" fontId="44" fillId="10" borderId="5" xfId="0" applyFont="1" applyFill="1" applyBorder="1" applyAlignment="1">
      <alignment horizontal="center"/>
    </xf>
    <xf numFmtId="0" fontId="44" fillId="21" borderId="1" xfId="0" applyFont="1" applyFill="1" applyBorder="1" applyAlignment="1">
      <alignment horizontal="right" vertical="center"/>
    </xf>
    <xf numFmtId="0" fontId="44" fillId="21" borderId="1" xfId="0" applyFont="1" applyFill="1" applyBorder="1" applyAlignment="1">
      <alignment horizontal="center" vertical="center"/>
    </xf>
    <xf numFmtId="0" fontId="45" fillId="22" borderId="1" xfId="0" applyFont="1" applyFill="1" applyBorder="1" applyAlignment="1">
      <alignment horizontal="center" vertical="center"/>
    </xf>
    <xf numFmtId="0" fontId="44" fillId="23" borderId="1" xfId="0" applyFont="1" applyFill="1" applyBorder="1" applyAlignment="1">
      <alignment horizontal="center" vertical="center"/>
    </xf>
    <xf numFmtId="0" fontId="45" fillId="20" borderId="1" xfId="0" applyFont="1" applyFill="1" applyBorder="1" applyAlignment="1">
      <alignment horizontal="center" vertical="center"/>
    </xf>
    <xf numFmtId="0" fontId="44" fillId="24" borderId="1" xfId="0" applyFont="1" applyFill="1" applyBorder="1" applyAlignment="1">
      <alignment horizontal="center"/>
    </xf>
    <xf numFmtId="0" fontId="46" fillId="25" borderId="1" xfId="0" applyFont="1" applyFill="1" applyBorder="1" applyAlignment="1">
      <alignment vertical="center"/>
    </xf>
    <xf numFmtId="0" fontId="46" fillId="25" borderId="1" xfId="0" applyFont="1" applyFill="1" applyBorder="1" applyAlignment="1">
      <alignment horizontal="center" vertical="center"/>
    </xf>
    <xf numFmtId="0" fontId="44" fillId="25" borderId="1" xfId="0" applyFont="1" applyFill="1" applyBorder="1" applyAlignment="1">
      <alignment vertical="center"/>
    </xf>
    <xf numFmtId="0" fontId="44" fillId="25" borderId="1" xfId="0" applyFont="1" applyFill="1" applyBorder="1" applyAlignment="1">
      <alignment horizontal="center" vertical="center"/>
    </xf>
    <xf numFmtId="0" fontId="44" fillId="26" borderId="1" xfId="0" applyFont="1" applyFill="1" applyBorder="1" applyAlignment="1">
      <alignment vertical="center"/>
    </xf>
    <xf numFmtId="0" fontId="46" fillId="26" borderId="5" xfId="0" applyFont="1" applyFill="1" applyBorder="1" applyAlignment="1">
      <alignment horizontal="center" vertical="center"/>
    </xf>
    <xf numFmtId="0" fontId="46" fillId="25" borderId="1" xfId="0" applyFont="1" applyFill="1" applyBorder="1" applyAlignment="1">
      <alignment vertical="center" wrapText="1"/>
    </xf>
    <xf numFmtId="0" fontId="44" fillId="27" borderId="1" xfId="0" applyFont="1" applyFill="1" applyBorder="1" applyAlignment="1">
      <alignment vertical="center"/>
    </xf>
    <xf numFmtId="0" fontId="46" fillId="27" borderId="5" xfId="0" applyFont="1" applyFill="1" applyBorder="1" applyAlignment="1">
      <alignment horizontal="center" vertical="center"/>
    </xf>
    <xf numFmtId="0" fontId="44" fillId="28" borderId="1" xfId="0" applyFont="1" applyFill="1" applyBorder="1" applyAlignment="1">
      <alignment vertical="center"/>
    </xf>
    <xf numFmtId="0" fontId="46" fillId="28" borderId="5" xfId="0" applyFont="1" applyFill="1" applyBorder="1" applyAlignment="1">
      <alignment horizontal="center" vertical="center"/>
    </xf>
    <xf numFmtId="0" fontId="46" fillId="25" borderId="1" xfId="0" applyFont="1" applyFill="1" applyBorder="1" applyAlignment="1">
      <alignment horizontal="center"/>
    </xf>
    <xf numFmtId="0" fontId="0" fillId="0" borderId="1" xfId="0" applyBorder="1"/>
    <xf numFmtId="0" fontId="43" fillId="0" borderId="1" xfId="0" applyFont="1" applyBorder="1"/>
    <xf numFmtId="0" fontId="44" fillId="29" borderId="1" xfId="0" applyFont="1" applyFill="1" applyBorder="1" applyAlignment="1">
      <alignment vertical="center"/>
    </xf>
    <xf numFmtId="0" fontId="46" fillId="29" borderId="5" xfId="0" applyFont="1" applyFill="1" applyBorder="1" applyAlignment="1">
      <alignment horizontal="center" vertical="center"/>
    </xf>
    <xf numFmtId="0" fontId="47" fillId="0" borderId="1" xfId="0" applyFont="1" applyBorder="1" applyAlignment="1">
      <alignment vertical="center"/>
    </xf>
    <xf numFmtId="0" fontId="47" fillId="25" borderId="1" xfId="0" applyFont="1" applyFill="1" applyBorder="1" applyAlignment="1">
      <alignment horizontal="center" vertical="center"/>
    </xf>
    <xf numFmtId="0" fontId="48" fillId="30" borderId="1" xfId="0" applyFont="1" applyFill="1" applyBorder="1" applyAlignment="1">
      <alignment vertical="center"/>
    </xf>
    <xf numFmtId="0" fontId="46" fillId="30" borderId="5" xfId="0" applyFont="1" applyFill="1" applyBorder="1" applyAlignment="1">
      <alignment horizontal="center" vertical="center"/>
    </xf>
    <xf numFmtId="0" fontId="43" fillId="0" borderId="1" xfId="0" applyFont="1" applyBorder="1" applyAlignment="1">
      <alignment vertical="center"/>
    </xf>
    <xf numFmtId="0" fontId="49" fillId="25" borderId="1" xfId="0" applyFont="1" applyFill="1" applyBorder="1" applyAlignment="1">
      <alignment horizontal="center"/>
    </xf>
    <xf numFmtId="0" fontId="50" fillId="25" borderId="1" xfId="0" applyFont="1" applyFill="1" applyBorder="1" applyAlignment="1">
      <alignment horizontal="center" vertical="center"/>
    </xf>
    <xf numFmtId="0" fontId="50" fillId="31" borderId="1" xfId="0" applyFont="1" applyFill="1" applyBorder="1" applyAlignment="1">
      <alignment horizontal="center" vertical="center" wrapText="1"/>
    </xf>
    <xf numFmtId="0" fontId="51" fillId="31" borderId="1" xfId="0" applyFont="1" applyFill="1" applyBorder="1" applyAlignment="1">
      <alignment horizontal="center" vertical="center"/>
    </xf>
    <xf numFmtId="0" fontId="44" fillId="32" borderId="1" xfId="0" applyFont="1" applyFill="1" applyBorder="1" applyAlignment="1">
      <alignment horizontal="center" vertical="center"/>
    </xf>
    <xf numFmtId="0" fontId="52" fillId="0" borderId="1" xfId="0" applyFont="1" applyBorder="1" applyAlignment="1">
      <alignment horizontal="center" vertical="center"/>
    </xf>
    <xf numFmtId="0" fontId="53" fillId="0" borderId="1" xfId="0" applyFont="1" applyBorder="1"/>
    <xf numFmtId="0" fontId="54" fillId="33" borderId="1" xfId="0" applyFont="1" applyFill="1" applyBorder="1" applyAlignment="1">
      <alignment horizontal="center"/>
    </xf>
    <xf numFmtId="0" fontId="53" fillId="33" borderId="1" xfId="0" applyFont="1" applyFill="1" applyBorder="1"/>
    <xf numFmtId="0" fontId="0" fillId="33" borderId="1" xfId="0" applyFill="1" applyBorder="1"/>
    <xf numFmtId="0" fontId="48" fillId="34" borderId="1" xfId="0" applyFont="1" applyFill="1" applyBorder="1" applyAlignment="1">
      <alignment horizontal="center" vertical="center"/>
    </xf>
    <xf numFmtId="0" fontId="46" fillId="34" borderId="1" xfId="0" applyFont="1" applyFill="1" applyBorder="1" applyAlignment="1">
      <alignment horizontal="center"/>
    </xf>
    <xf numFmtId="0" fontId="0" fillId="34" borderId="1" xfId="0" applyFill="1" applyBorder="1"/>
    <xf numFmtId="0" fontId="48" fillId="21" borderId="1" xfId="0" applyFont="1" applyFill="1" applyBorder="1" applyAlignment="1">
      <alignment horizontal="center" vertical="center"/>
    </xf>
    <xf numFmtId="0" fontId="46" fillId="21" borderId="1" xfId="0" applyFont="1" applyFill="1" applyBorder="1" applyAlignment="1">
      <alignment horizontal="center"/>
    </xf>
    <xf numFmtId="0" fontId="0" fillId="21" borderId="1" xfId="0" applyFill="1" applyBorder="1"/>
    <xf numFmtId="0" fontId="55" fillId="0" borderId="0" xfId="0" applyFont="1"/>
    <xf numFmtId="0" fontId="55" fillId="0" borderId="4" xfId="0" applyFont="1" applyBorder="1" applyAlignment="1">
      <alignment horizontal="center" vertical="center"/>
    </xf>
    <xf numFmtId="0" fontId="56" fillId="10" borderId="50" xfId="0" applyFont="1" applyFill="1" applyBorder="1" applyAlignment="1">
      <alignment horizontal="center"/>
    </xf>
    <xf numFmtId="0" fontId="57" fillId="22" borderId="1" xfId="0" applyFont="1" applyFill="1" applyBorder="1" applyAlignment="1">
      <alignment horizontal="center" vertical="center"/>
    </xf>
    <xf numFmtId="0" fontId="56" fillId="23" borderId="1" xfId="0" applyFont="1" applyFill="1" applyBorder="1" applyAlignment="1">
      <alignment horizontal="center" vertical="center"/>
    </xf>
    <xf numFmtId="0" fontId="57" fillId="20" borderId="1" xfId="0" applyFont="1" applyFill="1" applyBorder="1" applyAlignment="1">
      <alignment horizontal="center" vertical="center"/>
    </xf>
    <xf numFmtId="0" fontId="55" fillId="0" borderId="1" xfId="0" applyFont="1" applyBorder="1" applyAlignment="1">
      <alignment horizontal="center" vertical="center"/>
    </xf>
    <xf numFmtId="0" fontId="56" fillId="24" borderId="1" xfId="0" applyFont="1" applyFill="1" applyBorder="1" applyAlignment="1">
      <alignment horizontal="center"/>
    </xf>
    <xf numFmtId="0" fontId="58" fillId="25" borderId="1" xfId="0" applyFont="1" applyFill="1" applyBorder="1" applyAlignment="1">
      <alignment vertical="center"/>
    </xf>
    <xf numFmtId="0" fontId="59" fillId="25" borderId="1" xfId="0" applyFont="1" applyFill="1" applyBorder="1" applyAlignment="1">
      <alignment horizontal="center" vertical="center"/>
    </xf>
    <xf numFmtId="0" fontId="56" fillId="25" borderId="1" xfId="0" applyFont="1" applyFill="1" applyBorder="1" applyAlignment="1">
      <alignment vertical="center"/>
    </xf>
    <xf numFmtId="0" fontId="56" fillId="25" borderId="1" xfId="0" applyFont="1" applyFill="1" applyBorder="1" applyAlignment="1">
      <alignment horizontal="center" vertical="center"/>
    </xf>
    <xf numFmtId="0" fontId="56" fillId="26" borderId="1" xfId="0" applyFont="1" applyFill="1" applyBorder="1" applyAlignment="1">
      <alignment vertical="center"/>
    </xf>
    <xf numFmtId="0" fontId="59" fillId="26" borderId="5" xfId="0" applyFont="1" applyFill="1" applyBorder="1" applyAlignment="1">
      <alignment horizontal="center" vertical="center"/>
    </xf>
    <xf numFmtId="0" fontId="58" fillId="25" borderId="1" xfId="0" applyFont="1" applyFill="1" applyBorder="1" applyAlignment="1">
      <alignment vertical="center" wrapText="1"/>
    </xf>
    <xf numFmtId="0" fontId="56" fillId="27" borderId="1" xfId="0" applyFont="1" applyFill="1" applyBorder="1" applyAlignment="1">
      <alignment vertical="center"/>
    </xf>
    <xf numFmtId="0" fontId="59" fillId="27" borderId="5" xfId="0" applyFont="1" applyFill="1" applyBorder="1" applyAlignment="1">
      <alignment horizontal="center" vertical="center"/>
    </xf>
    <xf numFmtId="0" fontId="59" fillId="25" borderId="1" xfId="0" applyFont="1" applyFill="1" applyBorder="1" applyAlignment="1">
      <alignment vertical="center" wrapText="1"/>
    </xf>
    <xf numFmtId="0" fontId="59" fillId="25" borderId="1" xfId="0" applyFont="1" applyFill="1" applyBorder="1" applyAlignment="1">
      <alignment vertical="center"/>
    </xf>
    <xf numFmtId="0" fontId="56" fillId="28" borderId="1" xfId="0" applyFont="1" applyFill="1" applyBorder="1" applyAlignment="1">
      <alignment vertical="center"/>
    </xf>
    <xf numFmtId="0" fontId="59" fillId="28" borderId="5" xfId="0" applyFont="1" applyFill="1" applyBorder="1" applyAlignment="1">
      <alignment horizontal="center" vertical="center"/>
    </xf>
    <xf numFmtId="0" fontId="59" fillId="25" borderId="1" xfId="0" applyFont="1" applyFill="1" applyBorder="1" applyAlignment="1">
      <alignment horizontal="center"/>
    </xf>
    <xf numFmtId="0" fontId="56" fillId="25" borderId="1" xfId="0" applyFont="1" applyFill="1" applyBorder="1" applyAlignment="1">
      <alignment vertical="center" wrapText="1"/>
    </xf>
    <xf numFmtId="0" fontId="55" fillId="0" borderId="1" xfId="0" applyFont="1" applyBorder="1"/>
    <xf numFmtId="0" fontId="56" fillId="29" borderId="1" xfId="0" applyFont="1" applyFill="1" applyBorder="1" applyAlignment="1">
      <alignment vertical="center"/>
    </xf>
    <xf numFmtId="0" fontId="59" fillId="29" borderId="5" xfId="0" applyFont="1" applyFill="1" applyBorder="1" applyAlignment="1">
      <alignment horizontal="center" vertical="center"/>
    </xf>
    <xf numFmtId="0" fontId="57" fillId="0" borderId="1" xfId="0" applyFont="1" applyBorder="1" applyAlignment="1">
      <alignment vertical="center"/>
    </xf>
    <xf numFmtId="0" fontId="57" fillId="25" borderId="1" xfId="0" applyFont="1" applyFill="1" applyBorder="1" applyAlignment="1">
      <alignment horizontal="center" vertical="center"/>
    </xf>
    <xf numFmtId="0" fontId="56" fillId="30" borderId="1" xfId="0" applyFont="1" applyFill="1" applyBorder="1" applyAlignment="1">
      <alignment vertical="center"/>
    </xf>
    <xf numFmtId="0" fontId="59" fillId="30" borderId="5" xfId="0" applyFont="1" applyFill="1" applyBorder="1" applyAlignment="1">
      <alignment horizontal="center" vertical="center"/>
    </xf>
    <xf numFmtId="0" fontId="59" fillId="30" borderId="1" xfId="0" applyFont="1" applyFill="1" applyBorder="1" applyAlignment="1">
      <alignment horizontal="center" vertical="center"/>
    </xf>
    <xf numFmtId="0" fontId="55" fillId="0" borderId="1" xfId="0" applyFont="1" applyBorder="1" applyAlignment="1">
      <alignment vertical="center"/>
    </xf>
    <xf numFmtId="0" fontId="60" fillId="25" borderId="1" xfId="0" applyFont="1" applyFill="1" applyBorder="1" applyAlignment="1">
      <alignment horizontal="center"/>
    </xf>
    <xf numFmtId="0" fontId="56" fillId="31" borderId="1" xfId="0" applyFont="1" applyFill="1" applyBorder="1" applyAlignment="1">
      <alignment horizontal="center" vertical="center" wrapText="1"/>
    </xf>
    <xf numFmtId="0" fontId="56" fillId="31" borderId="1" xfId="0" applyFont="1" applyFill="1" applyBorder="1" applyAlignment="1">
      <alignment horizontal="center" vertical="center"/>
    </xf>
    <xf numFmtId="0" fontId="56" fillId="32" borderId="1" xfId="0" applyFont="1" applyFill="1" applyBorder="1" applyAlignment="1">
      <alignment horizontal="center" vertical="center"/>
    </xf>
    <xf numFmtId="0" fontId="57" fillId="0" borderId="1" xfId="0" applyFont="1" applyBorder="1" applyAlignment="1">
      <alignment horizontal="center" vertical="center"/>
    </xf>
    <xf numFmtId="0" fontId="57" fillId="33" borderId="1" xfId="0" applyFont="1" applyFill="1" applyBorder="1" applyAlignment="1">
      <alignment horizontal="center"/>
    </xf>
    <xf numFmtId="0" fontId="55" fillId="33" borderId="1" xfId="0" applyFont="1" applyFill="1" applyBorder="1"/>
    <xf numFmtId="0" fontId="56" fillId="34" borderId="1" xfId="0" applyFont="1" applyFill="1" applyBorder="1" applyAlignment="1">
      <alignment horizontal="center" vertical="center"/>
    </xf>
    <xf numFmtId="0" fontId="59" fillId="34" borderId="1" xfId="0" applyFont="1" applyFill="1" applyBorder="1" applyAlignment="1">
      <alignment horizontal="center"/>
    </xf>
    <xf numFmtId="0" fontId="55" fillId="34" borderId="1" xfId="0" applyFont="1" applyFill="1" applyBorder="1"/>
    <xf numFmtId="0" fontId="56" fillId="21" borderId="1" xfId="0" applyFont="1" applyFill="1" applyBorder="1" applyAlignment="1">
      <alignment horizontal="center" vertical="center"/>
    </xf>
    <xf numFmtId="0" fontId="59" fillId="21" borderId="1" xfId="0" applyFont="1" applyFill="1" applyBorder="1" applyAlignment="1">
      <alignment horizontal="center"/>
    </xf>
    <xf numFmtId="0" fontId="55" fillId="21" borderId="1" xfId="0" applyFont="1" applyFill="1" applyBorder="1"/>
    <xf numFmtId="0" fontId="18" fillId="0" borderId="0" xfId="0" applyFont="1" applyBorder="1" applyAlignment="1">
      <alignment horizontal="left" vertical="center"/>
    </xf>
    <xf numFmtId="0" fontId="29" fillId="9" borderId="1" xfId="0" applyFont="1" applyFill="1" applyBorder="1" applyAlignment="1">
      <alignment vertical="center"/>
    </xf>
    <xf numFmtId="0" fontId="9" fillId="0" borderId="1" xfId="0" applyFont="1" applyBorder="1" applyAlignment="1">
      <alignment horizontal="right" wrapText="1"/>
    </xf>
    <xf numFmtId="0" fontId="0" fillId="0" borderId="0" xfId="0" applyFont="1" applyAlignment="1">
      <alignment horizontal="center"/>
    </xf>
    <xf numFmtId="0" fontId="11" fillId="0" borderId="7" xfId="0" applyFont="1" applyBorder="1" applyAlignment="1">
      <alignment horizontal="center" vertical="center"/>
    </xf>
    <xf numFmtId="9" fontId="11" fillId="0" borderId="8" xfId="1" applyFont="1" applyBorder="1" applyAlignment="1">
      <alignment horizontal="center" vertical="center"/>
    </xf>
    <xf numFmtId="0" fontId="11" fillId="8" borderId="41" xfId="0" applyFont="1" applyFill="1" applyBorder="1" applyAlignment="1"/>
    <xf numFmtId="0" fontId="11" fillId="8" borderId="45" xfId="0" applyFont="1" applyFill="1" applyBorder="1" applyAlignment="1"/>
    <xf numFmtId="165" fontId="13" fillId="8" borderId="14" xfId="0" applyNumberFormat="1" applyFont="1" applyFill="1" applyBorder="1" applyAlignment="1">
      <alignment vertical="center"/>
    </xf>
    <xf numFmtId="0" fontId="9" fillId="3" borderId="1" xfId="0" applyFont="1" applyFill="1" applyBorder="1" applyAlignment="1">
      <alignment wrapText="1"/>
    </xf>
    <xf numFmtId="20" fontId="9" fillId="0" borderId="1" xfId="0" applyNumberFormat="1" applyFont="1" applyBorder="1" applyAlignment="1">
      <alignment horizontal="left" wrapText="1"/>
    </xf>
    <xf numFmtId="16" fontId="9" fillId="0" borderId="1" xfId="0" applyNumberFormat="1" applyFont="1" applyBorder="1" applyAlignment="1">
      <alignment horizontal="left" wrapText="1"/>
    </xf>
    <xf numFmtId="0" fontId="7" fillId="3" borderId="7" xfId="0" applyFont="1" applyFill="1" applyBorder="1" applyAlignment="1">
      <alignment horizontal="left" vertical="center" wrapText="1"/>
    </xf>
    <xf numFmtId="14" fontId="0" fillId="3" borderId="1" xfId="0" applyNumberFormat="1" applyFont="1" applyFill="1" applyBorder="1" applyAlignment="1">
      <alignment horizontal="left" vertical="center"/>
    </xf>
    <xf numFmtId="0" fontId="64" fillId="0" borderId="0" xfId="0" applyFont="1" applyAlignment="1">
      <alignment horizontal="center" vertical="center"/>
    </xf>
    <xf numFmtId="0" fontId="65" fillId="0" borderId="0" xfId="0" applyFont="1" applyAlignment="1"/>
    <xf numFmtId="0" fontId="12" fillId="0" borderId="0" xfId="0" applyFont="1" applyAlignment="1">
      <alignment horizontal="center" vertical="center" wrapText="1"/>
    </xf>
    <xf numFmtId="0" fontId="64" fillId="0" borderId="0" xfId="0" applyFont="1" applyAlignment="1">
      <alignment horizontal="center" vertical="center" wrapText="1"/>
    </xf>
    <xf numFmtId="0" fontId="13" fillId="0" borderId="0" xfId="0" applyFont="1" applyAlignment="1">
      <alignment horizontal="center" vertical="center" wrapText="1"/>
    </xf>
    <xf numFmtId="0" fontId="66" fillId="0" borderId="0" xfId="0" applyFont="1" applyAlignment="1">
      <alignment wrapText="1"/>
    </xf>
    <xf numFmtId="0" fontId="0" fillId="0" borderId="21" xfId="0" applyBorder="1"/>
    <xf numFmtId="0" fontId="0" fillId="0" borderId="4" xfId="0" applyBorder="1" applyAlignment="1">
      <alignment horizontal="center" vertical="center"/>
    </xf>
    <xf numFmtId="9" fontId="0" fillId="0" borderId="20" xfId="1" applyFont="1" applyBorder="1" applyAlignment="1">
      <alignment horizontal="center" vertical="center"/>
    </xf>
    <xf numFmtId="0" fontId="0" fillId="0" borderId="7" xfId="0" applyBorder="1"/>
    <xf numFmtId="9" fontId="0" fillId="0" borderId="8" xfId="1" applyFont="1" applyBorder="1" applyAlignment="1">
      <alignment horizontal="center" vertical="center"/>
    </xf>
    <xf numFmtId="0" fontId="0" fillId="0" borderId="15" xfId="0" applyBorder="1"/>
    <xf numFmtId="9" fontId="0" fillId="0" borderId="40" xfId="1" applyFont="1" applyBorder="1" applyAlignment="1">
      <alignment horizontal="center" vertical="center"/>
    </xf>
    <xf numFmtId="0" fontId="67" fillId="8" borderId="12" xfId="0" applyFont="1" applyFill="1" applyBorder="1" applyAlignment="1">
      <alignment horizontal="center" vertical="center"/>
    </xf>
    <xf numFmtId="0" fontId="67" fillId="8" borderId="13" xfId="0" applyFont="1" applyFill="1" applyBorder="1" applyAlignment="1">
      <alignment horizontal="center" vertical="center"/>
    </xf>
    <xf numFmtId="9" fontId="63" fillId="8" borderId="14" xfId="1" applyFont="1" applyFill="1"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63" fillId="8" borderId="1" xfId="0" applyFont="1" applyFill="1" applyBorder="1" applyAlignment="1">
      <alignment horizontal="center"/>
    </xf>
    <xf numFmtId="0" fontId="63" fillId="8" borderId="1" xfId="0" applyFont="1" applyFill="1" applyBorder="1" applyAlignment="1">
      <alignment horizontal="center" vertical="center"/>
    </xf>
    <xf numFmtId="0" fontId="19" fillId="8" borderId="1" xfId="0" applyFont="1" applyFill="1" applyBorder="1" applyAlignment="1">
      <alignment horizontal="center"/>
    </xf>
    <xf numFmtId="0" fontId="0" fillId="3" borderId="1" xfId="0" applyFont="1" applyFill="1" applyBorder="1" applyAlignment="1"/>
    <xf numFmtId="0" fontId="0" fillId="0" borderId="8" xfId="0" applyFont="1" applyBorder="1" applyAlignment="1"/>
    <xf numFmtId="14" fontId="9" fillId="0" borderId="1" xfId="0" applyNumberFormat="1" applyFont="1" applyBorder="1" applyAlignment="1">
      <alignment wrapText="1"/>
    </xf>
    <xf numFmtId="0" fontId="9" fillId="0" borderId="1" xfId="0" applyFont="1" applyBorder="1" applyAlignment="1">
      <alignment vertical="center"/>
    </xf>
    <xf numFmtId="0" fontId="0" fillId="3" borderId="1" xfId="0" applyFill="1" applyBorder="1" applyAlignment="1">
      <alignment horizontal="center" vertical="center" wrapText="1"/>
    </xf>
    <xf numFmtId="0" fontId="19" fillId="8" borderId="1" xfId="0" applyFont="1" applyFill="1" applyBorder="1" applyAlignment="1">
      <alignment horizontal="center" vertical="center" wrapText="1"/>
    </xf>
    <xf numFmtId="0" fontId="9" fillId="0" borderId="8" xfId="0" applyFont="1" applyBorder="1" applyAlignment="1">
      <alignment wrapText="1"/>
    </xf>
    <xf numFmtId="0" fontId="7" fillId="3" borderId="7" xfId="0" applyFont="1" applyFill="1" applyBorder="1" applyAlignment="1">
      <alignment wrapText="1"/>
    </xf>
    <xf numFmtId="0" fontId="9" fillId="3" borderId="8" xfId="0" applyFont="1" applyFill="1" applyBorder="1" applyAlignment="1">
      <alignment wrapText="1"/>
    </xf>
    <xf numFmtId="0" fontId="19" fillId="8" borderId="4" xfId="0" applyFont="1" applyFill="1" applyBorder="1" applyAlignment="1">
      <alignment horizontal="center" vertical="center" wrapText="1"/>
    </xf>
    <xf numFmtId="0" fontId="67" fillId="8" borderId="22" xfId="0" applyFont="1" applyFill="1" applyBorder="1" applyAlignment="1">
      <alignment horizontal="center" wrapText="1"/>
    </xf>
    <xf numFmtId="0" fontId="67" fillId="8" borderId="44" xfId="0" applyFont="1" applyFill="1" applyBorder="1" applyAlignment="1">
      <alignment horizontal="center" vertical="center"/>
    </xf>
    <xf numFmtId="0" fontId="67" fillId="8" borderId="13" xfId="0" applyFont="1" applyFill="1" applyBorder="1" applyAlignment="1">
      <alignment horizontal="left" vertical="center"/>
    </xf>
    <xf numFmtId="0" fontId="67" fillId="8" borderId="14" xfId="0" applyFont="1" applyFill="1" applyBorder="1" applyAlignment="1">
      <alignment horizontal="center" vertical="center"/>
    </xf>
    <xf numFmtId="0" fontId="67" fillId="8" borderId="22" xfId="0" applyFont="1" applyFill="1" applyBorder="1" applyAlignment="1">
      <alignment horizontal="center" vertical="center" wrapText="1"/>
    </xf>
    <xf numFmtId="0" fontId="67" fillId="8" borderId="44" xfId="0" applyFont="1" applyFill="1" applyBorder="1" applyAlignment="1">
      <alignment horizontal="center" vertical="center" wrapText="1"/>
    </xf>
    <xf numFmtId="0" fontId="67" fillId="8" borderId="13" xfId="0" applyFont="1" applyFill="1" applyBorder="1" applyAlignment="1">
      <alignment horizontal="center" vertical="center" wrapText="1"/>
    </xf>
    <xf numFmtId="0" fontId="67" fillId="8" borderId="14" xfId="0" applyFont="1" applyFill="1" applyBorder="1" applyAlignment="1">
      <alignment horizontal="center" vertical="center" wrapText="1"/>
    </xf>
    <xf numFmtId="0" fontId="69" fillId="8" borderId="44" xfId="0" applyFont="1" applyFill="1" applyBorder="1" applyAlignment="1">
      <alignment horizontal="center" vertical="center"/>
    </xf>
    <xf numFmtId="0" fontId="69" fillId="8" borderId="13" xfId="0" applyFont="1" applyFill="1" applyBorder="1" applyAlignment="1">
      <alignment horizontal="center" vertical="center"/>
    </xf>
    <xf numFmtId="0" fontId="69" fillId="8" borderId="13" xfId="0" applyFont="1" applyFill="1" applyBorder="1" applyAlignment="1">
      <alignment horizontal="left" vertical="center"/>
    </xf>
    <xf numFmtId="0" fontId="69" fillId="8" borderId="14" xfId="0" applyFont="1" applyFill="1" applyBorder="1" applyAlignment="1">
      <alignment horizontal="left" vertical="center"/>
    </xf>
    <xf numFmtId="0" fontId="12" fillId="8" borderId="1" xfId="0" applyFont="1" applyFill="1" applyBorder="1" applyAlignment="1">
      <alignment horizontal="center" vertical="center" wrapText="1"/>
    </xf>
    <xf numFmtId="0" fontId="12" fillId="8" borderId="49" xfId="0" applyFont="1" applyFill="1" applyBorder="1" applyAlignment="1">
      <alignment horizontal="center" vertical="center"/>
    </xf>
    <xf numFmtId="0" fontId="12" fillId="8" borderId="41" xfId="0" applyFont="1" applyFill="1" applyBorder="1" applyAlignment="1">
      <alignment horizontal="center" vertical="center"/>
    </xf>
    <xf numFmtId="0" fontId="12" fillId="8" borderId="1" xfId="0" applyFont="1" applyFill="1" applyBorder="1" applyAlignment="1">
      <alignment horizontal="center" vertical="center"/>
    </xf>
    <xf numFmtId="0" fontId="12" fillId="8" borderId="7" xfId="0" applyFont="1" applyFill="1" applyBorder="1" applyAlignment="1">
      <alignment horizontal="center" vertical="center"/>
    </xf>
    <xf numFmtId="0" fontId="12" fillId="8" borderId="8" xfId="0" applyFont="1" applyFill="1" applyBorder="1" applyAlignment="1">
      <alignment horizontal="center" vertical="center" wrapText="1"/>
    </xf>
    <xf numFmtId="0" fontId="7" fillId="3" borderId="1" xfId="0" applyFont="1" applyFill="1" applyBorder="1" applyAlignment="1">
      <alignment wrapText="1"/>
    </xf>
    <xf numFmtId="0" fontId="7" fillId="3" borderId="1" xfId="0" applyFont="1" applyFill="1" applyBorder="1" applyAlignment="1">
      <alignment horizontal="center" vertical="center" wrapText="1"/>
    </xf>
    <xf numFmtId="1" fontId="30" fillId="10" borderId="1" xfId="0" applyNumberFormat="1" applyFont="1" applyFill="1" applyBorder="1" applyAlignment="1">
      <alignment horizontal="center"/>
    </xf>
    <xf numFmtId="0" fontId="67" fillId="8" borderId="49" xfId="0" applyFont="1" applyFill="1" applyBorder="1" applyAlignment="1">
      <alignment horizontal="center" vertical="center" wrapText="1"/>
    </xf>
    <xf numFmtId="0" fontId="67" fillId="8" borderId="41" xfId="0" applyFont="1" applyFill="1" applyBorder="1" applyAlignment="1">
      <alignment horizontal="center" vertical="center"/>
    </xf>
    <xf numFmtId="0" fontId="68" fillId="8" borderId="41" xfId="0" applyFont="1" applyFill="1" applyBorder="1" applyAlignment="1">
      <alignment horizontal="left" vertical="center"/>
    </xf>
    <xf numFmtId="0" fontId="68" fillId="8" borderId="41" xfId="0" applyFont="1" applyFill="1" applyBorder="1" applyAlignment="1">
      <alignment horizontal="center" vertical="center"/>
    </xf>
    <xf numFmtId="0" fontId="68" fillId="8" borderId="41" xfId="0" applyFont="1" applyFill="1" applyBorder="1" applyAlignment="1">
      <alignment horizontal="center" vertical="center" wrapText="1"/>
    </xf>
    <xf numFmtId="0" fontId="16" fillId="8" borderId="45" xfId="0" applyFont="1" applyFill="1" applyBorder="1" applyAlignment="1"/>
    <xf numFmtId="0" fontId="7" fillId="3" borderId="8" xfId="0" applyFont="1" applyFill="1" applyBorder="1" applyAlignment="1"/>
    <xf numFmtId="0" fontId="0" fillId="3" borderId="8" xfId="0" applyFont="1" applyFill="1" applyBorder="1" applyAlignment="1"/>
    <xf numFmtId="0" fontId="7" fillId="3" borderId="8" xfId="0" applyFont="1" applyFill="1" applyBorder="1" applyAlignment="1">
      <alignment wrapText="1"/>
    </xf>
    <xf numFmtId="0" fontId="7" fillId="0" borderId="0" xfId="0" applyFont="1" applyAlignment="1"/>
    <xf numFmtId="20" fontId="9" fillId="0" borderId="1" xfId="0" applyNumberFormat="1" applyFont="1" applyBorder="1" applyAlignment="1">
      <alignment wrapText="1"/>
    </xf>
    <xf numFmtId="0" fontId="19" fillId="8" borderId="10" xfId="0" applyFont="1" applyFill="1" applyBorder="1" applyAlignment="1">
      <alignment horizontal="center" vertical="center" wrapText="1"/>
    </xf>
    <xf numFmtId="0" fontId="19" fillId="8" borderId="1" xfId="0" applyFont="1" applyFill="1" applyBorder="1" applyAlignment="1">
      <alignment horizontal="center" vertical="center" wrapText="1"/>
    </xf>
    <xf numFmtId="14" fontId="9" fillId="0" borderId="1" xfId="0" applyNumberFormat="1" applyFont="1" applyBorder="1" applyAlignment="1">
      <alignment horizontal="right" wrapText="1"/>
    </xf>
    <xf numFmtId="14" fontId="9" fillId="3" borderId="1" xfId="0" applyNumberFormat="1" applyFont="1" applyFill="1" applyBorder="1" applyAlignment="1">
      <alignment wrapText="1"/>
    </xf>
    <xf numFmtId="0" fontId="9" fillId="0" borderId="8" xfId="0" applyFont="1" applyBorder="1" applyAlignment="1">
      <alignment vertical="center"/>
    </xf>
    <xf numFmtId="0" fontId="9" fillId="0" borderId="90" xfId="0" applyFont="1" applyBorder="1" applyAlignment="1">
      <alignment wrapText="1"/>
    </xf>
    <xf numFmtId="0" fontId="9" fillId="0" borderId="2" xfId="0" applyFont="1" applyBorder="1" applyAlignment="1">
      <alignment wrapText="1"/>
    </xf>
    <xf numFmtId="14" fontId="9" fillId="0" borderId="2" xfId="0" applyNumberFormat="1" applyFont="1" applyBorder="1" applyAlignment="1">
      <alignment horizontal="right" wrapText="1"/>
    </xf>
    <xf numFmtId="0" fontId="9" fillId="0" borderId="2" xfId="0" applyFont="1" applyBorder="1" applyAlignment="1">
      <alignment horizontal="right" wrapText="1"/>
    </xf>
    <xf numFmtId="0" fontId="9" fillId="0" borderId="91" xfId="0" applyFont="1" applyBorder="1" applyAlignment="1">
      <alignment wrapText="1"/>
    </xf>
    <xf numFmtId="0" fontId="9" fillId="0" borderId="1" xfId="0" applyFont="1" applyBorder="1" applyAlignment="1">
      <alignment vertical="center" wrapText="1"/>
    </xf>
    <xf numFmtId="0" fontId="9" fillId="0" borderId="4" xfId="0" applyFont="1" applyBorder="1" applyAlignment="1">
      <alignment wrapText="1"/>
    </xf>
    <xf numFmtId="14" fontId="9" fillId="0" borderId="4" xfId="0" applyNumberFormat="1" applyFont="1" applyBorder="1" applyAlignment="1">
      <alignment wrapText="1"/>
    </xf>
    <xf numFmtId="0" fontId="16" fillId="0" borderId="0" xfId="0" applyFont="1" applyBorder="1" applyAlignment="1">
      <alignment horizontal="left" vertical="center" wrapText="1"/>
    </xf>
    <xf numFmtId="0" fontId="0" fillId="3" borderId="2" xfId="0" applyFill="1" applyBorder="1" applyAlignment="1">
      <alignment horizontal="center" vertical="center" wrapText="1"/>
    </xf>
    <xf numFmtId="0" fontId="7" fillId="3" borderId="2" xfId="0" applyFont="1" applyFill="1" applyBorder="1" applyAlignment="1">
      <alignment wrapText="1"/>
    </xf>
    <xf numFmtId="0" fontId="9" fillId="3" borderId="2" xfId="0" applyFont="1" applyFill="1" applyBorder="1" applyAlignment="1">
      <alignment wrapText="1"/>
    </xf>
    <xf numFmtId="3" fontId="67" fillId="8" borderId="13" xfId="0" applyNumberFormat="1" applyFont="1" applyFill="1" applyBorder="1" applyAlignment="1">
      <alignment horizontal="center" vertical="center"/>
    </xf>
    <xf numFmtId="0" fontId="11" fillId="0" borderId="37" xfId="0" applyFont="1" applyBorder="1" applyAlignment="1">
      <alignment horizontal="center" vertical="center"/>
    </xf>
    <xf numFmtId="0" fontId="12" fillId="8" borderId="92" xfId="0" applyFont="1" applyFill="1" applyBorder="1" applyAlignment="1">
      <alignment horizontal="center" vertical="center"/>
    </xf>
    <xf numFmtId="0" fontId="11" fillId="0" borderId="93" xfId="0" applyFont="1" applyBorder="1" applyAlignment="1">
      <alignment horizontal="center" vertical="center"/>
    </xf>
    <xf numFmtId="0" fontId="13" fillId="0" borderId="93" xfId="0" applyFont="1" applyBorder="1" applyAlignment="1">
      <alignment horizontal="center" vertical="center"/>
    </xf>
    <xf numFmtId="9" fontId="13" fillId="0" borderId="93" xfId="1" applyNumberFormat="1" applyFont="1" applyBorder="1" applyAlignment="1">
      <alignment horizontal="center" vertical="center"/>
    </xf>
    <xf numFmtId="165" fontId="13" fillId="0" borderId="93" xfId="0" applyNumberFormat="1" applyFont="1" applyBorder="1" applyAlignment="1">
      <alignment horizontal="center" vertical="center"/>
    </xf>
    <xf numFmtId="0" fontId="12" fillId="8" borderId="95" xfId="0" applyFont="1" applyFill="1" applyBorder="1" applyAlignment="1">
      <alignment horizontal="center" vertical="center"/>
    </xf>
    <xf numFmtId="165" fontId="13" fillId="0" borderId="1" xfId="0" applyNumberFormat="1" applyFont="1" applyBorder="1" applyAlignment="1">
      <alignment horizontal="center" vertical="center"/>
    </xf>
    <xf numFmtId="0" fontId="12" fillId="8" borderId="7" xfId="0" applyFont="1" applyFill="1" applyBorder="1" applyAlignment="1">
      <alignment horizontal="center" vertical="center"/>
    </xf>
    <xf numFmtId="0" fontId="70" fillId="13" borderId="1" xfId="0" applyFont="1" applyFill="1" applyBorder="1" applyAlignment="1">
      <alignment vertical="center" wrapText="1"/>
    </xf>
    <xf numFmtId="14" fontId="70" fillId="13" borderId="1" xfId="0" applyNumberFormat="1" applyFont="1" applyFill="1" applyBorder="1" applyAlignment="1">
      <alignment vertical="center" wrapText="1"/>
    </xf>
    <xf numFmtId="0" fontId="70" fillId="36" borderId="1" xfId="0" applyFont="1" applyFill="1" applyBorder="1" applyAlignment="1">
      <alignment vertical="center" wrapText="1"/>
    </xf>
    <xf numFmtId="14" fontId="70" fillId="36" borderId="1" xfId="0" applyNumberFormat="1" applyFont="1" applyFill="1" applyBorder="1" applyAlignment="1">
      <alignment vertical="center" wrapText="1"/>
    </xf>
    <xf numFmtId="0" fontId="12" fillId="8" borderId="96" xfId="0" applyFont="1" applyFill="1" applyBorder="1" applyAlignment="1">
      <alignment horizontal="center" vertical="center"/>
    </xf>
    <xf numFmtId="0" fontId="11" fillId="0" borderId="3" xfId="0" applyFont="1" applyBorder="1" applyAlignment="1">
      <alignment horizontal="center" vertical="center"/>
    </xf>
    <xf numFmtId="0" fontId="13" fillId="0" borderId="3" xfId="0" applyFont="1" applyFill="1" applyBorder="1" applyAlignment="1">
      <alignment horizontal="center" vertical="center"/>
    </xf>
    <xf numFmtId="9" fontId="13" fillId="35" borderId="3" xfId="0" applyNumberFormat="1" applyFont="1" applyFill="1" applyBorder="1" applyAlignment="1">
      <alignment horizontal="center" vertical="center"/>
    </xf>
    <xf numFmtId="165" fontId="13" fillId="35" borderId="3" xfId="0" applyNumberFormat="1" applyFont="1" applyFill="1" applyBorder="1" applyAlignment="1">
      <alignment horizontal="center" vertical="center"/>
    </xf>
    <xf numFmtId="9" fontId="13" fillId="35" borderId="57" xfId="1" applyFont="1" applyFill="1" applyBorder="1" applyAlignment="1">
      <alignment horizontal="center" vertical="center"/>
    </xf>
    <xf numFmtId="9" fontId="13" fillId="0" borderId="94" xfId="1" applyFont="1" applyBorder="1" applyAlignment="1">
      <alignment horizontal="center" vertical="center"/>
    </xf>
    <xf numFmtId="0" fontId="12" fillId="8" borderId="21" xfId="0" applyFont="1" applyFill="1" applyBorder="1" applyAlignment="1">
      <alignment horizontal="center" vertical="center"/>
    </xf>
    <xf numFmtId="0" fontId="11" fillId="0" borderId="4" xfId="0" applyFont="1" applyBorder="1" applyAlignment="1">
      <alignment horizontal="center" vertical="center"/>
    </xf>
    <xf numFmtId="0" fontId="13" fillId="0" borderId="4" xfId="0" applyFont="1" applyBorder="1" applyAlignment="1">
      <alignment horizontal="center" vertical="center"/>
    </xf>
    <xf numFmtId="9" fontId="13" fillId="0" borderId="4" xfId="0" applyNumberFormat="1" applyFont="1" applyBorder="1" applyAlignment="1">
      <alignment horizontal="center" vertical="center"/>
    </xf>
    <xf numFmtId="165" fontId="13" fillId="0" borderId="4" xfId="0" applyNumberFormat="1" applyFont="1" applyBorder="1" applyAlignment="1">
      <alignment horizontal="center" vertical="center"/>
    </xf>
    <xf numFmtId="9" fontId="13" fillId="0" borderId="20" xfId="1" applyFont="1" applyBorder="1" applyAlignment="1">
      <alignment horizontal="center" vertical="center"/>
    </xf>
    <xf numFmtId="0" fontId="72" fillId="2" borderId="1" xfId="0" applyFont="1" applyFill="1" applyBorder="1" applyAlignment="1">
      <alignment horizontal="left" vertical="center" wrapText="1"/>
    </xf>
    <xf numFmtId="0" fontId="73" fillId="2" borderId="1" xfId="0" applyFont="1" applyFill="1" applyBorder="1" applyAlignment="1">
      <alignment horizontal="left" vertical="center" wrapText="1"/>
    </xf>
    <xf numFmtId="0" fontId="73" fillId="3" borderId="1" xfId="0" applyFont="1" applyFill="1" applyBorder="1" applyAlignment="1">
      <alignment horizontal="center" vertical="center" wrapText="1"/>
    </xf>
    <xf numFmtId="14" fontId="73" fillId="2" borderId="1" xfId="0" applyNumberFormat="1" applyFont="1" applyFill="1" applyBorder="1" applyAlignment="1">
      <alignment horizontal="left" vertical="center"/>
    </xf>
    <xf numFmtId="0" fontId="73" fillId="2" borderId="1" xfId="0" applyFont="1" applyFill="1" applyBorder="1" applyAlignment="1">
      <alignment horizontal="left" vertical="center"/>
    </xf>
    <xf numFmtId="0" fontId="74" fillId="3" borderId="1" xfId="0" applyFont="1" applyFill="1" applyBorder="1" applyAlignment="1"/>
    <xf numFmtId="0" fontId="75" fillId="13" borderId="1" xfId="0" applyFont="1" applyFill="1" applyBorder="1" applyAlignment="1">
      <alignment vertical="center" wrapText="1"/>
    </xf>
    <xf numFmtId="14" fontId="75" fillId="13" borderId="1" xfId="0" applyNumberFormat="1" applyFont="1" applyFill="1" applyBorder="1" applyAlignment="1">
      <alignment vertical="center" wrapText="1"/>
    </xf>
    <xf numFmtId="0" fontId="74" fillId="0" borderId="1" xfId="0" applyFont="1" applyBorder="1" applyAlignment="1">
      <alignment wrapText="1"/>
    </xf>
    <xf numFmtId="0" fontId="75" fillId="36" borderId="1" xfId="0" applyFont="1" applyFill="1" applyBorder="1" applyAlignment="1">
      <alignment vertical="center" wrapText="1"/>
    </xf>
    <xf numFmtId="14" fontId="75" fillId="36" borderId="1" xfId="0" applyNumberFormat="1" applyFont="1" applyFill="1" applyBorder="1" applyAlignment="1">
      <alignment vertical="center" wrapText="1"/>
    </xf>
    <xf numFmtId="0" fontId="74" fillId="13" borderId="1" xfId="0" applyFont="1" applyFill="1" applyBorder="1" applyAlignment="1">
      <alignment vertical="center" wrapText="1"/>
    </xf>
    <xf numFmtId="0" fontId="76" fillId="3" borderId="1" xfId="0" applyFont="1" applyFill="1" applyBorder="1" applyAlignment="1">
      <alignment horizontal="left" vertical="center" wrapText="1"/>
    </xf>
    <xf numFmtId="0" fontId="76" fillId="3" borderId="1" xfId="0" applyFont="1" applyFill="1" applyBorder="1" applyAlignment="1">
      <alignment horizontal="center" vertical="center" wrapText="1"/>
    </xf>
    <xf numFmtId="14" fontId="76" fillId="3" borderId="1" xfId="0" applyNumberFormat="1" applyFont="1" applyFill="1" applyBorder="1" applyAlignment="1">
      <alignment horizontal="left" vertical="center" wrapText="1"/>
    </xf>
    <xf numFmtId="0" fontId="76" fillId="3" borderId="1" xfId="0" applyFont="1" applyFill="1" applyBorder="1" applyAlignment="1">
      <alignment horizontal="left" vertical="center"/>
    </xf>
    <xf numFmtId="0" fontId="76" fillId="3" borderId="1" xfId="0" applyFont="1" applyFill="1" applyBorder="1" applyAlignment="1"/>
    <xf numFmtId="0" fontId="76" fillId="3" borderId="1" xfId="0" applyFont="1" applyFill="1" applyBorder="1" applyAlignment="1">
      <alignment vertical="center" wrapText="1"/>
    </xf>
    <xf numFmtId="0" fontId="74" fillId="3" borderId="1" xfId="0" applyFont="1" applyFill="1" applyBorder="1" applyAlignment="1">
      <alignment vertical="center" wrapText="1"/>
    </xf>
    <xf numFmtId="0" fontId="67" fillId="8" borderId="1" xfId="0" applyFont="1" applyFill="1" applyBorder="1" applyAlignment="1">
      <alignment horizontal="center" vertical="center" wrapText="1"/>
    </xf>
    <xf numFmtId="0" fontId="67" fillId="8" borderId="1" xfId="0" applyFont="1" applyFill="1" applyBorder="1" applyAlignment="1">
      <alignment horizontal="center" vertical="center"/>
    </xf>
    <xf numFmtId="0" fontId="68" fillId="8" borderId="1" xfId="0" applyFont="1" applyFill="1" applyBorder="1" applyAlignment="1">
      <alignment horizontal="left" vertical="center"/>
    </xf>
    <xf numFmtId="0" fontId="68" fillId="8" borderId="1" xfId="0" applyFont="1" applyFill="1" applyBorder="1" applyAlignment="1">
      <alignment horizontal="center" vertical="center"/>
    </xf>
    <xf numFmtId="0" fontId="68" fillId="8" borderId="1" xfId="0" applyFont="1" applyFill="1" applyBorder="1" applyAlignment="1">
      <alignment horizontal="center" vertical="center" wrapText="1"/>
    </xf>
    <xf numFmtId="0" fontId="16" fillId="8" borderId="1" xfId="0" applyFont="1" applyFill="1" applyBorder="1" applyAlignment="1"/>
    <xf numFmtId="0" fontId="9" fillId="3" borderId="1" xfId="0" applyFont="1" applyFill="1" applyBorder="1" applyAlignment="1">
      <alignment vertical="center" wrapText="1"/>
    </xf>
    <xf numFmtId="0" fontId="74" fillId="3" borderId="1" xfId="0" applyFont="1" applyFill="1" applyBorder="1" applyAlignment="1">
      <alignment horizontal="center" vertical="center" wrapText="1"/>
    </xf>
    <xf numFmtId="0" fontId="7" fillId="3" borderId="1" xfId="0" applyFont="1" applyFill="1" applyBorder="1" applyAlignment="1">
      <alignment vertical="center" wrapText="1"/>
    </xf>
    <xf numFmtId="20" fontId="70" fillId="36" borderId="1" xfId="0" applyNumberFormat="1" applyFont="1" applyFill="1" applyBorder="1" applyAlignment="1">
      <alignment vertical="center" wrapText="1"/>
    </xf>
    <xf numFmtId="0" fontId="9" fillId="36" borderId="1" xfId="0" applyFont="1" applyFill="1" applyBorder="1" applyAlignment="1">
      <alignment vertical="center" wrapText="1"/>
    </xf>
    <xf numFmtId="0" fontId="9" fillId="13" borderId="1" xfId="0" applyFont="1" applyFill="1" applyBorder="1" applyAlignment="1">
      <alignment vertical="center" wrapText="1"/>
    </xf>
    <xf numFmtId="20" fontId="70" fillId="13" borderId="1" xfId="0" applyNumberFormat="1" applyFont="1" applyFill="1" applyBorder="1" applyAlignment="1">
      <alignment vertical="center" wrapText="1"/>
    </xf>
    <xf numFmtId="0" fontId="12" fillId="8" borderId="16"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40" xfId="0" applyFont="1" applyFill="1" applyBorder="1" applyAlignment="1">
      <alignment horizontal="center" vertical="center" wrapText="1"/>
    </xf>
    <xf numFmtId="0" fontId="70" fillId="13" borderId="1" xfId="0" applyFont="1" applyFill="1" applyBorder="1" applyAlignment="1">
      <alignment horizontal="right" vertical="center" wrapText="1"/>
    </xf>
    <xf numFmtId="0" fontId="70" fillId="3" borderId="1" xfId="0" applyFont="1" applyFill="1" applyBorder="1" applyAlignment="1">
      <alignment vertical="center" wrapText="1"/>
    </xf>
    <xf numFmtId="14" fontId="70" fillId="3" borderId="1" xfId="0" applyNumberFormat="1" applyFont="1" applyFill="1" applyBorder="1" applyAlignment="1">
      <alignment vertical="center" wrapText="1"/>
    </xf>
    <xf numFmtId="0" fontId="77" fillId="3" borderId="1" xfId="0" applyFont="1" applyFill="1" applyBorder="1" applyAlignment="1">
      <alignment vertical="center" wrapText="1"/>
    </xf>
    <xf numFmtId="0" fontId="7" fillId="3" borderId="1" xfId="0" applyFont="1" applyFill="1" applyBorder="1" applyAlignment="1">
      <alignment vertical="center"/>
    </xf>
    <xf numFmtId="165" fontId="13" fillId="0" borderId="1" xfId="0" applyNumberFormat="1" applyFont="1" applyBorder="1" applyAlignment="1">
      <alignment horizontal="center" vertical="center"/>
    </xf>
    <xf numFmtId="0" fontId="12" fillId="8" borderId="7" xfId="0" applyFont="1" applyFill="1" applyBorder="1" applyAlignment="1">
      <alignment horizontal="center" vertical="center"/>
    </xf>
    <xf numFmtId="0" fontId="71" fillId="8" borderId="1" xfId="0" applyFont="1" applyFill="1" applyBorder="1" applyAlignment="1">
      <alignment horizontal="center" vertical="center" wrapText="1"/>
    </xf>
    <xf numFmtId="0" fontId="13" fillId="0" borderId="1" xfId="0" applyFont="1" applyFill="1" applyBorder="1" applyAlignment="1">
      <alignment horizontal="center" vertical="center"/>
    </xf>
    <xf numFmtId="0" fontId="13" fillId="0" borderId="37" xfId="0" applyFont="1" applyBorder="1" applyAlignment="1">
      <alignment horizontal="center" vertical="center"/>
    </xf>
    <xf numFmtId="9" fontId="13" fillId="0" borderId="37" xfId="1" applyNumberFormat="1" applyFont="1" applyBorder="1" applyAlignment="1">
      <alignment horizontal="center" vertical="center"/>
    </xf>
    <xf numFmtId="165" fontId="13" fillId="0" borderId="37" xfId="0" applyNumberFormat="1" applyFont="1" applyBorder="1" applyAlignment="1">
      <alignment horizontal="center" vertical="center"/>
    </xf>
    <xf numFmtId="9" fontId="13" fillId="0" borderId="58" xfId="1" applyFont="1" applyBorder="1" applyAlignment="1">
      <alignment horizontal="center" vertical="center"/>
    </xf>
    <xf numFmtId="0" fontId="12" fillId="8" borderId="52" xfId="0" applyFont="1" applyFill="1" applyBorder="1" applyAlignment="1">
      <alignment horizontal="center" vertical="center"/>
    </xf>
    <xf numFmtId="14" fontId="70" fillId="13" borderId="1" xfId="0" applyNumberFormat="1" applyFont="1" applyFill="1" applyBorder="1" applyAlignment="1">
      <alignment horizontal="right" vertical="center" wrapText="1"/>
    </xf>
    <xf numFmtId="14" fontId="70" fillId="36" borderId="1" xfId="0" applyNumberFormat="1" applyFont="1" applyFill="1" applyBorder="1" applyAlignment="1">
      <alignment horizontal="right" vertical="center" wrapText="1"/>
    </xf>
    <xf numFmtId="0" fontId="70" fillId="36" borderId="1" xfId="0" applyFont="1" applyFill="1" applyBorder="1" applyAlignment="1">
      <alignment horizontal="right" vertical="center" wrapText="1"/>
    </xf>
    <xf numFmtId="0" fontId="75" fillId="0" borderId="0" xfId="0" applyFont="1" applyFill="1" applyBorder="1" applyAlignment="1">
      <alignment vertical="center" wrapText="1"/>
    </xf>
    <xf numFmtId="0" fontId="12" fillId="0" borderId="0" xfId="0" applyFont="1" applyAlignment="1">
      <alignment horizontal="center" vertical="center"/>
    </xf>
    <xf numFmtId="0" fontId="17" fillId="0" borderId="0" xfId="0" applyFont="1" applyAlignment="1">
      <alignment horizontal="center" vertical="center"/>
    </xf>
    <xf numFmtId="0" fontId="16" fillId="0" borderId="0" xfId="0" applyFont="1" applyAlignment="1">
      <alignment wrapText="1"/>
    </xf>
    <xf numFmtId="0" fontId="16" fillId="0" borderId="0" xfId="0" applyFont="1" applyBorder="1" applyAlignment="1">
      <alignment horizontal="left" vertical="center"/>
    </xf>
    <xf numFmtId="0" fontId="0" fillId="3" borderId="1" xfId="0" applyFont="1" applyFill="1" applyBorder="1" applyAlignment="1">
      <alignment horizontal="left" vertical="center" wrapText="1"/>
    </xf>
    <xf numFmtId="0" fontId="0" fillId="0" borderId="0" xfId="0" applyFont="1" applyBorder="1" applyAlignment="1"/>
    <xf numFmtId="0" fontId="71" fillId="8" borderId="1" xfId="0" applyFont="1" applyFill="1" applyBorder="1" applyAlignment="1">
      <alignment horizontal="center" vertical="center" wrapText="1"/>
    </xf>
    <xf numFmtId="0" fontId="70" fillId="0" borderId="1" xfId="0" applyFont="1" applyFill="1" applyBorder="1" applyAlignment="1">
      <alignment vertical="center" wrapText="1"/>
    </xf>
    <xf numFmtId="14" fontId="70" fillId="0" borderId="1" xfId="0" applyNumberFormat="1" applyFont="1" applyFill="1" applyBorder="1" applyAlignment="1">
      <alignment vertical="center" wrapText="1"/>
    </xf>
    <xf numFmtId="0" fontId="0" fillId="0" borderId="0" xfId="0" applyFont="1" applyFill="1" applyAlignment="1"/>
    <xf numFmtId="0" fontId="63" fillId="8" borderId="1" xfId="0" applyFont="1" applyFill="1" applyBorder="1" applyAlignment="1">
      <alignment horizontal="center" vertical="center" wrapText="1"/>
    </xf>
    <xf numFmtId="0" fontId="12" fillId="8" borderId="53" xfId="0" applyFont="1" applyFill="1" applyBorder="1" applyAlignment="1">
      <alignment horizontal="center" vertical="center"/>
    </xf>
    <xf numFmtId="0" fontId="12" fillId="8" borderId="0" xfId="0" applyFont="1" applyFill="1" applyBorder="1" applyAlignment="1">
      <alignment horizontal="center" vertical="center"/>
    </xf>
    <xf numFmtId="0" fontId="12" fillId="8" borderId="17" xfId="0" applyFont="1" applyFill="1" applyBorder="1" applyAlignment="1">
      <alignment horizontal="center" vertical="center" wrapText="1"/>
    </xf>
    <xf numFmtId="0" fontId="12" fillId="8" borderId="18" xfId="0" applyFont="1" applyFill="1" applyBorder="1" applyAlignment="1">
      <alignment horizontal="center" vertical="center" wrapText="1"/>
    </xf>
    <xf numFmtId="0" fontId="12" fillId="8" borderId="19" xfId="0" applyFont="1" applyFill="1" applyBorder="1" applyAlignment="1">
      <alignment horizontal="center" vertical="center" wrapText="1"/>
    </xf>
    <xf numFmtId="0" fontId="17" fillId="8" borderId="50" xfId="0" applyFont="1" applyFill="1" applyBorder="1" applyAlignment="1" applyProtection="1">
      <alignment horizontal="left" vertical="center" wrapText="1"/>
      <protection locked="0"/>
    </xf>
    <xf numFmtId="0" fontId="17" fillId="8" borderId="23" xfId="0" applyFont="1" applyFill="1" applyBorder="1" applyAlignment="1" applyProtection="1">
      <alignment horizontal="left" vertical="center" wrapText="1"/>
      <protection locked="0"/>
    </xf>
    <xf numFmtId="0" fontId="17" fillId="8" borderId="51" xfId="0" applyFont="1" applyFill="1" applyBorder="1" applyAlignment="1" applyProtection="1">
      <alignment horizontal="left" vertical="center" wrapText="1"/>
      <protection locked="0"/>
    </xf>
    <xf numFmtId="0" fontId="12" fillId="8" borderId="1" xfId="0" applyFont="1" applyFill="1" applyBorder="1" applyAlignment="1">
      <alignment horizontal="center" vertical="center" wrapText="1"/>
    </xf>
    <xf numFmtId="0" fontId="12" fillId="8" borderId="16" xfId="0" applyFont="1" applyFill="1" applyBorder="1" applyAlignment="1">
      <alignment horizontal="center" vertical="center" wrapText="1"/>
    </xf>
    <xf numFmtId="165" fontId="13" fillId="0" borderId="4" xfId="0" applyNumberFormat="1" applyFont="1" applyBorder="1" applyAlignment="1">
      <alignment horizontal="center" vertical="center"/>
    </xf>
    <xf numFmtId="165" fontId="13" fillId="0" borderId="1" xfId="0" applyNumberFormat="1" applyFont="1" applyBorder="1" applyAlignment="1">
      <alignment horizontal="center" vertical="center"/>
    </xf>
    <xf numFmtId="165" fontId="13" fillId="0" borderId="2" xfId="0" applyNumberFormat="1" applyFont="1" applyBorder="1" applyAlignment="1">
      <alignment horizontal="center" vertical="center"/>
    </xf>
    <xf numFmtId="165" fontId="13" fillId="0" borderId="41" xfId="0" applyNumberFormat="1" applyFont="1" applyBorder="1" applyAlignment="1">
      <alignment horizontal="center" vertical="center"/>
    </xf>
    <xf numFmtId="0" fontId="12" fillId="8" borderId="21" xfId="0" applyFont="1" applyFill="1" applyBorder="1" applyAlignment="1">
      <alignment horizontal="right" vertical="center" wrapText="1"/>
    </xf>
    <xf numFmtId="0" fontId="12" fillId="8" borderId="4" xfId="0" applyFont="1" applyFill="1" applyBorder="1" applyAlignment="1">
      <alignment horizontal="right" vertical="center" wrapText="1"/>
    </xf>
    <xf numFmtId="0" fontId="12" fillId="8" borderId="49" xfId="0" applyFont="1" applyFill="1" applyBorder="1" applyAlignment="1">
      <alignment horizontal="center" vertical="center"/>
    </xf>
    <xf numFmtId="0" fontId="12" fillId="8" borderId="41" xfId="0" applyFont="1" applyFill="1" applyBorder="1" applyAlignment="1">
      <alignment horizontal="center" vertical="center"/>
    </xf>
    <xf numFmtId="0" fontId="12" fillId="8" borderId="16" xfId="0" applyFont="1" applyFill="1" applyBorder="1" applyAlignment="1">
      <alignment horizontal="center" vertical="center"/>
    </xf>
    <xf numFmtId="0" fontId="12" fillId="8" borderId="7" xfId="0" applyFont="1" applyFill="1" applyBorder="1" applyAlignment="1">
      <alignment horizontal="center" vertical="center"/>
    </xf>
    <xf numFmtId="0" fontId="12" fillId="8" borderId="15" xfId="0" applyFont="1" applyFill="1" applyBorder="1" applyAlignment="1">
      <alignment horizontal="center" vertical="center"/>
    </xf>
    <xf numFmtId="0" fontId="12" fillId="8" borderId="1" xfId="0" applyFont="1" applyFill="1" applyBorder="1" applyAlignment="1">
      <alignment horizontal="center" vertical="center"/>
    </xf>
    <xf numFmtId="0" fontId="12" fillId="8" borderId="53" xfId="0" applyFont="1" applyFill="1" applyBorder="1" applyAlignment="1">
      <alignment horizontal="center" vertical="center" wrapText="1"/>
    </xf>
    <xf numFmtId="0" fontId="12" fillId="8" borderId="0" xfId="0" applyFont="1" applyFill="1" applyBorder="1" applyAlignment="1">
      <alignment horizontal="center" vertical="center" wrapText="1"/>
    </xf>
    <xf numFmtId="0" fontId="17" fillId="8" borderId="52" xfId="0" applyFont="1" applyFill="1" applyBorder="1" applyAlignment="1">
      <alignment horizontal="center" vertical="center" wrapText="1"/>
    </xf>
    <xf numFmtId="0" fontId="17" fillId="8" borderId="23" xfId="0" applyFont="1" applyFill="1" applyBorder="1" applyAlignment="1">
      <alignment horizontal="center" vertical="center" wrapText="1"/>
    </xf>
    <xf numFmtId="0" fontId="12" fillId="8" borderId="22" xfId="0" applyFont="1" applyFill="1" applyBorder="1" applyAlignment="1">
      <alignment horizontal="center" vertical="center"/>
    </xf>
    <xf numFmtId="0" fontId="12" fillId="8" borderId="54" xfId="0" applyFont="1" applyFill="1" applyBorder="1" applyAlignment="1">
      <alignment horizontal="center" vertical="center"/>
    </xf>
    <xf numFmtId="0" fontId="12" fillId="8" borderId="55" xfId="0" applyFont="1" applyFill="1" applyBorder="1" applyAlignment="1">
      <alignment horizontal="center" vertical="center"/>
    </xf>
    <xf numFmtId="0" fontId="12" fillId="8" borderId="8" xfId="0" applyFont="1" applyFill="1" applyBorder="1" applyAlignment="1">
      <alignment horizontal="center" vertical="center" wrapText="1"/>
    </xf>
    <xf numFmtId="0" fontId="12" fillId="8" borderId="40" xfId="0" applyFont="1" applyFill="1" applyBorder="1" applyAlignment="1">
      <alignment horizontal="center" vertical="center" wrapText="1"/>
    </xf>
    <xf numFmtId="165" fontId="13" fillId="0" borderId="56" xfId="0" applyNumberFormat="1" applyFont="1" applyBorder="1" applyAlignment="1">
      <alignment horizontal="center" vertical="center"/>
    </xf>
    <xf numFmtId="165" fontId="13" fillId="0" borderId="57" xfId="0" applyNumberFormat="1" applyFont="1" applyBorder="1" applyAlignment="1">
      <alignment horizontal="center" vertical="center"/>
    </xf>
    <xf numFmtId="0" fontId="71" fillId="8" borderId="1" xfId="0" applyFont="1" applyFill="1" applyBorder="1" applyAlignment="1">
      <alignment horizontal="center" vertical="center" wrapText="1"/>
    </xf>
    <xf numFmtId="0" fontId="71" fillId="8" borderId="1" xfId="0" applyFont="1"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14" fontId="71" fillId="8" borderId="1" xfId="0" applyNumberFormat="1" applyFont="1" applyFill="1" applyBorder="1" applyAlignment="1">
      <alignment horizontal="center" vertical="center"/>
    </xf>
    <xf numFmtId="0" fontId="0" fillId="0" borderId="1" xfId="0" applyBorder="1" applyAlignment="1">
      <alignment horizontal="center" vertical="center" wrapText="1"/>
    </xf>
    <xf numFmtId="0" fontId="74" fillId="0" borderId="1" xfId="0" applyFont="1" applyBorder="1" applyAlignment="1">
      <alignment horizontal="center" vertical="center" wrapText="1"/>
    </xf>
    <xf numFmtId="0" fontId="19" fillId="8" borderId="9" xfId="0" applyFont="1" applyFill="1" applyBorder="1" applyAlignment="1">
      <alignment horizontal="center" vertical="center" wrapText="1"/>
    </xf>
    <xf numFmtId="0" fontId="19" fillId="8" borderId="7" xfId="0" applyFont="1" applyFill="1" applyBorder="1" applyAlignment="1">
      <alignment horizontal="center" vertical="center" wrapText="1"/>
    </xf>
    <xf numFmtId="0" fontId="19" fillId="8" borderId="10"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9" fillId="8" borderId="11" xfId="0" applyFont="1" applyFill="1" applyBorder="1" applyAlignment="1">
      <alignment horizontal="center" vertical="center"/>
    </xf>
    <xf numFmtId="0" fontId="19" fillId="8" borderId="8" xfId="0" applyFont="1" applyFill="1" applyBorder="1" applyAlignment="1">
      <alignment horizontal="center" vertical="center"/>
    </xf>
    <xf numFmtId="0" fontId="0" fillId="0" borderId="1" xfId="0" applyFont="1" applyFill="1" applyBorder="1" applyAlignment="1">
      <alignment horizontal="center" vertical="center"/>
    </xf>
    <xf numFmtId="0" fontId="19" fillId="8" borderId="10" xfId="0" applyFont="1" applyFill="1" applyBorder="1" applyAlignment="1">
      <alignment horizontal="center" vertical="center"/>
    </xf>
    <xf numFmtId="0" fontId="19" fillId="8" borderId="1" xfId="0" applyFont="1" applyFill="1" applyBorder="1" applyAlignment="1">
      <alignment horizontal="center" vertical="center"/>
    </xf>
    <xf numFmtId="0" fontId="0" fillId="0" borderId="1" xfId="0" applyFont="1" applyFill="1" applyBorder="1" applyAlignment="1">
      <alignment horizontal="center" vertical="center" wrapText="1"/>
    </xf>
    <xf numFmtId="14" fontId="19" fillId="8" borderId="10" xfId="0" applyNumberFormat="1" applyFont="1" applyFill="1" applyBorder="1" applyAlignment="1">
      <alignment horizontal="center" vertical="center"/>
    </xf>
    <xf numFmtId="14" fontId="19" fillId="8" borderId="1" xfId="0" applyNumberFormat="1" applyFont="1" applyFill="1" applyBorder="1" applyAlignment="1">
      <alignment horizontal="center" vertical="center"/>
    </xf>
    <xf numFmtId="14" fontId="19" fillId="8" borderId="43" xfId="0" applyNumberFormat="1" applyFont="1" applyFill="1" applyBorder="1" applyAlignment="1">
      <alignment horizontal="center" vertical="center"/>
    </xf>
    <xf numFmtId="14" fontId="19" fillId="8" borderId="6" xfId="0" applyNumberFormat="1" applyFont="1" applyFill="1" applyBorder="1" applyAlignment="1">
      <alignment horizontal="center" vertical="center"/>
    </xf>
    <xf numFmtId="0" fontId="1" fillId="0" borderId="1" xfId="0" applyFont="1" applyBorder="1" applyAlignment="1">
      <alignment horizontal="center" vertical="center" wrapText="1"/>
    </xf>
    <xf numFmtId="0" fontId="0" fillId="0" borderId="2"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37" xfId="0" applyFont="1" applyFill="1" applyBorder="1" applyAlignment="1">
      <alignment horizontal="center" vertical="center"/>
    </xf>
    <xf numFmtId="0" fontId="19" fillId="8" borderId="42"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21" fillId="0" borderId="1" xfId="0" applyFont="1" applyBorder="1" applyAlignment="1">
      <alignment horizontal="center" vertical="center"/>
    </xf>
    <xf numFmtId="0" fontId="21" fillId="0" borderId="31" xfId="0" applyFont="1" applyBorder="1" applyAlignment="1">
      <alignment horizontal="center" vertical="center"/>
    </xf>
    <xf numFmtId="0" fontId="21" fillId="0" borderId="0" xfId="0" applyFont="1" applyBorder="1" applyAlignment="1">
      <alignment horizontal="center" vertical="center"/>
    </xf>
    <xf numFmtId="0" fontId="21" fillId="0" borderId="32" xfId="0" applyFont="1" applyBorder="1" applyAlignment="1">
      <alignment horizontal="center" vertical="center"/>
    </xf>
    <xf numFmtId="0" fontId="21" fillId="0" borderId="36" xfId="0" applyFont="1" applyBorder="1" applyAlignment="1">
      <alignment horizontal="center" vertical="center"/>
    </xf>
    <xf numFmtId="0" fontId="21" fillId="0" borderId="23" xfId="0" applyFont="1" applyBorder="1" applyAlignment="1">
      <alignment horizontal="center" vertical="center"/>
    </xf>
    <xf numFmtId="0" fontId="0" fillId="0" borderId="4" xfId="0" applyFont="1" applyFill="1" applyBorder="1" applyAlignment="1">
      <alignment horizontal="center" vertical="center"/>
    </xf>
    <xf numFmtId="0" fontId="19" fillId="8" borderId="38" xfId="0" applyFont="1" applyFill="1" applyBorder="1" applyAlignment="1">
      <alignment horizontal="center" vertical="center" wrapText="1"/>
    </xf>
    <xf numFmtId="0" fontId="19" fillId="8" borderId="4" xfId="0" applyFont="1" applyFill="1" applyBorder="1" applyAlignment="1">
      <alignment horizontal="center" vertical="center" wrapText="1"/>
    </xf>
    <xf numFmtId="0" fontId="19" fillId="8" borderId="39" xfId="0" applyFont="1" applyFill="1" applyBorder="1" applyAlignment="1">
      <alignment horizontal="center" vertical="center"/>
    </xf>
    <xf numFmtId="0" fontId="19" fillId="8" borderId="20" xfId="0" applyFont="1" applyFill="1" applyBorder="1" applyAlignment="1">
      <alignment horizontal="center" vertical="center"/>
    </xf>
    <xf numFmtId="0" fontId="19" fillId="8" borderId="38" xfId="0" applyFont="1" applyFill="1" applyBorder="1" applyAlignment="1">
      <alignment horizontal="center" vertical="center"/>
    </xf>
    <xf numFmtId="0" fontId="19" fillId="8" borderId="4" xfId="0" applyFont="1" applyFill="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37" xfId="0"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37" xfId="0" applyFont="1" applyBorder="1" applyAlignment="1">
      <alignment horizontal="center" vertical="center"/>
    </xf>
    <xf numFmtId="0" fontId="55" fillId="0" borderId="17" xfId="0" applyFont="1" applyBorder="1" applyAlignment="1">
      <alignment horizontal="center" vertical="center"/>
    </xf>
    <xf numFmtId="0" fontId="55" fillId="0" borderId="18" xfId="0" applyFont="1" applyBorder="1" applyAlignment="1">
      <alignment horizontal="center" vertical="center"/>
    </xf>
    <xf numFmtId="0" fontId="55" fillId="0" borderId="19" xfId="0" applyFont="1" applyBorder="1" applyAlignment="1">
      <alignment horizontal="center" vertical="center"/>
    </xf>
    <xf numFmtId="0" fontId="55" fillId="0" borderId="53" xfId="0" applyFont="1" applyBorder="1" applyAlignment="1">
      <alignment horizontal="center" vertical="center"/>
    </xf>
    <xf numFmtId="0" fontId="55" fillId="0" borderId="0" xfId="0" applyFont="1" applyAlignment="1">
      <alignment horizontal="center" vertical="center"/>
    </xf>
    <xf numFmtId="0" fontId="55" fillId="0" borderId="88" xfId="0" applyFont="1" applyBorder="1" applyAlignment="1">
      <alignment horizontal="center" vertical="center"/>
    </xf>
    <xf numFmtId="0" fontId="55" fillId="0" borderId="22" xfId="0" applyFont="1" applyBorder="1" applyAlignment="1">
      <alignment horizontal="center" vertical="center"/>
    </xf>
    <xf numFmtId="0" fontId="55" fillId="0" borderId="54" xfId="0" applyFont="1" applyBorder="1" applyAlignment="1">
      <alignment horizontal="center" vertical="center"/>
    </xf>
    <xf numFmtId="0" fontId="55" fillId="0" borderId="89" xfId="0" applyFont="1" applyBorder="1" applyAlignment="1">
      <alignment horizontal="center" vertical="center"/>
    </xf>
    <xf numFmtId="0" fontId="56" fillId="20" borderId="50" xfId="0" applyFont="1" applyFill="1" applyBorder="1" applyAlignment="1">
      <alignment horizontal="center" vertical="center"/>
    </xf>
    <xf numFmtId="0" fontId="56" fillId="20" borderId="23" xfId="0" applyFont="1" applyFill="1" applyBorder="1" applyAlignment="1">
      <alignment horizontal="center" vertical="center"/>
    </xf>
    <xf numFmtId="0" fontId="56" fillId="20" borderId="63" xfId="0" applyFont="1" applyFill="1" applyBorder="1" applyAlignment="1">
      <alignment horizontal="center" vertical="center"/>
    </xf>
    <xf numFmtId="0" fontId="33" fillId="0" borderId="59" xfId="0" applyFont="1" applyBorder="1" applyAlignment="1">
      <alignment horizontal="center"/>
    </xf>
    <xf numFmtId="0" fontId="33" fillId="0" borderId="31" xfId="0" applyFont="1" applyBorder="1" applyAlignment="1">
      <alignment horizontal="center"/>
    </xf>
    <xf numFmtId="0" fontId="33" fillId="0" borderId="60" xfId="0" applyFont="1" applyBorder="1" applyAlignment="1">
      <alignment horizontal="center"/>
    </xf>
    <xf numFmtId="0" fontId="23" fillId="0" borderId="61" xfId="0" applyFont="1" applyBorder="1" applyAlignment="1">
      <alignment horizontal="center"/>
    </xf>
    <xf numFmtId="0" fontId="23" fillId="0" borderId="0" xfId="0" applyFont="1" applyAlignment="1">
      <alignment horizontal="center"/>
    </xf>
    <xf numFmtId="0" fontId="23" fillId="0" borderId="62" xfId="0" applyFont="1" applyBorder="1" applyAlignment="1">
      <alignment horizontal="center"/>
    </xf>
    <xf numFmtId="0" fontId="44" fillId="20" borderId="5" xfId="0" applyFont="1" applyFill="1" applyBorder="1" applyAlignment="1">
      <alignment horizontal="center" vertical="center"/>
    </xf>
    <xf numFmtId="0" fontId="44" fillId="20" borderId="64" xfId="0" applyFont="1" applyFill="1" applyBorder="1" applyAlignment="1">
      <alignment horizontal="center" vertical="center"/>
    </xf>
    <xf numFmtId="0" fontId="44" fillId="20" borderId="6" xfId="0" applyFont="1" applyFill="1" applyBorder="1" applyAlignment="1">
      <alignment horizontal="center" vertical="center"/>
    </xf>
    <xf numFmtId="0" fontId="23" fillId="0" borderId="80" xfId="0" applyFont="1" applyBorder="1" applyAlignment="1">
      <alignment horizontal="center"/>
    </xf>
    <xf numFmtId="0" fontId="23" fillId="0" borderId="81" xfId="0" applyFont="1" applyBorder="1" applyAlignment="1">
      <alignment horizontal="center"/>
    </xf>
    <xf numFmtId="0" fontId="34" fillId="11" borderId="5" xfId="0" applyFont="1" applyFill="1" applyBorder="1" applyAlignment="1">
      <alignment horizontal="center"/>
    </xf>
    <xf numFmtId="0" fontId="34" fillId="11" borderId="64" xfId="0" applyFont="1" applyFill="1" applyBorder="1" applyAlignment="1">
      <alignment horizontal="center"/>
    </xf>
    <xf numFmtId="0" fontId="34" fillId="11" borderId="6" xfId="0" applyFont="1" applyFill="1" applyBorder="1" applyAlignment="1">
      <alignment horizontal="center"/>
    </xf>
    <xf numFmtId="0" fontId="0" fillId="0" borderId="0" xfId="0" applyAlignment="1">
      <alignment horizontal="center"/>
    </xf>
    <xf numFmtId="0" fontId="0" fillId="0" borderId="61" xfId="0" applyBorder="1" applyAlignment="1">
      <alignment horizontal="center"/>
    </xf>
    <xf numFmtId="0" fontId="39" fillId="15" borderId="5" xfId="0" applyFont="1" applyFill="1" applyBorder="1" applyAlignment="1">
      <alignment horizontal="center" vertical="center"/>
    </xf>
    <xf numFmtId="0" fontId="39" fillId="15" borderId="64" xfId="0" applyFont="1" applyFill="1" applyBorder="1" applyAlignment="1">
      <alignment horizontal="center" vertical="center"/>
    </xf>
    <xf numFmtId="0" fontId="39" fillId="15" borderId="6" xfId="0" applyFont="1" applyFill="1" applyBorder="1" applyAlignment="1">
      <alignment horizontal="center" vertical="center"/>
    </xf>
    <xf numFmtId="0" fontId="39" fillId="16" borderId="5" xfId="0" applyFont="1" applyFill="1" applyBorder="1" applyAlignment="1">
      <alignment horizontal="center" vertical="center"/>
    </xf>
    <xf numFmtId="0" fontId="39" fillId="16" borderId="64" xfId="0" applyFont="1" applyFill="1" applyBorder="1" applyAlignment="1">
      <alignment horizontal="center" vertical="center"/>
    </xf>
    <xf numFmtId="0" fontId="39" fillId="16" borderId="6" xfId="0" applyFont="1" applyFill="1" applyBorder="1" applyAlignment="1">
      <alignment horizontal="center" vertical="center"/>
    </xf>
    <xf numFmtId="0" fontId="39" fillId="17" borderId="5" xfId="0" applyFont="1" applyFill="1" applyBorder="1" applyAlignment="1">
      <alignment horizontal="center" vertical="center"/>
    </xf>
    <xf numFmtId="0" fontId="39" fillId="17" borderId="64" xfId="0" applyFont="1" applyFill="1" applyBorder="1" applyAlignment="1">
      <alignment horizontal="center" vertical="center"/>
    </xf>
    <xf numFmtId="0" fontId="39" fillId="17" borderId="6" xfId="0" applyFont="1" applyFill="1" applyBorder="1" applyAlignment="1">
      <alignment horizontal="center" vertical="center"/>
    </xf>
    <xf numFmtId="0" fontId="39" fillId="18" borderId="5" xfId="0" applyFont="1" applyFill="1" applyBorder="1" applyAlignment="1">
      <alignment horizontal="center" vertical="center"/>
    </xf>
    <xf numFmtId="0" fontId="39" fillId="18" borderId="64" xfId="0" applyFont="1" applyFill="1" applyBorder="1" applyAlignment="1">
      <alignment horizontal="center" vertical="center"/>
    </xf>
    <xf numFmtId="0" fontId="39" fillId="18" borderId="6" xfId="0" applyFont="1" applyFill="1" applyBorder="1" applyAlignment="1">
      <alignment horizontal="center" vertical="center"/>
    </xf>
    <xf numFmtId="0" fontId="39" fillId="3" borderId="5" xfId="0" applyFont="1" applyFill="1" applyBorder="1" applyAlignment="1">
      <alignment horizontal="center" vertical="center"/>
    </xf>
    <xf numFmtId="0" fontId="39" fillId="3" borderId="64" xfId="0" applyFont="1" applyFill="1" applyBorder="1" applyAlignment="1">
      <alignment horizontal="center" vertical="center"/>
    </xf>
    <xf numFmtId="0" fontId="39" fillId="3" borderId="6" xfId="0" applyFont="1" applyFill="1" applyBorder="1" applyAlignment="1">
      <alignment horizontal="center" vertical="center"/>
    </xf>
    <xf numFmtId="0" fontId="0" fillId="0" borderId="5" xfId="0" applyBorder="1"/>
    <xf numFmtId="0" fontId="0" fillId="0" borderId="64" xfId="0" applyBorder="1"/>
    <xf numFmtId="0" fontId="0" fillId="0" borderId="6" xfId="0" applyBorder="1"/>
    <xf numFmtId="0" fontId="0" fillId="0" borderId="82" xfId="0" applyBorder="1"/>
    <xf numFmtId="0" fontId="0" fillId="0" borderId="84" xfId="0" applyBorder="1"/>
    <xf numFmtId="0" fontId="0" fillId="0" borderId="86" xfId="0" applyBorder="1"/>
    <xf numFmtId="0" fontId="0" fillId="0" borderId="87" xfId="0" applyBorder="1"/>
    <xf numFmtId="0" fontId="0" fillId="0" borderId="83" xfId="0" applyBorder="1"/>
    <xf numFmtId="0" fontId="33" fillId="0" borderId="0" xfId="0" applyFont="1" applyAlignment="1">
      <alignment horizontal="center"/>
    </xf>
    <xf numFmtId="0" fontId="28" fillId="0" borderId="50" xfId="0" applyFont="1" applyBorder="1" applyAlignment="1">
      <alignment horizontal="center"/>
    </xf>
    <xf numFmtId="0" fontId="28" fillId="0" borderId="23" xfId="0" applyFont="1" applyBorder="1" applyAlignment="1">
      <alignment horizontal="center"/>
    </xf>
    <xf numFmtId="0" fontId="28" fillId="0" borderId="63" xfId="0" applyFont="1" applyBorder="1" applyAlignment="1">
      <alignment horizontal="center"/>
    </xf>
    <xf numFmtId="0" fontId="0" fillId="0" borderId="77" xfId="0" applyBorder="1" applyAlignment="1">
      <alignment horizontal="center"/>
    </xf>
    <xf numFmtId="0" fontId="0" fillId="0" borderId="78" xfId="0" applyBorder="1" applyAlignment="1">
      <alignment horizontal="center"/>
    </xf>
    <xf numFmtId="0" fontId="0" fillId="0" borderId="79" xfId="0" applyBorder="1" applyAlignment="1">
      <alignment horizontal="center"/>
    </xf>
    <xf numFmtId="0" fontId="23" fillId="0" borderId="65" xfId="0" applyFont="1" applyBorder="1" applyAlignment="1">
      <alignment horizontal="center"/>
    </xf>
    <xf numFmtId="0" fontId="23" fillId="0" borderId="66" xfId="0" applyFont="1" applyBorder="1" applyAlignment="1">
      <alignment horizontal="center"/>
    </xf>
    <xf numFmtId="0" fontId="23" fillId="0" borderId="67" xfId="0" applyFont="1" applyBorder="1" applyAlignment="1">
      <alignment horizontal="center"/>
    </xf>
    <xf numFmtId="0" fontId="0" fillId="0" borderId="68" xfId="0" applyBorder="1" applyAlignment="1">
      <alignment horizontal="center" vertical="center" wrapText="1"/>
    </xf>
    <xf numFmtId="0" fontId="0" fillId="0" borderId="69" xfId="0" applyBorder="1" applyAlignment="1">
      <alignment horizontal="center" vertical="center" wrapText="1"/>
    </xf>
    <xf numFmtId="0" fontId="0" fillId="0" borderId="70" xfId="0" applyBorder="1" applyAlignment="1">
      <alignment horizontal="center" vertical="center" wrapText="1"/>
    </xf>
    <xf numFmtId="0" fontId="0" fillId="0" borderId="61" xfId="0" applyBorder="1" applyAlignment="1">
      <alignment horizontal="center" vertical="center" wrapText="1"/>
    </xf>
    <xf numFmtId="0" fontId="0" fillId="0" borderId="0" xfId="0" applyAlignment="1">
      <alignment horizontal="center" vertical="center" wrapText="1"/>
    </xf>
    <xf numFmtId="0" fontId="0" fillId="0" borderId="62" xfId="0" applyBorder="1" applyAlignment="1">
      <alignment horizontal="center" vertical="center" wrapText="1"/>
    </xf>
    <xf numFmtId="0" fontId="0" fillId="0" borderId="71" xfId="0" applyBorder="1" applyAlignment="1">
      <alignment horizontal="center" vertical="center" wrapText="1"/>
    </xf>
    <xf numFmtId="0" fontId="0" fillId="0" borderId="72" xfId="0" applyBorder="1" applyAlignment="1">
      <alignment horizontal="center" vertical="center" wrapText="1"/>
    </xf>
    <xf numFmtId="0" fontId="0" fillId="0" borderId="73" xfId="0" applyBorder="1" applyAlignment="1">
      <alignment horizontal="center" vertical="center" wrapText="1"/>
    </xf>
    <xf numFmtId="0" fontId="0" fillId="0" borderId="74" xfId="0" applyBorder="1" applyAlignment="1">
      <alignment horizontal="center"/>
    </xf>
    <xf numFmtId="0" fontId="0" fillId="0" borderId="75" xfId="0" applyBorder="1" applyAlignment="1">
      <alignment horizontal="center"/>
    </xf>
    <xf numFmtId="0" fontId="0" fillId="0" borderId="76" xfId="0" applyBorder="1" applyAlignment="1">
      <alignment horizontal="center"/>
    </xf>
    <xf numFmtId="0" fontId="0" fillId="0" borderId="85" xfId="0" applyBorder="1"/>
    <xf numFmtId="0" fontId="31" fillId="9" borderId="1" xfId="0" applyFont="1" applyFill="1" applyBorder="1" applyAlignment="1">
      <alignment horizontal="center" vertical="center"/>
    </xf>
    <xf numFmtId="0" fontId="31" fillId="9" borderId="2" xfId="0" applyFont="1" applyFill="1" applyBorder="1" applyAlignment="1">
      <alignment horizontal="center" vertical="center"/>
    </xf>
    <xf numFmtId="0" fontId="31" fillId="9" borderId="2" xfId="0" applyFont="1" applyFill="1" applyBorder="1" applyAlignment="1">
      <alignment horizontal="center" vertical="justify"/>
    </xf>
    <xf numFmtId="0" fontId="31" fillId="9" borderId="3" xfId="0" applyFont="1" applyFill="1" applyBorder="1" applyAlignment="1">
      <alignment horizontal="center" vertical="justify"/>
    </xf>
    <xf numFmtId="0" fontId="29" fillId="9" borderId="2" xfId="0" applyFont="1" applyFill="1" applyBorder="1" applyAlignment="1">
      <alignment horizontal="center" vertical="center"/>
    </xf>
    <xf numFmtId="0" fontId="29" fillId="9" borderId="3" xfId="0" applyFont="1" applyFill="1" applyBorder="1" applyAlignment="1">
      <alignment horizontal="center" vertical="center"/>
    </xf>
    <xf numFmtId="0" fontId="31" fillId="9" borderId="2" xfId="0" applyFont="1" applyFill="1" applyBorder="1" applyAlignment="1">
      <alignment horizontal="justify" vertical="center"/>
    </xf>
    <xf numFmtId="0" fontId="0" fillId="0" borderId="3" xfId="0" applyBorder="1"/>
    <xf numFmtId="0" fontId="31" fillId="10" borderId="0" xfId="0" applyFont="1" applyFill="1" applyAlignment="1">
      <alignment horizontal="center" vertical="center"/>
    </xf>
    <xf numFmtId="0" fontId="31" fillId="10" borderId="0" xfId="0" applyFont="1" applyFill="1" applyAlignment="1">
      <alignment horizontal="center" vertical="justify"/>
    </xf>
    <xf numFmtId="0" fontId="31" fillId="10" borderId="0" xfId="0" applyFont="1" applyFill="1" applyAlignment="1">
      <alignment horizontal="justify" vertical="center"/>
    </xf>
    <xf numFmtId="0" fontId="30" fillId="10" borderId="0" xfId="0" applyFont="1" applyFill="1"/>
    <xf numFmtId="0" fontId="29" fillId="10" borderId="0" xfId="0" applyFont="1" applyFill="1" applyAlignment="1">
      <alignment horizontal="center" vertical="center"/>
    </xf>
    <xf numFmtId="0" fontId="0" fillId="10" borderId="0" xfId="0" applyFill="1"/>
    <xf numFmtId="0" fontId="30" fillId="10" borderId="0" xfId="0" applyFont="1" applyFill="1" applyAlignment="1">
      <alignment horizontal="center"/>
    </xf>
    <xf numFmtId="0" fontId="12" fillId="8" borderId="9"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2" fillId="8" borderId="11" xfId="0" applyFont="1" applyFill="1" applyBorder="1" applyAlignment="1">
      <alignment horizontal="center" vertical="center" wrapText="1"/>
    </xf>
    <xf numFmtId="165" fontId="11" fillId="0" borderId="1" xfId="0" applyNumberFormat="1" applyFont="1" applyBorder="1" applyAlignment="1">
      <alignment horizontal="center" vertical="center"/>
    </xf>
  </cellXfs>
  <cellStyles count="3">
    <cellStyle name="Hipervínculo" xfId="2" builtinId="8"/>
    <cellStyle name="Normal" xfId="0" builtinId="0"/>
    <cellStyle name="Porcentaje" xfId="1" builtinId="5"/>
  </cellStyles>
  <dxfs count="1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'CONSOLIDADO 5 AÑOS'!$A$3</c:f>
              <c:strCache>
                <c:ptCount val="1"/>
                <c:pt idx="0">
                  <c:v>CAÍDA / CORTES DE ARBOL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AÑOS'!$C$3</c:f>
              <c:numCache>
                <c:formatCode>0%</c:formatCode>
                <c:ptCount val="1"/>
                <c:pt idx="0">
                  <c:v>5.6937534549474846E-2</c:v>
                </c:pt>
              </c:numCache>
            </c:numRef>
          </c:val>
          <c:extLst>
            <c:ext xmlns:c16="http://schemas.microsoft.com/office/drawing/2014/chart" uri="{C3380CC4-5D6E-409C-BE32-E72D297353CC}">
              <c16:uniqueId val="{00000000-43F7-44A3-AE96-F77C088EA3E2}"/>
            </c:ext>
          </c:extLst>
        </c:ser>
        <c:ser>
          <c:idx val="1"/>
          <c:order val="1"/>
          <c:tx>
            <c:strRef>
              <c:f>'CONSOLIDADO 5 AÑOS'!$A$4</c:f>
              <c:strCache>
                <c:ptCount val="1"/>
                <c:pt idx="0">
                  <c:v>CONTROL DE ABEJAS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AÑOS'!$C$4</c:f>
              <c:numCache>
                <c:formatCode>0%</c:formatCode>
                <c:ptCount val="1"/>
                <c:pt idx="0">
                  <c:v>0.11332227750138198</c:v>
                </c:pt>
              </c:numCache>
            </c:numRef>
          </c:val>
          <c:extLst>
            <c:ext xmlns:c16="http://schemas.microsoft.com/office/drawing/2014/chart" uri="{C3380CC4-5D6E-409C-BE32-E72D297353CC}">
              <c16:uniqueId val="{00000001-43F7-44A3-AE96-F77C088EA3E2}"/>
            </c:ext>
          </c:extLst>
        </c:ser>
        <c:ser>
          <c:idx val="2"/>
          <c:order val="2"/>
          <c:tx>
            <c:strRef>
              <c:f>'CONSOLIDADO 5 AÑOS'!$A$5</c:f>
              <c:strCache>
                <c:ptCount val="1"/>
                <c:pt idx="0">
                  <c:v>CONTROL DE AVISPAS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AÑOS'!$C$5</c:f>
              <c:numCache>
                <c:formatCode>0%</c:formatCode>
                <c:ptCount val="1"/>
                <c:pt idx="0">
                  <c:v>1.1055831951354339E-2</c:v>
                </c:pt>
              </c:numCache>
            </c:numRef>
          </c:val>
          <c:extLst>
            <c:ext xmlns:c16="http://schemas.microsoft.com/office/drawing/2014/chart" uri="{C3380CC4-5D6E-409C-BE32-E72D297353CC}">
              <c16:uniqueId val="{00000002-43F7-44A3-AE96-F77C088EA3E2}"/>
            </c:ext>
          </c:extLst>
        </c:ser>
        <c:ser>
          <c:idx val="3"/>
          <c:order val="3"/>
          <c:tx>
            <c:strRef>
              <c:f>'CONSOLIDADO 5 AÑOS'!$A$6</c:f>
              <c:strCache>
                <c:ptCount val="1"/>
                <c:pt idx="0">
                  <c:v>CAÍDA DE CUERDAS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AÑOS'!$C$6</c:f>
              <c:numCache>
                <c:formatCode>0%</c:formatCode>
                <c:ptCount val="1"/>
                <c:pt idx="0">
                  <c:v>9.3974571586511891E-3</c:v>
                </c:pt>
              </c:numCache>
            </c:numRef>
          </c:val>
          <c:extLst>
            <c:ext xmlns:c16="http://schemas.microsoft.com/office/drawing/2014/chart" uri="{C3380CC4-5D6E-409C-BE32-E72D297353CC}">
              <c16:uniqueId val="{00000003-43F7-44A3-AE96-F77C088EA3E2}"/>
            </c:ext>
          </c:extLst>
        </c:ser>
        <c:ser>
          <c:idx val="4"/>
          <c:order val="4"/>
          <c:tx>
            <c:strRef>
              <c:f>'CONSOLIDADO 5 AÑOS'!$A$7</c:f>
              <c:strCache>
                <c:ptCount val="1"/>
                <c:pt idx="0">
                  <c:v>CORTO CIRCUITO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AÑOS'!$C$7</c:f>
              <c:numCache>
                <c:formatCode>0%</c:formatCode>
                <c:ptCount val="1"/>
                <c:pt idx="0">
                  <c:v>2.2664455500276397E-2</c:v>
                </c:pt>
              </c:numCache>
            </c:numRef>
          </c:val>
          <c:extLst>
            <c:ext xmlns:c16="http://schemas.microsoft.com/office/drawing/2014/chart" uri="{C3380CC4-5D6E-409C-BE32-E72D297353CC}">
              <c16:uniqueId val="{00000004-43F7-44A3-AE96-F77C088EA3E2}"/>
            </c:ext>
          </c:extLst>
        </c:ser>
        <c:ser>
          <c:idx val="5"/>
          <c:order val="5"/>
          <c:tx>
            <c:strRef>
              <c:f>'CONSOLIDADO 5 AÑOS'!$A$8</c:f>
              <c:strCache>
                <c:ptCount val="1"/>
                <c:pt idx="0">
                  <c:v>COLAPSO DE ESTRUCTURAS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AÑOS'!$C$8</c:f>
              <c:numCache>
                <c:formatCode>0%</c:formatCode>
                <c:ptCount val="1"/>
                <c:pt idx="0">
                  <c:v>2.7639579878385848E-3</c:v>
                </c:pt>
              </c:numCache>
            </c:numRef>
          </c:val>
          <c:extLst>
            <c:ext xmlns:c16="http://schemas.microsoft.com/office/drawing/2014/chart" uri="{C3380CC4-5D6E-409C-BE32-E72D297353CC}">
              <c16:uniqueId val="{00000005-43F7-44A3-AE96-F77C088EA3E2}"/>
            </c:ext>
          </c:extLst>
        </c:ser>
        <c:ser>
          <c:idx val="6"/>
          <c:order val="6"/>
          <c:tx>
            <c:strRef>
              <c:f>'CONSOLIDADO 5 AÑOS'!$A$9</c:f>
              <c:strCache>
                <c:ptCount val="1"/>
                <c:pt idx="0">
                  <c:v>CAPACITACIONES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AÑOS'!$C$9</c:f>
              <c:numCache>
                <c:formatCode>0%</c:formatCode>
                <c:ptCount val="1"/>
                <c:pt idx="0">
                  <c:v>6.0807075732448868E-3</c:v>
                </c:pt>
              </c:numCache>
            </c:numRef>
          </c:val>
          <c:extLst>
            <c:ext xmlns:c16="http://schemas.microsoft.com/office/drawing/2014/chart" uri="{C3380CC4-5D6E-409C-BE32-E72D297353CC}">
              <c16:uniqueId val="{00000006-43F7-44A3-AE96-F77C088EA3E2}"/>
            </c:ext>
          </c:extLst>
        </c:ser>
        <c:ser>
          <c:idx val="7"/>
          <c:order val="7"/>
          <c:tx>
            <c:strRef>
              <c:f>'CONSOLIDADO 5 AÑOS'!$A$10</c:f>
              <c:strCache>
                <c:ptCount val="1"/>
                <c:pt idx="0">
                  <c:v>EXTRICACIÓN VEHICULAR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AÑOS'!$C$10</c:f>
              <c:numCache>
                <c:formatCode>0%</c:formatCode>
                <c:ptCount val="1"/>
                <c:pt idx="0">
                  <c:v>7.1862907683803209E-3</c:v>
                </c:pt>
              </c:numCache>
            </c:numRef>
          </c:val>
          <c:extLst>
            <c:ext xmlns:c16="http://schemas.microsoft.com/office/drawing/2014/chart" uri="{C3380CC4-5D6E-409C-BE32-E72D297353CC}">
              <c16:uniqueId val="{00000007-43F7-44A3-AE96-F77C088EA3E2}"/>
            </c:ext>
          </c:extLst>
        </c:ser>
        <c:ser>
          <c:idx val="8"/>
          <c:order val="8"/>
          <c:tx>
            <c:strRef>
              <c:f>'CONSOLIDADO 5 AÑOS'!$A$11</c:f>
              <c:strCache>
                <c:ptCount val="1"/>
                <c:pt idx="0">
                  <c:v>FUGA DE GAS NATURAL</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AÑOS'!$C$11</c:f>
              <c:numCache>
                <c:formatCode>0%</c:formatCode>
                <c:ptCount val="1"/>
                <c:pt idx="0">
                  <c:v>4.3670536207849643E-2</c:v>
                </c:pt>
              </c:numCache>
            </c:numRef>
          </c:val>
          <c:extLst>
            <c:ext xmlns:c16="http://schemas.microsoft.com/office/drawing/2014/chart" uri="{C3380CC4-5D6E-409C-BE32-E72D297353CC}">
              <c16:uniqueId val="{00000008-43F7-44A3-AE96-F77C088EA3E2}"/>
            </c:ext>
          </c:extLst>
        </c:ser>
        <c:ser>
          <c:idx val="9"/>
          <c:order val="9"/>
          <c:tx>
            <c:strRef>
              <c:f>'CONSOLIDADO 5 AÑOS'!$A$12</c:f>
              <c:strCache>
                <c:ptCount val="1"/>
                <c:pt idx="0">
                  <c:v>FUGA DE GAS GLP</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AÑOS'!$C$12</c:f>
              <c:numCache>
                <c:formatCode>0%</c:formatCode>
                <c:ptCount val="1"/>
                <c:pt idx="0">
                  <c:v>3.3167495854063019E-3</c:v>
                </c:pt>
              </c:numCache>
            </c:numRef>
          </c:val>
          <c:extLst>
            <c:ext xmlns:c16="http://schemas.microsoft.com/office/drawing/2014/chart" uri="{C3380CC4-5D6E-409C-BE32-E72D297353CC}">
              <c16:uniqueId val="{00000009-43F7-44A3-AE96-F77C088EA3E2}"/>
            </c:ext>
          </c:extLst>
        </c:ser>
        <c:ser>
          <c:idx val="10"/>
          <c:order val="10"/>
          <c:tx>
            <c:strRef>
              <c:f>'CONSOLIDADO 5 AÑOS'!$A$13</c:f>
              <c:strCache>
                <c:ptCount val="1"/>
                <c:pt idx="0">
                  <c:v>INCENDIO FORESTAL</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AÑOS'!$C$13</c:f>
              <c:numCache>
                <c:formatCode>0%</c:formatCode>
                <c:ptCount val="1"/>
                <c:pt idx="0">
                  <c:v>0.10060807075732449</c:v>
                </c:pt>
              </c:numCache>
            </c:numRef>
          </c:val>
          <c:extLst>
            <c:ext xmlns:c16="http://schemas.microsoft.com/office/drawing/2014/chart" uri="{C3380CC4-5D6E-409C-BE32-E72D297353CC}">
              <c16:uniqueId val="{0000000A-43F7-44A3-AE96-F77C088EA3E2}"/>
            </c:ext>
          </c:extLst>
        </c:ser>
        <c:ser>
          <c:idx val="11"/>
          <c:order val="11"/>
          <c:tx>
            <c:strRef>
              <c:f>'CONSOLIDADO 5 AÑOS'!$A$14</c:f>
              <c:strCache>
                <c:ptCount val="1"/>
                <c:pt idx="0">
                  <c:v>INCENDIO ESTRUCTURAL</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AÑOS'!$C$14</c:f>
              <c:numCache>
                <c:formatCode>0%</c:formatCode>
                <c:ptCount val="1"/>
                <c:pt idx="0">
                  <c:v>2.5428413488114979E-2</c:v>
                </c:pt>
              </c:numCache>
            </c:numRef>
          </c:val>
          <c:extLst>
            <c:ext xmlns:c16="http://schemas.microsoft.com/office/drawing/2014/chart" uri="{C3380CC4-5D6E-409C-BE32-E72D297353CC}">
              <c16:uniqueId val="{0000000B-43F7-44A3-AE96-F77C088EA3E2}"/>
            </c:ext>
          </c:extLst>
        </c:ser>
        <c:ser>
          <c:idx val="12"/>
          <c:order val="12"/>
          <c:tx>
            <c:strRef>
              <c:f>'CONSOLIDADO 5 AÑOS'!$A$15</c:f>
              <c:strCache>
                <c:ptCount val="1"/>
                <c:pt idx="0">
                  <c:v>INCENDIO VEHICULAR</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AÑOS'!$C$15</c:f>
              <c:numCache>
                <c:formatCode>0%</c:formatCode>
                <c:ptCount val="1"/>
                <c:pt idx="0">
                  <c:v>1.658374792703151E-2</c:v>
                </c:pt>
              </c:numCache>
            </c:numRef>
          </c:val>
          <c:extLst>
            <c:ext xmlns:c16="http://schemas.microsoft.com/office/drawing/2014/chart" uri="{C3380CC4-5D6E-409C-BE32-E72D297353CC}">
              <c16:uniqueId val="{0000000C-43F7-44A3-AE96-F77C088EA3E2}"/>
            </c:ext>
          </c:extLst>
        </c:ser>
        <c:ser>
          <c:idx val="13"/>
          <c:order val="13"/>
          <c:tx>
            <c:strRef>
              <c:f>'CONSOLIDADO 5 AÑOS'!$A$16</c:f>
              <c:strCache>
                <c:ptCount val="1"/>
                <c:pt idx="0">
                  <c:v>INUNDACIÓN</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AÑOS'!$C$16</c:f>
              <c:numCache>
                <c:formatCode>0%</c:formatCode>
                <c:ptCount val="1"/>
                <c:pt idx="0">
                  <c:v>4.5881702598120508E-2</c:v>
                </c:pt>
              </c:numCache>
            </c:numRef>
          </c:val>
          <c:extLst>
            <c:ext xmlns:c16="http://schemas.microsoft.com/office/drawing/2014/chart" uri="{C3380CC4-5D6E-409C-BE32-E72D297353CC}">
              <c16:uniqueId val="{0000000D-43F7-44A3-AE96-F77C088EA3E2}"/>
            </c:ext>
          </c:extLst>
        </c:ser>
        <c:ser>
          <c:idx val="14"/>
          <c:order val="14"/>
          <c:tx>
            <c:strRef>
              <c:f>'CONSOLIDADO 5 AÑOS'!$A$17</c:f>
              <c:strCache>
                <c:ptCount val="1"/>
                <c:pt idx="0">
                  <c:v>LABORES DE PREVENCION O ACOMPAÑAMIENTO EN GESTION DEL RIESGO</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AÑOS'!$C$17</c:f>
              <c:numCache>
                <c:formatCode>0%</c:formatCode>
                <c:ptCount val="1"/>
                <c:pt idx="0">
                  <c:v>0.10558319513543395</c:v>
                </c:pt>
              </c:numCache>
            </c:numRef>
          </c:val>
          <c:extLst>
            <c:ext xmlns:c16="http://schemas.microsoft.com/office/drawing/2014/chart" uri="{C3380CC4-5D6E-409C-BE32-E72D297353CC}">
              <c16:uniqueId val="{0000000E-43F7-44A3-AE96-F77C088EA3E2}"/>
            </c:ext>
          </c:extLst>
        </c:ser>
        <c:ser>
          <c:idx val="15"/>
          <c:order val="15"/>
          <c:tx>
            <c:strRef>
              <c:f>'CONSOLIDADO 5 AÑOS'!$A$18</c:f>
              <c:strCache>
                <c:ptCount val="1"/>
                <c:pt idx="0">
                  <c:v>MATERIALES PELIGROSOS / DERRAMES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AÑOS'!$C$18</c:f>
              <c:numCache>
                <c:formatCode>0%</c:formatCode>
                <c:ptCount val="1"/>
                <c:pt idx="0">
                  <c:v>1.4925373134328358E-2</c:v>
                </c:pt>
              </c:numCache>
            </c:numRef>
          </c:val>
          <c:extLst>
            <c:ext xmlns:c16="http://schemas.microsoft.com/office/drawing/2014/chart" uri="{C3380CC4-5D6E-409C-BE32-E72D297353CC}">
              <c16:uniqueId val="{0000000F-43F7-44A3-AE96-F77C088EA3E2}"/>
            </c:ext>
          </c:extLst>
        </c:ser>
        <c:ser>
          <c:idx val="16"/>
          <c:order val="16"/>
          <c:tx>
            <c:strRef>
              <c:f>'CONSOLIDADO 5 AÑOS'!$A$19</c:f>
              <c:strCache>
                <c:ptCount val="1"/>
                <c:pt idx="0">
                  <c:v>PRIMEROS AUXILIOS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AÑOS'!$C$19</c:f>
              <c:numCache>
                <c:formatCode>0%</c:formatCode>
                <c:ptCount val="1"/>
                <c:pt idx="0">
                  <c:v>2.1558872305140961E-2</c:v>
                </c:pt>
              </c:numCache>
            </c:numRef>
          </c:val>
          <c:extLst>
            <c:ext xmlns:c16="http://schemas.microsoft.com/office/drawing/2014/chart" uri="{C3380CC4-5D6E-409C-BE32-E72D297353CC}">
              <c16:uniqueId val="{00000010-43F7-44A3-AE96-F77C088EA3E2}"/>
            </c:ext>
          </c:extLst>
        </c:ser>
        <c:ser>
          <c:idx val="17"/>
          <c:order val="17"/>
          <c:tx>
            <c:strRef>
              <c:f>'CONSOLIDADO 5 AÑOS'!$A$20</c:f>
              <c:strCache>
                <c:ptCount val="1"/>
                <c:pt idx="0">
                  <c:v>RESCATE DE PERSONA / PARAPENTE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AÑOS'!$C$20</c:f>
              <c:numCache>
                <c:formatCode>0%</c:formatCode>
                <c:ptCount val="1"/>
                <c:pt idx="0">
                  <c:v>2.9297954671088998E-2</c:v>
                </c:pt>
              </c:numCache>
            </c:numRef>
          </c:val>
          <c:extLst>
            <c:ext xmlns:c16="http://schemas.microsoft.com/office/drawing/2014/chart" uri="{C3380CC4-5D6E-409C-BE32-E72D297353CC}">
              <c16:uniqueId val="{00000011-43F7-44A3-AE96-F77C088EA3E2}"/>
            </c:ext>
          </c:extLst>
        </c:ser>
        <c:ser>
          <c:idx val="18"/>
          <c:order val="18"/>
          <c:tx>
            <c:strRef>
              <c:f>'CONSOLIDADO 5 AÑOS'!$A$21</c:f>
              <c:strCache>
                <c:ptCount val="1"/>
                <c:pt idx="0">
                  <c:v>RESCATE DE ANIMAL</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AÑOS'!$C$21</c:f>
              <c:numCache>
                <c:formatCode>0%</c:formatCode>
                <c:ptCount val="1"/>
                <c:pt idx="0">
                  <c:v>7.1862907683803212E-2</c:v>
                </c:pt>
              </c:numCache>
            </c:numRef>
          </c:val>
          <c:extLst>
            <c:ext xmlns:c16="http://schemas.microsoft.com/office/drawing/2014/chart" uri="{C3380CC4-5D6E-409C-BE32-E72D297353CC}">
              <c16:uniqueId val="{00000012-43F7-44A3-AE96-F77C088EA3E2}"/>
            </c:ext>
          </c:extLst>
        </c:ser>
        <c:ser>
          <c:idx val="19"/>
          <c:order val="19"/>
          <c:tx>
            <c:strRef>
              <c:f>'CONSOLIDADO 5 AÑOS'!$A$22</c:f>
              <c:strCache>
                <c:ptCount val="1"/>
                <c:pt idx="0">
                  <c:v>REUNIÓN EN LA ALCALDÍA</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AÑOS'!$C$22</c:f>
              <c:numCache>
                <c:formatCode>0%</c:formatCode>
                <c:ptCount val="1"/>
                <c:pt idx="0">
                  <c:v>2.7639579878385848E-3</c:v>
                </c:pt>
              </c:numCache>
            </c:numRef>
          </c:val>
          <c:extLst>
            <c:ext xmlns:c16="http://schemas.microsoft.com/office/drawing/2014/chart" uri="{C3380CC4-5D6E-409C-BE32-E72D297353CC}">
              <c16:uniqueId val="{00000013-43F7-44A3-AE96-F77C088EA3E2}"/>
            </c:ext>
          </c:extLst>
        </c:ser>
        <c:ser>
          <c:idx val="20"/>
          <c:order val="20"/>
          <c:tx>
            <c:strRef>
              <c:f>'CONSOLIDADO 5 AÑOS'!$A$23</c:f>
              <c:strCache>
                <c:ptCount val="1"/>
                <c:pt idx="0">
                  <c:v>REUNIONES DE SERVICIO SOCIAL</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AÑOS'!$C$23</c:f>
              <c:numCache>
                <c:formatCode>0%</c:formatCode>
                <c:ptCount val="1"/>
                <c:pt idx="0">
                  <c:v>4.1459369817578771E-2</c:v>
                </c:pt>
              </c:numCache>
            </c:numRef>
          </c:val>
          <c:extLst>
            <c:ext xmlns:c16="http://schemas.microsoft.com/office/drawing/2014/chart" uri="{C3380CC4-5D6E-409C-BE32-E72D297353CC}">
              <c16:uniqueId val="{00000014-43F7-44A3-AE96-F77C088EA3E2}"/>
            </c:ext>
          </c:extLst>
        </c:ser>
        <c:ser>
          <c:idx val="21"/>
          <c:order val="21"/>
          <c:tx>
            <c:strRef>
              <c:f>'CONSOLIDADO 5 AÑOS'!$A$24</c:f>
              <c:strCache>
                <c:ptCount val="1"/>
                <c:pt idx="0">
                  <c:v>SUMINISTROS DE AGUA</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AÑOS'!$C$24</c:f>
              <c:numCache>
                <c:formatCode>0%</c:formatCode>
                <c:ptCount val="1"/>
                <c:pt idx="0">
                  <c:v>1.824212271973466E-2</c:v>
                </c:pt>
              </c:numCache>
            </c:numRef>
          </c:val>
          <c:extLst>
            <c:ext xmlns:c16="http://schemas.microsoft.com/office/drawing/2014/chart" uri="{C3380CC4-5D6E-409C-BE32-E72D297353CC}">
              <c16:uniqueId val="{00000015-43F7-44A3-AE96-F77C088EA3E2}"/>
            </c:ext>
          </c:extLst>
        </c:ser>
        <c:ser>
          <c:idx val="22"/>
          <c:order val="22"/>
          <c:tx>
            <c:strRef>
              <c:f>'CONSOLIDADO 5 AÑOS'!$A$25</c:f>
              <c:strCache>
                <c:ptCount val="1"/>
                <c:pt idx="0">
                  <c:v>VISITAS DE SEGURIDAD</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5 AÑOS'!$C$2</c:f>
              <c:strCache>
                <c:ptCount val="1"/>
                <c:pt idx="0">
                  <c:v>% INCIDENCIA</c:v>
                </c:pt>
              </c:strCache>
            </c:strRef>
          </c:cat>
          <c:val>
            <c:numRef>
              <c:f>'CONSOLIDADO 5 AÑOS'!$C$25</c:f>
              <c:numCache>
                <c:formatCode>0%</c:formatCode>
                <c:ptCount val="1"/>
                <c:pt idx="0">
                  <c:v>0.22940851299060255</c:v>
                </c:pt>
              </c:numCache>
            </c:numRef>
          </c:val>
          <c:extLst>
            <c:ext xmlns:c16="http://schemas.microsoft.com/office/drawing/2014/chart" uri="{C3380CC4-5D6E-409C-BE32-E72D297353CC}">
              <c16:uniqueId val="{00000016-43F7-44A3-AE96-F77C088EA3E2}"/>
            </c:ext>
          </c:extLst>
        </c:ser>
        <c:dLbls>
          <c:dLblPos val="outEnd"/>
          <c:showLegendKey val="0"/>
          <c:showVal val="1"/>
          <c:showCatName val="0"/>
          <c:showSerName val="0"/>
          <c:showPercent val="0"/>
          <c:showBubbleSize val="0"/>
        </c:dLbls>
        <c:gapWidth val="100"/>
        <c:overlap val="-24"/>
        <c:axId val="661947023"/>
        <c:axId val="670577839"/>
      </c:barChart>
      <c:catAx>
        <c:axId val="6619470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670577839"/>
        <c:crosses val="autoZero"/>
        <c:auto val="1"/>
        <c:lblAlgn val="ctr"/>
        <c:lblOffset val="100"/>
        <c:noMultiLvlLbl val="0"/>
      </c:catAx>
      <c:valAx>
        <c:axId val="670577839"/>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661947023"/>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s-CO"/>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sz="1800">
                <a:effectLst/>
              </a:rPr>
              <a:t>COMPARACIÓN DEL TOTAL ANUAL DE EMERGENCIAS Y ACTIVIDADES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barChart>
        <c:barDir val="col"/>
        <c:grouping val="clustered"/>
        <c:varyColors val="0"/>
        <c:ser>
          <c:idx val="0"/>
          <c:order val="0"/>
          <c:tx>
            <c:strRef>
              <c:f>'CONSOLIDADO 5 AÑOS'!$D$44</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0-7403-42A7-B5AD-9B30C6E61B3E}"/>
              </c:ext>
            </c:extLst>
          </c:dPt>
          <c:dPt>
            <c:idx val="1"/>
            <c:invertIfNegative val="0"/>
            <c:bubble3D val="0"/>
            <c:extLst>
              <c:ext xmlns:c16="http://schemas.microsoft.com/office/drawing/2014/chart" uri="{C3380CC4-5D6E-409C-BE32-E72D297353CC}">
                <c16:uniqueId val="{00000001-7403-42A7-B5AD-9B30C6E61B3E}"/>
              </c:ext>
            </c:extLst>
          </c:dPt>
          <c:dPt>
            <c:idx val="2"/>
            <c:invertIfNegative val="0"/>
            <c:bubble3D val="0"/>
            <c:extLst>
              <c:ext xmlns:c16="http://schemas.microsoft.com/office/drawing/2014/chart" uri="{C3380CC4-5D6E-409C-BE32-E72D297353CC}">
                <c16:uniqueId val="{00000002-7403-42A7-B5AD-9B30C6E61B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'CONSOLIDADO 5 AÑOS'!$D$45</c:f>
              <c:numCache>
                <c:formatCode>General</c:formatCode>
                <c:ptCount val="1"/>
                <c:pt idx="0">
                  <c:v>316</c:v>
                </c:pt>
              </c:numCache>
            </c:numRef>
          </c:val>
          <c:extLst>
            <c:ext xmlns:c16="http://schemas.microsoft.com/office/drawing/2014/chart" uri="{C3380CC4-5D6E-409C-BE32-E72D297353CC}">
              <c16:uniqueId val="{00000003-7403-42A7-B5AD-9B30C6E61B3E}"/>
            </c:ext>
          </c:extLst>
        </c:ser>
        <c:ser>
          <c:idx val="1"/>
          <c:order val="1"/>
          <c:tx>
            <c:strRef>
              <c:f>'CONSOLIDADO 5 AÑOS'!$E$44</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'CONSOLIDADO 5 AÑOS'!$E$45</c:f>
              <c:numCache>
                <c:formatCode>General</c:formatCode>
                <c:ptCount val="1"/>
                <c:pt idx="0">
                  <c:v>470</c:v>
                </c:pt>
              </c:numCache>
            </c:numRef>
          </c:val>
          <c:extLst>
            <c:ext xmlns:c16="http://schemas.microsoft.com/office/drawing/2014/chart" uri="{C3380CC4-5D6E-409C-BE32-E72D297353CC}">
              <c16:uniqueId val="{00000004-7403-42A7-B5AD-9B30C6E61B3E}"/>
            </c:ext>
          </c:extLst>
        </c:ser>
        <c:ser>
          <c:idx val="2"/>
          <c:order val="2"/>
          <c:tx>
            <c:strRef>
              <c:f>'CONSOLIDADO 5 AÑOS'!$F$44</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'CONSOLIDADO 5 AÑOS'!$F$45</c:f>
              <c:numCache>
                <c:formatCode>General</c:formatCode>
                <c:ptCount val="1"/>
                <c:pt idx="0">
                  <c:v>389</c:v>
                </c:pt>
              </c:numCache>
            </c:numRef>
          </c:val>
          <c:extLst>
            <c:ext xmlns:c16="http://schemas.microsoft.com/office/drawing/2014/chart" uri="{C3380CC4-5D6E-409C-BE32-E72D297353CC}">
              <c16:uniqueId val="{00000005-7403-42A7-B5AD-9B30C6E61B3E}"/>
            </c:ext>
          </c:extLst>
        </c:ser>
        <c:ser>
          <c:idx val="3"/>
          <c:order val="3"/>
          <c:tx>
            <c:strRef>
              <c:f>'CONSOLIDADO 5 AÑOS'!$G$44</c:f>
              <c:strCache>
                <c:ptCount val="1"/>
                <c:pt idx="0">
                  <c:v>2024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'CONSOLIDADO 5 AÑOS'!$G$45</c:f>
              <c:numCache>
                <c:formatCode>General</c:formatCode>
                <c:ptCount val="1"/>
                <c:pt idx="0">
                  <c:v>398</c:v>
                </c:pt>
              </c:numCache>
            </c:numRef>
          </c:val>
          <c:extLst>
            <c:ext xmlns:c16="http://schemas.microsoft.com/office/drawing/2014/chart" uri="{C3380CC4-5D6E-409C-BE32-E72D297353CC}">
              <c16:uniqueId val="{00000006-7403-42A7-B5AD-9B30C6E61B3E}"/>
            </c:ext>
          </c:extLst>
        </c:ser>
        <c:ser>
          <c:idx val="4"/>
          <c:order val="4"/>
          <c:tx>
            <c:strRef>
              <c:f>'CONSOLIDADO 5 AÑOS'!$H$44</c:f>
              <c:strCache>
                <c:ptCount val="1"/>
                <c:pt idx="0">
                  <c:v>2025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val>
            <c:numRef>
              <c:f>'CONSOLIDADO 5 AÑOS'!$H$45</c:f>
              <c:numCache>
                <c:formatCode>General</c:formatCode>
                <c:ptCount val="1"/>
                <c:pt idx="0">
                  <c:v>236</c:v>
                </c:pt>
              </c:numCache>
            </c:numRef>
          </c:val>
          <c:extLst>
            <c:ext xmlns:c16="http://schemas.microsoft.com/office/drawing/2014/chart" uri="{C3380CC4-5D6E-409C-BE32-E72D297353CC}">
              <c16:uniqueId val="{00000004-0430-4223-86AE-0AB94D15A769}"/>
            </c:ext>
          </c:extLst>
        </c:ser>
        <c:dLbls>
          <c:dLblPos val="outEnd"/>
          <c:showLegendKey val="0"/>
          <c:showVal val="1"/>
          <c:showCatName val="0"/>
          <c:showSerName val="0"/>
          <c:showPercent val="0"/>
          <c:showBubbleSize val="0"/>
        </c:dLbls>
        <c:gapWidth val="100"/>
        <c:overlap val="-24"/>
        <c:axId val="1343996496"/>
        <c:axId val="1046413680"/>
      </c:barChart>
      <c:catAx>
        <c:axId val="134399649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046413680"/>
        <c:crosses val="autoZero"/>
        <c:auto val="1"/>
        <c:lblAlgn val="ctr"/>
        <c:lblOffset val="100"/>
        <c:noMultiLvlLbl val="0"/>
      </c:catAx>
      <c:valAx>
        <c:axId val="1046413680"/>
        <c:scaling>
          <c:orientation val="minMax"/>
        </c:scaling>
        <c:delete val="0"/>
        <c:axPos val="l"/>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34399649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s-CO"/>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'CONSOLIDADO AÑO 2026'!$A$3</c:f>
              <c:strCache>
                <c:ptCount val="1"/>
                <c:pt idx="0">
                  <c:v>CAÍDA / CORTES DE ARBOL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2026'!$C$3</c:f>
              <c:numCache>
                <c:formatCode>0%</c:formatCode>
                <c:ptCount val="1"/>
                <c:pt idx="0">
                  <c:v>4.3875685557586835E-2</c:v>
                </c:pt>
              </c:numCache>
            </c:numRef>
          </c:val>
          <c:extLst>
            <c:ext xmlns:c16="http://schemas.microsoft.com/office/drawing/2014/chart" uri="{C3380CC4-5D6E-409C-BE32-E72D297353CC}">
              <c16:uniqueId val="{00000000-F867-454F-9A63-8FCB8D815355}"/>
            </c:ext>
          </c:extLst>
        </c:ser>
        <c:ser>
          <c:idx val="1"/>
          <c:order val="1"/>
          <c:tx>
            <c:strRef>
              <c:f>'CONSOLIDADO AÑO 2026'!$A$4</c:f>
              <c:strCache>
                <c:ptCount val="1"/>
                <c:pt idx="0">
                  <c:v>CONTROL DE ABEJAS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2026'!$C$4</c:f>
              <c:numCache>
                <c:formatCode>0%</c:formatCode>
                <c:ptCount val="1"/>
                <c:pt idx="0">
                  <c:v>4.5703839122486288E-2</c:v>
                </c:pt>
              </c:numCache>
            </c:numRef>
          </c:val>
          <c:extLst>
            <c:ext xmlns:c16="http://schemas.microsoft.com/office/drawing/2014/chart" uri="{C3380CC4-5D6E-409C-BE32-E72D297353CC}">
              <c16:uniqueId val="{00000001-F867-454F-9A63-8FCB8D815355}"/>
            </c:ext>
          </c:extLst>
        </c:ser>
        <c:ser>
          <c:idx val="2"/>
          <c:order val="2"/>
          <c:tx>
            <c:strRef>
              <c:f>'CONSOLIDADO AÑO 2026'!$A$5</c:f>
              <c:strCache>
                <c:ptCount val="1"/>
                <c:pt idx="0">
                  <c:v>CONTROL DE AVISPAS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2026'!$C$5</c:f>
              <c:numCache>
                <c:formatCode>0%</c:formatCode>
                <c:ptCount val="1"/>
                <c:pt idx="0">
                  <c:v>1.0968921389396709E-2</c:v>
                </c:pt>
              </c:numCache>
            </c:numRef>
          </c:val>
          <c:extLst>
            <c:ext xmlns:c16="http://schemas.microsoft.com/office/drawing/2014/chart" uri="{C3380CC4-5D6E-409C-BE32-E72D297353CC}">
              <c16:uniqueId val="{00000002-F867-454F-9A63-8FCB8D815355}"/>
            </c:ext>
          </c:extLst>
        </c:ser>
        <c:ser>
          <c:idx val="3"/>
          <c:order val="3"/>
          <c:tx>
            <c:strRef>
              <c:f>'CONSOLIDADO AÑO 2026'!$A$6</c:f>
              <c:strCache>
                <c:ptCount val="1"/>
                <c:pt idx="0">
                  <c:v>CAÍDA DE CUERDAS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2026'!$C$6</c:f>
              <c:numCache>
                <c:formatCode>0%</c:formatCode>
                <c:ptCount val="1"/>
                <c:pt idx="0">
                  <c:v>7.3126142595978062E-3</c:v>
                </c:pt>
              </c:numCache>
            </c:numRef>
          </c:val>
          <c:extLst>
            <c:ext xmlns:c16="http://schemas.microsoft.com/office/drawing/2014/chart" uri="{C3380CC4-5D6E-409C-BE32-E72D297353CC}">
              <c16:uniqueId val="{00000003-F867-454F-9A63-8FCB8D815355}"/>
            </c:ext>
          </c:extLst>
        </c:ser>
        <c:ser>
          <c:idx val="4"/>
          <c:order val="4"/>
          <c:tx>
            <c:strRef>
              <c:f>'CONSOLIDADO AÑO 2026'!$A$7</c:f>
              <c:strCache>
                <c:ptCount val="1"/>
                <c:pt idx="0">
                  <c:v>CORTO CIRCUITO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2026'!$C$7</c:f>
              <c:numCache>
                <c:formatCode>0%</c:formatCode>
                <c:ptCount val="1"/>
                <c:pt idx="0">
                  <c:v>1.4625228519195612E-2</c:v>
                </c:pt>
              </c:numCache>
            </c:numRef>
          </c:val>
          <c:extLst>
            <c:ext xmlns:c16="http://schemas.microsoft.com/office/drawing/2014/chart" uri="{C3380CC4-5D6E-409C-BE32-E72D297353CC}">
              <c16:uniqueId val="{00000004-F867-454F-9A63-8FCB8D815355}"/>
            </c:ext>
          </c:extLst>
        </c:ser>
        <c:ser>
          <c:idx val="5"/>
          <c:order val="5"/>
          <c:tx>
            <c:strRef>
              <c:f>'CONSOLIDADO AÑO 2026'!$A$8</c:f>
              <c:strCache>
                <c:ptCount val="1"/>
                <c:pt idx="0">
                  <c:v>COLAPSO DE ESTRUCTURAS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2026'!$C$8</c:f>
              <c:numCache>
                <c:formatCode>0%</c:formatCode>
                <c:ptCount val="1"/>
                <c:pt idx="0">
                  <c:v>5.4844606946983544E-3</c:v>
                </c:pt>
              </c:numCache>
            </c:numRef>
          </c:val>
          <c:extLst>
            <c:ext xmlns:c16="http://schemas.microsoft.com/office/drawing/2014/chart" uri="{C3380CC4-5D6E-409C-BE32-E72D297353CC}">
              <c16:uniqueId val="{00000005-F867-454F-9A63-8FCB8D815355}"/>
            </c:ext>
          </c:extLst>
        </c:ser>
        <c:ser>
          <c:idx val="6"/>
          <c:order val="6"/>
          <c:tx>
            <c:strRef>
              <c:f>'CONSOLIDADO AÑO 2026'!$A$9</c:f>
              <c:strCache>
                <c:ptCount val="1"/>
                <c:pt idx="0">
                  <c:v>CAPACITACIONES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2026'!$C$9</c:f>
              <c:numCache>
                <c:formatCode>0%</c:formatCode>
                <c:ptCount val="1"/>
                <c:pt idx="0">
                  <c:v>0</c:v>
                </c:pt>
              </c:numCache>
            </c:numRef>
          </c:val>
          <c:extLst>
            <c:ext xmlns:c16="http://schemas.microsoft.com/office/drawing/2014/chart" uri="{C3380CC4-5D6E-409C-BE32-E72D297353CC}">
              <c16:uniqueId val="{00000006-F867-454F-9A63-8FCB8D815355}"/>
            </c:ext>
          </c:extLst>
        </c:ser>
        <c:ser>
          <c:idx val="7"/>
          <c:order val="7"/>
          <c:tx>
            <c:strRef>
              <c:f>'CONSOLIDADO AÑO 2026'!$A$10</c:f>
              <c:strCache>
                <c:ptCount val="1"/>
                <c:pt idx="0">
                  <c:v>EXTRICACIÓN VEHICULAR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2026'!$C$10</c:f>
              <c:numCache>
                <c:formatCode>0%</c:formatCode>
                <c:ptCount val="1"/>
                <c:pt idx="0">
                  <c:v>0</c:v>
                </c:pt>
              </c:numCache>
            </c:numRef>
          </c:val>
          <c:extLst>
            <c:ext xmlns:c16="http://schemas.microsoft.com/office/drawing/2014/chart" uri="{C3380CC4-5D6E-409C-BE32-E72D297353CC}">
              <c16:uniqueId val="{00000007-F867-454F-9A63-8FCB8D815355}"/>
            </c:ext>
          </c:extLst>
        </c:ser>
        <c:ser>
          <c:idx val="8"/>
          <c:order val="8"/>
          <c:tx>
            <c:strRef>
              <c:f>'CONSOLIDADO AÑO 2026'!$A$11</c:f>
              <c:strCache>
                <c:ptCount val="1"/>
                <c:pt idx="0">
                  <c:v>FUGA DE GAS NATURAL</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2026'!$C$11</c:f>
              <c:numCache>
                <c:formatCode>0%</c:formatCode>
                <c:ptCount val="1"/>
                <c:pt idx="0">
                  <c:v>4.2047531992687383E-2</c:v>
                </c:pt>
              </c:numCache>
            </c:numRef>
          </c:val>
          <c:extLst>
            <c:ext xmlns:c16="http://schemas.microsoft.com/office/drawing/2014/chart" uri="{C3380CC4-5D6E-409C-BE32-E72D297353CC}">
              <c16:uniqueId val="{00000008-F867-454F-9A63-8FCB8D815355}"/>
            </c:ext>
          </c:extLst>
        </c:ser>
        <c:ser>
          <c:idx val="9"/>
          <c:order val="9"/>
          <c:tx>
            <c:strRef>
              <c:f>'CONSOLIDADO AÑO 2026'!$A$12</c:f>
              <c:strCache>
                <c:ptCount val="1"/>
                <c:pt idx="0">
                  <c:v>FUGA DE GAS GLP</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2026'!$C$12</c:f>
              <c:numCache>
                <c:formatCode>0%</c:formatCode>
                <c:ptCount val="1"/>
                <c:pt idx="0">
                  <c:v>1.8281535648994515E-3</c:v>
                </c:pt>
              </c:numCache>
            </c:numRef>
          </c:val>
          <c:extLst>
            <c:ext xmlns:c16="http://schemas.microsoft.com/office/drawing/2014/chart" uri="{C3380CC4-5D6E-409C-BE32-E72D297353CC}">
              <c16:uniqueId val="{00000009-F867-454F-9A63-8FCB8D815355}"/>
            </c:ext>
          </c:extLst>
        </c:ser>
        <c:ser>
          <c:idx val="10"/>
          <c:order val="10"/>
          <c:tx>
            <c:strRef>
              <c:f>'CONSOLIDADO AÑO 2026'!$A$13</c:f>
              <c:strCache>
                <c:ptCount val="1"/>
                <c:pt idx="0">
                  <c:v>INCENDIO FORESTAL</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2026'!$C$13</c:f>
              <c:numCache>
                <c:formatCode>0%</c:formatCode>
                <c:ptCount val="1"/>
                <c:pt idx="0">
                  <c:v>7.6782449725776969E-2</c:v>
                </c:pt>
              </c:numCache>
            </c:numRef>
          </c:val>
          <c:extLst>
            <c:ext xmlns:c16="http://schemas.microsoft.com/office/drawing/2014/chart" uri="{C3380CC4-5D6E-409C-BE32-E72D297353CC}">
              <c16:uniqueId val="{0000000A-F867-454F-9A63-8FCB8D815355}"/>
            </c:ext>
          </c:extLst>
        </c:ser>
        <c:ser>
          <c:idx val="11"/>
          <c:order val="11"/>
          <c:tx>
            <c:strRef>
              <c:f>'CONSOLIDADO AÑO 2026'!$A$14</c:f>
              <c:strCache>
                <c:ptCount val="1"/>
                <c:pt idx="0">
                  <c:v>INCENDIO ESTRUCTURAL</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2026'!$C$14</c:f>
              <c:numCache>
                <c:formatCode>0%</c:formatCode>
                <c:ptCount val="1"/>
                <c:pt idx="0">
                  <c:v>2.376599634369287E-2</c:v>
                </c:pt>
              </c:numCache>
            </c:numRef>
          </c:val>
          <c:extLst>
            <c:ext xmlns:c16="http://schemas.microsoft.com/office/drawing/2014/chart" uri="{C3380CC4-5D6E-409C-BE32-E72D297353CC}">
              <c16:uniqueId val="{0000000B-F867-454F-9A63-8FCB8D815355}"/>
            </c:ext>
          </c:extLst>
        </c:ser>
        <c:ser>
          <c:idx val="12"/>
          <c:order val="12"/>
          <c:tx>
            <c:strRef>
              <c:f>'CONSOLIDADO AÑO 2026'!$A$15</c:f>
              <c:strCache>
                <c:ptCount val="1"/>
                <c:pt idx="0">
                  <c:v>INCENDIO VEHICULAR</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2026'!$C$15</c:f>
              <c:numCache>
                <c:formatCode>0%</c:formatCode>
                <c:ptCount val="1"/>
                <c:pt idx="0">
                  <c:v>9.140767824497258E-3</c:v>
                </c:pt>
              </c:numCache>
            </c:numRef>
          </c:val>
          <c:extLst>
            <c:ext xmlns:c16="http://schemas.microsoft.com/office/drawing/2014/chart" uri="{C3380CC4-5D6E-409C-BE32-E72D297353CC}">
              <c16:uniqueId val="{0000000C-F867-454F-9A63-8FCB8D815355}"/>
            </c:ext>
          </c:extLst>
        </c:ser>
        <c:ser>
          <c:idx val="13"/>
          <c:order val="13"/>
          <c:tx>
            <c:strRef>
              <c:f>'CONSOLIDADO AÑO 2026'!$A$16</c:f>
              <c:strCache>
                <c:ptCount val="1"/>
                <c:pt idx="0">
                  <c:v>INUNDACIÓN</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2026'!$C$16</c:f>
              <c:numCache>
                <c:formatCode>0%</c:formatCode>
                <c:ptCount val="1"/>
                <c:pt idx="0">
                  <c:v>5.4844606946983544E-3</c:v>
                </c:pt>
              </c:numCache>
            </c:numRef>
          </c:val>
          <c:extLst>
            <c:ext xmlns:c16="http://schemas.microsoft.com/office/drawing/2014/chart" uri="{C3380CC4-5D6E-409C-BE32-E72D297353CC}">
              <c16:uniqueId val="{0000000D-F867-454F-9A63-8FCB8D815355}"/>
            </c:ext>
          </c:extLst>
        </c:ser>
        <c:ser>
          <c:idx val="14"/>
          <c:order val="14"/>
          <c:tx>
            <c:strRef>
              <c:f>'CONSOLIDADO AÑO 2026'!$A$17</c:f>
              <c:strCache>
                <c:ptCount val="1"/>
                <c:pt idx="0">
                  <c:v>LABORES DE PREVENCION O ACOMPAÑAMIENTO EN GESTION DEL RIESGO</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2026'!$C$17</c:f>
              <c:numCache>
                <c:formatCode>0%</c:formatCode>
                <c:ptCount val="1"/>
                <c:pt idx="0">
                  <c:v>0.60329067641681899</c:v>
                </c:pt>
              </c:numCache>
            </c:numRef>
          </c:val>
          <c:extLst>
            <c:ext xmlns:c16="http://schemas.microsoft.com/office/drawing/2014/chart" uri="{C3380CC4-5D6E-409C-BE32-E72D297353CC}">
              <c16:uniqueId val="{0000000E-F867-454F-9A63-8FCB8D815355}"/>
            </c:ext>
          </c:extLst>
        </c:ser>
        <c:ser>
          <c:idx val="15"/>
          <c:order val="15"/>
          <c:tx>
            <c:strRef>
              <c:f>'CONSOLIDADO AÑO 2026'!$A$18</c:f>
              <c:strCache>
                <c:ptCount val="1"/>
                <c:pt idx="0">
                  <c:v>MATERIALES PELIGROSOS / DERRAMES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2026'!$C$18</c:f>
              <c:numCache>
                <c:formatCode>0%</c:formatCode>
                <c:ptCount val="1"/>
                <c:pt idx="0">
                  <c:v>7.3126142595978062E-3</c:v>
                </c:pt>
              </c:numCache>
            </c:numRef>
          </c:val>
          <c:extLst>
            <c:ext xmlns:c16="http://schemas.microsoft.com/office/drawing/2014/chart" uri="{C3380CC4-5D6E-409C-BE32-E72D297353CC}">
              <c16:uniqueId val="{0000000F-F867-454F-9A63-8FCB8D815355}"/>
            </c:ext>
          </c:extLst>
        </c:ser>
        <c:ser>
          <c:idx val="16"/>
          <c:order val="16"/>
          <c:tx>
            <c:strRef>
              <c:f>'CONSOLIDADO AÑO 2026'!$A$19</c:f>
              <c:strCache>
                <c:ptCount val="1"/>
                <c:pt idx="0">
                  <c:v>PRIMEROS AUXILIOS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2026'!$C$19</c:f>
              <c:numCache>
                <c:formatCode>0%</c:formatCode>
                <c:ptCount val="1"/>
                <c:pt idx="0">
                  <c:v>3.6563071297989031E-3</c:v>
                </c:pt>
              </c:numCache>
            </c:numRef>
          </c:val>
          <c:extLst>
            <c:ext xmlns:c16="http://schemas.microsoft.com/office/drawing/2014/chart" uri="{C3380CC4-5D6E-409C-BE32-E72D297353CC}">
              <c16:uniqueId val="{00000010-F867-454F-9A63-8FCB8D815355}"/>
            </c:ext>
          </c:extLst>
        </c:ser>
        <c:ser>
          <c:idx val="17"/>
          <c:order val="17"/>
          <c:tx>
            <c:strRef>
              <c:f>'CONSOLIDADO AÑO 2026'!$A$20</c:f>
              <c:strCache>
                <c:ptCount val="1"/>
                <c:pt idx="0">
                  <c:v>RESCATE DE PERSONA / PARAPENTE</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2026'!$C$20</c:f>
              <c:numCache>
                <c:formatCode>0%</c:formatCode>
                <c:ptCount val="1"/>
                <c:pt idx="0">
                  <c:v>1.0968921389396709E-2</c:v>
                </c:pt>
              </c:numCache>
            </c:numRef>
          </c:val>
          <c:extLst>
            <c:ext xmlns:c16="http://schemas.microsoft.com/office/drawing/2014/chart" uri="{C3380CC4-5D6E-409C-BE32-E72D297353CC}">
              <c16:uniqueId val="{00000011-F867-454F-9A63-8FCB8D815355}"/>
            </c:ext>
          </c:extLst>
        </c:ser>
        <c:ser>
          <c:idx val="18"/>
          <c:order val="18"/>
          <c:tx>
            <c:strRef>
              <c:f>'CONSOLIDADO AÑO 2026'!$A$21</c:f>
              <c:strCache>
                <c:ptCount val="1"/>
                <c:pt idx="0">
                  <c:v>RESCATE DE ANIMAL</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2026'!$C$21</c:f>
              <c:numCache>
                <c:formatCode>0%</c:formatCode>
                <c:ptCount val="1"/>
                <c:pt idx="0">
                  <c:v>3.8391224862888484E-2</c:v>
                </c:pt>
              </c:numCache>
            </c:numRef>
          </c:val>
          <c:extLst>
            <c:ext xmlns:c16="http://schemas.microsoft.com/office/drawing/2014/chart" uri="{C3380CC4-5D6E-409C-BE32-E72D297353CC}">
              <c16:uniqueId val="{00000012-F867-454F-9A63-8FCB8D815355}"/>
            </c:ext>
          </c:extLst>
        </c:ser>
        <c:ser>
          <c:idx val="19"/>
          <c:order val="19"/>
          <c:tx>
            <c:strRef>
              <c:f>'CONSOLIDADO AÑO 2026'!$A$22</c:f>
              <c:strCache>
                <c:ptCount val="1"/>
                <c:pt idx="0">
                  <c:v>REUNIÓN EN LA ALCALDÍA</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2026'!$C$22</c:f>
              <c:numCache>
                <c:formatCode>0%</c:formatCode>
                <c:ptCount val="1"/>
                <c:pt idx="0">
                  <c:v>9.140767824497258E-3</c:v>
                </c:pt>
              </c:numCache>
            </c:numRef>
          </c:val>
          <c:extLst>
            <c:ext xmlns:c16="http://schemas.microsoft.com/office/drawing/2014/chart" uri="{C3380CC4-5D6E-409C-BE32-E72D297353CC}">
              <c16:uniqueId val="{00000013-F867-454F-9A63-8FCB8D815355}"/>
            </c:ext>
          </c:extLst>
        </c:ser>
        <c:ser>
          <c:idx val="20"/>
          <c:order val="20"/>
          <c:tx>
            <c:strRef>
              <c:f>'CONSOLIDADO AÑO 2026'!$A$23</c:f>
              <c:strCache>
                <c:ptCount val="1"/>
                <c:pt idx="0">
                  <c:v>REUNIONES DE SERVICIO SOCIAL</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2026'!$C$23</c:f>
              <c:numCache>
                <c:formatCode>0%</c:formatCode>
                <c:ptCount val="1"/>
                <c:pt idx="0">
                  <c:v>1.8281535648994515E-3</c:v>
                </c:pt>
              </c:numCache>
            </c:numRef>
          </c:val>
          <c:extLst>
            <c:ext xmlns:c16="http://schemas.microsoft.com/office/drawing/2014/chart" uri="{C3380CC4-5D6E-409C-BE32-E72D297353CC}">
              <c16:uniqueId val="{00000014-F867-454F-9A63-8FCB8D815355}"/>
            </c:ext>
          </c:extLst>
        </c:ser>
        <c:ser>
          <c:idx val="21"/>
          <c:order val="21"/>
          <c:tx>
            <c:strRef>
              <c:f>'CONSOLIDADO AÑO 2026'!$A$24</c:f>
              <c:strCache>
                <c:ptCount val="1"/>
                <c:pt idx="0">
                  <c:v>SUMINISTROS DE AGUA</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2026'!$C$24</c:f>
              <c:numCache>
                <c:formatCode>0%</c:formatCode>
                <c:ptCount val="1"/>
                <c:pt idx="0">
                  <c:v>2.9250457038391225E-2</c:v>
                </c:pt>
              </c:numCache>
            </c:numRef>
          </c:val>
          <c:extLst>
            <c:ext xmlns:c16="http://schemas.microsoft.com/office/drawing/2014/chart" uri="{C3380CC4-5D6E-409C-BE32-E72D297353CC}">
              <c16:uniqueId val="{00000015-F867-454F-9A63-8FCB8D815355}"/>
            </c:ext>
          </c:extLst>
        </c:ser>
        <c:ser>
          <c:idx val="22"/>
          <c:order val="22"/>
          <c:tx>
            <c:strRef>
              <c:f>'CONSOLIDADO AÑO 2026'!$A$25</c:f>
              <c:strCache>
                <c:ptCount val="1"/>
                <c:pt idx="0">
                  <c:v>VISITAS DE SEGURIDAD</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'CONSOLIDADO AÑO 2026'!$C$2</c:f>
              <c:strCache>
                <c:ptCount val="1"/>
                <c:pt idx="0">
                  <c:v>% INCIDENCIA</c:v>
                </c:pt>
              </c:strCache>
            </c:strRef>
          </c:cat>
          <c:val>
            <c:numRef>
              <c:f>'CONSOLIDADO AÑO 2026'!$C$25</c:f>
              <c:numCache>
                <c:formatCode>0%</c:formatCode>
                <c:ptCount val="1"/>
                <c:pt idx="0">
                  <c:v>9.140767824497258E-3</c:v>
                </c:pt>
              </c:numCache>
            </c:numRef>
          </c:val>
          <c:extLst>
            <c:ext xmlns:c16="http://schemas.microsoft.com/office/drawing/2014/chart" uri="{C3380CC4-5D6E-409C-BE32-E72D297353CC}">
              <c16:uniqueId val="{00000016-F867-454F-9A63-8FCB8D815355}"/>
            </c:ext>
          </c:extLst>
        </c:ser>
        <c:dLbls>
          <c:dLblPos val="outEnd"/>
          <c:showLegendKey val="0"/>
          <c:showVal val="1"/>
          <c:showCatName val="0"/>
          <c:showSerName val="0"/>
          <c:showPercent val="0"/>
          <c:showBubbleSize val="0"/>
        </c:dLbls>
        <c:gapWidth val="100"/>
        <c:overlap val="-24"/>
        <c:axId val="661947023"/>
        <c:axId val="670577839"/>
      </c:barChart>
      <c:catAx>
        <c:axId val="6619470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670577839"/>
        <c:crosses val="autoZero"/>
        <c:auto val="1"/>
        <c:lblAlgn val="ctr"/>
        <c:lblOffset val="100"/>
        <c:noMultiLvlLbl val="0"/>
      </c:catAx>
      <c:valAx>
        <c:axId val="670577839"/>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661947023"/>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s-CO"/>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'DETALLADO X MES 2026'!$Z$1</c:f>
          <c:strCache>
            <c:ptCount val="1"/>
            <c:pt idx="0">
              <c:v>TOTAL DE EMERGENCIAS POR MES DE 
INCENDIO FORESTAL (2021-2025)</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endParaRPr lang="es-CO"/>
        </a:p>
      </c:txPr>
    </c:title>
    <c:autoTitleDeleted val="0"/>
    <c:plotArea>
      <c:layout/>
      <c:barChart>
        <c:barDir val="col"/>
        <c:grouping val="clustered"/>
        <c:varyColors val="0"/>
        <c:ser>
          <c:idx val="0"/>
          <c:order val="0"/>
          <c:tx>
            <c:strRef>
              <c:f>'DETALLADO X MES 2026'!$A$5</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2026'!$B$4:$M$4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'DETALLADO X MES 2026'!$B$5:$M$5</c:f>
              <c:numCache>
                <c:formatCode>General</c:formatCode>
                <c:ptCount val="12"/>
                <c:pt idx="0">
                  <c:v>4</c:v>
                </c:pt>
                <c:pt idx="1">
                  <c:v>4</c:v>
                </c:pt>
                <c:pt idx="2">
                  <c:v>0</c:v>
                </c:pt>
                <c:pt idx="3">
                  <c:v>0</c:v>
                </c:pt>
                <c:pt idx="4">
                  <c:v>1</c:v>
                </c:pt>
                <c:pt idx="5">
                  <c:v>1</c:v>
                </c:pt>
                <c:pt idx="6">
                  <c:v>2</c:v>
                </c:pt>
                <c:pt idx="7">
                  <c:v>0</c:v>
                </c:pt>
                <c:pt idx="8">
                  <c:v>0</c:v>
                </c:pt>
                <c:pt idx="9">
                  <c:v>0</c:v>
                </c:pt>
                <c:pt idx="10">
                  <c:v>0</c:v>
                </c:pt>
                <c:pt idx="11">
                  <c:v>0</c:v>
                </c:pt>
              </c:numCache>
            </c:numRef>
          </c:val>
          <c:extLst>
            <c:ext xmlns:c16="http://schemas.microsoft.com/office/drawing/2014/chart" uri="{C3380CC4-5D6E-409C-BE32-E72D297353CC}">
              <c16:uniqueId val="{00000000-8442-48FF-8A13-8E2B513A81A4}"/>
            </c:ext>
          </c:extLst>
        </c:ser>
        <c:ser>
          <c:idx val="1"/>
          <c:order val="1"/>
          <c:tx>
            <c:strRef>
              <c:f>'DETALLADO X MES 2026'!$A$6</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2026'!$B$4:$M$4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'DETALLADO X MES 2026'!$B$6:$M$6</c:f>
              <c:numCache>
                <c:formatCode>General</c:formatCode>
                <c:ptCount val="12"/>
                <c:pt idx="0">
                  <c:v>3</c:v>
                </c:pt>
                <c:pt idx="1">
                  <c:v>3</c:v>
                </c:pt>
                <c:pt idx="2">
                  <c:v>1</c:v>
                </c:pt>
                <c:pt idx="3">
                  <c:v>0</c:v>
                </c:pt>
                <c:pt idx="4">
                  <c:v>2</c:v>
                </c:pt>
                <c:pt idx="5">
                  <c:v>0</c:v>
                </c:pt>
                <c:pt idx="6">
                  <c:v>1</c:v>
                </c:pt>
                <c:pt idx="7">
                  <c:v>3</c:v>
                </c:pt>
                <c:pt idx="8">
                  <c:v>1</c:v>
                </c:pt>
                <c:pt idx="9">
                  <c:v>2</c:v>
                </c:pt>
                <c:pt idx="10">
                  <c:v>2</c:v>
                </c:pt>
                <c:pt idx="11">
                  <c:v>4</c:v>
                </c:pt>
              </c:numCache>
            </c:numRef>
          </c:val>
          <c:extLst>
            <c:ext xmlns:c16="http://schemas.microsoft.com/office/drawing/2014/chart" uri="{C3380CC4-5D6E-409C-BE32-E72D297353CC}">
              <c16:uniqueId val="{00000001-8442-48FF-8A13-8E2B513A81A4}"/>
            </c:ext>
          </c:extLst>
        </c:ser>
        <c:ser>
          <c:idx val="2"/>
          <c:order val="2"/>
          <c:tx>
            <c:strRef>
              <c:f>'DETALLADO X MES 2026'!$A$7</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2026'!$B$4:$M$4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'DETALLADO X MES 2026'!$B$7:$M$7</c:f>
              <c:numCache>
                <c:formatCode>General</c:formatCode>
                <c:ptCount val="12"/>
                <c:pt idx="0">
                  <c:v>6</c:v>
                </c:pt>
                <c:pt idx="1">
                  <c:v>4</c:v>
                </c:pt>
                <c:pt idx="2">
                  <c:v>1</c:v>
                </c:pt>
                <c:pt idx="3">
                  <c:v>1</c:v>
                </c:pt>
                <c:pt idx="4">
                  <c:v>1</c:v>
                </c:pt>
                <c:pt idx="5">
                  <c:v>6</c:v>
                </c:pt>
                <c:pt idx="6">
                  <c:v>8</c:v>
                </c:pt>
                <c:pt idx="7">
                  <c:v>8</c:v>
                </c:pt>
                <c:pt idx="8">
                  <c:v>14</c:v>
                </c:pt>
                <c:pt idx="9">
                  <c:v>1</c:v>
                </c:pt>
                <c:pt idx="10">
                  <c:v>3</c:v>
                </c:pt>
                <c:pt idx="11">
                  <c:v>9</c:v>
                </c:pt>
              </c:numCache>
            </c:numRef>
          </c:val>
          <c:extLst>
            <c:ext xmlns:c16="http://schemas.microsoft.com/office/drawing/2014/chart" uri="{C3380CC4-5D6E-409C-BE32-E72D297353CC}">
              <c16:uniqueId val="{00000002-8442-48FF-8A13-8E2B513A81A4}"/>
            </c:ext>
          </c:extLst>
        </c:ser>
        <c:ser>
          <c:idx val="3"/>
          <c:order val="3"/>
          <c:tx>
            <c:strRef>
              <c:f>'DETALLADO X MES 2026'!$A$8</c:f>
              <c:strCache>
                <c:ptCount val="1"/>
                <c:pt idx="0">
                  <c:v>2024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2026'!$B$4:$M$4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'DETALLADO X MES 2026'!$B$8:$M$8</c:f>
              <c:numCache>
                <c:formatCode>General</c:formatCode>
                <c:ptCount val="12"/>
                <c:pt idx="0">
                  <c:v>15</c:v>
                </c:pt>
                <c:pt idx="1">
                  <c:v>6</c:v>
                </c:pt>
                <c:pt idx="2">
                  <c:v>11</c:v>
                </c:pt>
                <c:pt idx="3">
                  <c:v>3</c:v>
                </c:pt>
                <c:pt idx="4">
                  <c:v>0</c:v>
                </c:pt>
                <c:pt idx="5">
                  <c:v>0</c:v>
                </c:pt>
                <c:pt idx="6">
                  <c:v>2</c:v>
                </c:pt>
                <c:pt idx="7">
                  <c:v>7</c:v>
                </c:pt>
                <c:pt idx="8">
                  <c:v>4</c:v>
                </c:pt>
                <c:pt idx="9">
                  <c:v>0</c:v>
                </c:pt>
                <c:pt idx="10">
                  <c:v>1</c:v>
                </c:pt>
                <c:pt idx="11">
                  <c:v>6</c:v>
                </c:pt>
              </c:numCache>
            </c:numRef>
          </c:val>
          <c:extLst>
            <c:ext xmlns:c16="http://schemas.microsoft.com/office/drawing/2014/chart" uri="{C3380CC4-5D6E-409C-BE32-E72D297353CC}">
              <c16:uniqueId val="{00000000-EE8B-4084-B6C5-4F657DF2EF23}"/>
            </c:ext>
          </c:extLst>
        </c:ser>
        <c:ser>
          <c:idx val="4"/>
          <c:order val="4"/>
          <c:tx>
            <c:strRef>
              <c:f>'DETALLADO X MES 2026'!$A$9</c:f>
              <c:strCache>
                <c:ptCount val="1"/>
                <c:pt idx="0">
                  <c:v>2025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2026'!$B$4:$M$4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'DETALLADO X MES 2026'!$B$9:$M$9</c:f>
              <c:numCache>
                <c:formatCode>General</c:formatCode>
                <c:ptCount val="12"/>
                <c:pt idx="0">
                  <c:v>7</c:v>
                </c:pt>
                <c:pt idx="1">
                  <c:v>0</c:v>
                </c:pt>
                <c:pt idx="2">
                  <c:v>1</c:v>
                </c:pt>
                <c:pt idx="3">
                  <c:v>2</c:v>
                </c:pt>
                <c:pt idx="4">
                  <c:v>1</c:v>
                </c:pt>
                <c:pt idx="5">
                  <c:v>0</c:v>
                </c:pt>
                <c:pt idx="6">
                  <c:v>5</c:v>
                </c:pt>
                <c:pt idx="7">
                  <c:v>6</c:v>
                </c:pt>
                <c:pt idx="8">
                  <c:v>5</c:v>
                </c:pt>
                <c:pt idx="9">
                  <c:v>1</c:v>
                </c:pt>
                <c:pt idx="10">
                  <c:v>0</c:v>
                </c:pt>
                <c:pt idx="11">
                  <c:v>3</c:v>
                </c:pt>
              </c:numCache>
            </c:numRef>
          </c:val>
          <c:extLst>
            <c:ext xmlns:c16="http://schemas.microsoft.com/office/drawing/2014/chart" uri="{C3380CC4-5D6E-409C-BE32-E72D297353CC}">
              <c16:uniqueId val="{00000001-90D2-49E3-9B65-3E6E194467AA}"/>
            </c:ext>
          </c:extLst>
        </c:ser>
        <c:dLbls>
          <c:showLegendKey val="0"/>
          <c:showVal val="0"/>
          <c:showCatName val="0"/>
          <c:showSerName val="0"/>
          <c:showPercent val="0"/>
          <c:showBubbleSize val="0"/>
        </c:dLbls>
        <c:gapWidth val="100"/>
        <c:overlap val="-24"/>
        <c:axId val="454122880"/>
        <c:axId val="271063424"/>
      </c:barChart>
      <c:catAx>
        <c:axId val="454122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1063424"/>
        <c:crosses val="autoZero"/>
        <c:auto val="1"/>
        <c:lblAlgn val="ctr"/>
        <c:lblOffset val="100"/>
        <c:noMultiLvlLbl val="0"/>
      </c:catAx>
      <c:valAx>
        <c:axId val="27106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454122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'DETALLADO X MES 2026'!$AA$2</c:f>
          <c:strCache>
            <c:ptCount val="1"/>
            <c:pt idx="0">
              <c:v>VARIACIÓN ANUAL DE 
INCENDIO FORESTAL HASTA ENERO (2021-2026)</c:v>
            </c:pt>
          </c:strCache>
        </c:strRef>
      </c:tx>
      <c:layout>
        <c:manualLayout>
          <c:xMode val="edge"/>
          <c:yMode val="edge"/>
          <c:x val="0.31432455936791498"/>
          <c:y val="7.9011575386168618E-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endParaRPr lang="es-CO"/>
        </a:p>
      </c:txPr>
    </c:title>
    <c:autoTitleDeleted val="0"/>
    <c:plotArea>
      <c:layout>
        <c:manualLayout>
          <c:layoutTarget val="inner"/>
          <c:xMode val="edge"/>
          <c:yMode val="edge"/>
          <c:x val="0.22353628728080033"/>
          <c:y val="0.12185265340871972"/>
          <c:w val="0.5575600682795796"/>
          <c:h val="0.82649637173958013"/>
        </c:manualLayout>
      </c:layout>
      <c:barChart>
        <c:barDir val="bar"/>
        <c:grouping val="clustered"/>
        <c:varyColors val="0"/>
        <c:ser>
          <c:idx val="5"/>
          <c:order val="0"/>
          <c:tx>
            <c:strRef>
              <c:f>'DETALLADO X MES 2026'!$A$94</c:f>
              <c:strCache>
                <c:ptCount val="1"/>
                <c:pt idx="0">
                  <c:v>2026</c:v>
                </c:pt>
              </c:strCache>
            </c:strRef>
          </c:tx>
          <c:spPr>
            <a:solidFill>
              <a:schemeClr val="accent6"/>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'DETALLADO X MES 2026'!$R$94</c:f>
              <c:numCache>
                <c:formatCode>0%</c:formatCode>
                <c:ptCount val="1"/>
                <c:pt idx="0">
                  <c:v>0.5</c:v>
                </c:pt>
              </c:numCache>
            </c:numRef>
          </c:val>
          <c:extLst>
            <c:ext xmlns:c16="http://schemas.microsoft.com/office/drawing/2014/chart" uri="{C3380CC4-5D6E-409C-BE32-E72D297353CC}">
              <c16:uniqueId val="{00000009-98A8-474A-9C69-A821C9DBDF82}"/>
            </c:ext>
          </c:extLst>
        </c:ser>
        <c:ser>
          <c:idx val="4"/>
          <c:order val="1"/>
          <c:tx>
            <c:strRef>
              <c:f>'DETALLADO X MES 2026'!$A$93</c:f>
              <c:strCache>
                <c:ptCount val="1"/>
                <c:pt idx="0">
                  <c:v>2025</c:v>
                </c:pt>
              </c:strCache>
            </c:strRef>
          </c:tx>
          <c:spPr>
            <a:solidFill>
              <a:schemeClr val="accent5"/>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'DETALLADO X MES 2026'!$R$93</c:f>
              <c:numCache>
                <c:formatCode>0%</c:formatCode>
                <c:ptCount val="1"/>
                <c:pt idx="0">
                  <c:v>-0.5</c:v>
                </c:pt>
              </c:numCache>
            </c:numRef>
          </c:val>
          <c:extLst>
            <c:ext xmlns:c16="http://schemas.microsoft.com/office/drawing/2014/chart" uri="{C3380CC4-5D6E-409C-BE32-E72D297353CC}">
              <c16:uniqueId val="{00000008-E164-44A0-87BC-FC6E54FF440E}"/>
            </c:ext>
          </c:extLst>
        </c:ser>
        <c:ser>
          <c:idx val="3"/>
          <c:order val="2"/>
          <c:tx>
            <c:strRef>
              <c:f>'DETALLADO X MES 2026'!$A$92</c:f>
              <c:strCache>
                <c:ptCount val="1"/>
                <c:pt idx="0">
                  <c:v>2024</c:v>
                </c:pt>
              </c:strCache>
            </c:strRef>
          </c:tx>
          <c:spPr>
            <a:solidFill>
              <a:schemeClr val="accent4"/>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VARIACIÓN PORCENTUAL</c:v>
              </c:pt>
            </c:strLit>
          </c:cat>
          <c:val>
            <c:numRef>
              <c:f>'DETALLADO X MES 2026'!$R$92</c:f>
              <c:numCache>
                <c:formatCode>0%</c:formatCode>
                <c:ptCount val="1"/>
                <c:pt idx="0">
                  <c:v>0.25714285714285712</c:v>
                </c:pt>
              </c:numCache>
            </c:numRef>
          </c:val>
          <c:extLst>
            <c:ext xmlns:c16="http://schemas.microsoft.com/office/drawing/2014/chart" uri="{C3380CC4-5D6E-409C-BE32-E72D297353CC}">
              <c16:uniqueId val="{0000001E-4D9B-4203-90D5-11AFCE0B16C7}"/>
            </c:ext>
          </c:extLst>
        </c:ser>
        <c:ser>
          <c:idx val="2"/>
          <c:order val="3"/>
          <c:tx>
            <c:strRef>
              <c:f>'DETALLADO X MES 2026'!$A$91</c:f>
              <c:strCache>
                <c:ptCount val="1"/>
                <c:pt idx="0">
                  <c:v>2023</c:v>
                </c:pt>
              </c:strCache>
            </c:strRef>
          </c:tx>
          <c:spPr>
            <a:solidFill>
              <a:schemeClr val="accent3"/>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VARIACIÓN PORCENTUAL</c:v>
              </c:pt>
            </c:strLit>
          </c:cat>
          <c:val>
            <c:numRef>
              <c:f>'DETALLADO X MES 2026'!$R$91</c:f>
              <c:numCache>
                <c:formatCode>0%</c:formatCode>
                <c:ptCount val="1"/>
                <c:pt idx="0">
                  <c:v>1.6923076923076923</c:v>
                </c:pt>
              </c:numCache>
            </c:numRef>
          </c:val>
          <c:extLst>
            <c:ext xmlns:c16="http://schemas.microsoft.com/office/drawing/2014/chart" uri="{C3380CC4-5D6E-409C-BE32-E72D297353CC}">
              <c16:uniqueId val="{00000009-4D9B-4203-90D5-11AFCE0B16C7}"/>
            </c:ext>
          </c:extLst>
        </c:ser>
        <c:ser>
          <c:idx val="1"/>
          <c:order val="4"/>
          <c:tx>
            <c:strRef>
              <c:f>'DETALLADO X MES 2026'!$A$90</c:f>
              <c:strCache>
                <c:ptCount val="1"/>
                <c:pt idx="0">
                  <c:v>2022</c:v>
                </c:pt>
              </c:strCache>
            </c:strRef>
          </c:tx>
          <c:spPr>
            <a:solidFill>
              <a:schemeClr val="accent2"/>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VARIACIÓN PORCENTUAL</c:v>
              </c:pt>
            </c:strLit>
          </c:cat>
          <c:val>
            <c:numRef>
              <c:f>'DETALLADO X MES 2026'!$R$90</c:f>
              <c:numCache>
                <c:formatCode>0%</c:formatCode>
                <c:ptCount val="1"/>
                <c:pt idx="0">
                  <c:v>8.3333333333333329E-2</c:v>
                </c:pt>
              </c:numCache>
            </c:numRef>
          </c:val>
          <c:extLst>
            <c:ext xmlns:c16="http://schemas.microsoft.com/office/drawing/2014/chart" uri="{C3380CC4-5D6E-409C-BE32-E72D297353CC}">
              <c16:uniqueId val="{00000008-4D9B-4203-90D5-11AFCE0B16C7}"/>
            </c:ext>
          </c:extLst>
        </c:ser>
        <c:ser>
          <c:idx val="0"/>
          <c:order val="5"/>
          <c:tx>
            <c:strRef>
              <c:f>'DETALLADO X MES 2026'!$A$89</c:f>
              <c:strCache>
                <c:ptCount val="1"/>
                <c:pt idx="0">
                  <c:v>2021</c:v>
                </c:pt>
              </c:strCache>
            </c:strRef>
          </c:tx>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8FAD-4312-9AD4-BA3B805EC5A8}"/>
              </c:ext>
            </c:extLst>
          </c:dPt>
          <c:dPt>
            <c:idx val="1"/>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FAD-4312-9AD4-BA3B805EC5A8}"/>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8FAD-4312-9AD4-BA3B805EC5A8}"/>
              </c:ext>
            </c:extLst>
          </c:dPt>
          <c:dPt>
            <c:idx val="3"/>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88E-4CE3-B523-06D4440BF5C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VARIACIÓN PORCENTUAL</c:v>
              </c:pt>
            </c:strLit>
          </c:cat>
          <c:val>
            <c:numRef>
              <c:f>'DETALLADO X MES 2026'!$R$89</c:f>
              <c:numCache>
                <c:formatCode>0%</c:formatCode>
                <c:ptCount val="1"/>
                <c:pt idx="0">
                  <c:v>0</c:v>
                </c:pt>
              </c:numCache>
            </c:numRef>
          </c:val>
          <c:extLst>
            <c:ext xmlns:c16="http://schemas.microsoft.com/office/drawing/2014/chart" uri="{C3380CC4-5D6E-409C-BE32-E72D297353CC}">
              <c16:uniqueId val="{00000000-8FAD-4312-9AD4-BA3B805EC5A8}"/>
            </c:ext>
          </c:extLst>
        </c:ser>
        <c:dLbls>
          <c:dLblPos val="outEnd"/>
          <c:showLegendKey val="0"/>
          <c:showVal val="1"/>
          <c:showCatName val="0"/>
          <c:showSerName val="0"/>
          <c:showPercent val="0"/>
          <c:showBubbleSize val="0"/>
        </c:dLbls>
        <c:gapWidth val="100"/>
        <c:axId val="1972245279"/>
        <c:axId val="2097934719"/>
      </c:barChart>
      <c:catAx>
        <c:axId val="19722452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097934719"/>
        <c:crosses val="autoZero"/>
        <c:auto val="1"/>
        <c:lblAlgn val="ctr"/>
        <c:lblOffset val="100"/>
        <c:noMultiLvlLbl val="0"/>
      </c:catAx>
      <c:valAx>
        <c:axId val="209793471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72245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'DETALLADO X MES 2026'!$AA$1</c:f>
          <c:strCache>
            <c:ptCount val="1"/>
            <c:pt idx="0">
              <c:v>VARIACIÓN ANUAL DE 
INCENDIO FORESTAL (2021-2025)</c:v>
            </c:pt>
          </c:strCache>
        </c:strRef>
      </c:tx>
      <c:layout>
        <c:manualLayout>
          <c:xMode val="edge"/>
          <c:yMode val="edge"/>
          <c:x val="0.35627815594445528"/>
          <c:y val="9.562616561453971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solidFill>
              <a:latin typeface="+mn-lt"/>
              <a:ea typeface="+mn-ea"/>
              <a:cs typeface="+mn-cs"/>
            </a:defRPr>
          </a:pPr>
          <a:endParaRPr lang="es-CO"/>
        </a:p>
      </c:txPr>
    </c:title>
    <c:autoTitleDeleted val="0"/>
    <c:plotArea>
      <c:layout>
        <c:manualLayout>
          <c:layoutTarget val="inner"/>
          <c:xMode val="edge"/>
          <c:yMode val="edge"/>
          <c:x val="0.22353628728080033"/>
          <c:y val="0.13380625067101518"/>
          <c:w val="0.5575600682795796"/>
          <c:h val="0.6134092405295124"/>
        </c:manualLayout>
      </c:layout>
      <c:barChart>
        <c:barDir val="bar"/>
        <c:grouping val="clustered"/>
        <c:varyColors val="0"/>
        <c:ser>
          <c:idx val="4"/>
          <c:order val="0"/>
          <c:tx>
            <c:strRef>
              <c:f>'DETALLADO X MES 2026'!$A$9</c:f>
              <c:strCache>
                <c:ptCount val="1"/>
                <c:pt idx="0">
                  <c:v>2025</c:v>
                </c:pt>
              </c:strCache>
            </c:strRef>
          </c:tx>
          <c:spPr>
            <a:solidFill>
              <a:schemeClr val="accent5"/>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'DETALLADO X MES 2026'!$R$9</c:f>
              <c:numCache>
                <c:formatCode>0%</c:formatCode>
                <c:ptCount val="1"/>
                <c:pt idx="0">
                  <c:v>-0.43636363636363634</c:v>
                </c:pt>
              </c:numCache>
            </c:numRef>
          </c:val>
          <c:extLst>
            <c:ext xmlns:c16="http://schemas.microsoft.com/office/drawing/2014/chart" uri="{C3380CC4-5D6E-409C-BE32-E72D297353CC}">
              <c16:uniqueId val="{00000009-1021-4E59-BA68-F516F5F8C791}"/>
            </c:ext>
          </c:extLst>
        </c:ser>
        <c:ser>
          <c:idx val="3"/>
          <c:order val="1"/>
          <c:tx>
            <c:strRef>
              <c:f>'DETALLADO X MES 2026'!$A$8</c:f>
              <c:strCache>
                <c:ptCount val="1"/>
                <c:pt idx="0">
                  <c:v>2024</c:v>
                </c:pt>
              </c:strCache>
            </c:strRef>
          </c:tx>
          <c:spPr>
            <a:solidFill>
              <a:schemeClr val="accent4"/>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'DETALLADO X MES 2026'!$R$8</c:f>
              <c:numCache>
                <c:formatCode>0%</c:formatCode>
                <c:ptCount val="1"/>
                <c:pt idx="0">
                  <c:v>-0.11290322580645161</c:v>
                </c:pt>
              </c:numCache>
            </c:numRef>
          </c:val>
          <c:extLst>
            <c:ext xmlns:c16="http://schemas.microsoft.com/office/drawing/2014/chart" uri="{C3380CC4-5D6E-409C-BE32-E72D297353CC}">
              <c16:uniqueId val="{00000008-CF95-4DEE-894A-66A429E80994}"/>
            </c:ext>
          </c:extLst>
        </c:ser>
        <c:ser>
          <c:idx val="2"/>
          <c:order val="2"/>
          <c:tx>
            <c:strRef>
              <c:f>'DETALLADO X MES 2026'!$A$7</c:f>
              <c:strCache>
                <c:ptCount val="1"/>
                <c:pt idx="0">
                  <c:v>2023</c:v>
                </c:pt>
              </c:strCache>
            </c:strRef>
          </c:tx>
          <c:spPr>
            <a:solidFill>
              <a:schemeClr val="accent3"/>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VARIACIÓN PORCENTUAL</c:v>
              </c:pt>
            </c:strLit>
          </c:cat>
          <c:val>
            <c:numRef>
              <c:f>'DETALLADO X MES 2026'!$R$7</c:f>
              <c:numCache>
                <c:formatCode>0%</c:formatCode>
                <c:ptCount val="1"/>
                <c:pt idx="0">
                  <c:v>1.8181818181818181</c:v>
                </c:pt>
              </c:numCache>
            </c:numRef>
          </c:val>
          <c:extLst>
            <c:ext xmlns:c16="http://schemas.microsoft.com/office/drawing/2014/chart" uri="{C3380CC4-5D6E-409C-BE32-E72D297353CC}">
              <c16:uniqueId val="{00000008-12DD-4FAC-9EFB-4027167B5D88}"/>
            </c:ext>
          </c:extLst>
        </c:ser>
        <c:ser>
          <c:idx val="1"/>
          <c:order val="3"/>
          <c:tx>
            <c:strRef>
              <c:f>'DETALLADO X MES 2026'!$A$6</c:f>
              <c:strCache>
                <c:ptCount val="1"/>
                <c:pt idx="0">
                  <c:v>2022</c:v>
                </c:pt>
              </c:strCache>
            </c:strRef>
          </c:tx>
          <c:spPr>
            <a:solidFill>
              <a:schemeClr val="accent2"/>
            </a:solidFill>
            <a:ln>
              <a:noFill/>
            </a:ln>
            <a:effectLst>
              <a:outerShdw blurRad="635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VARIACIÓN PORCENTUAL</c:v>
              </c:pt>
            </c:strLit>
          </c:cat>
          <c:val>
            <c:numRef>
              <c:f>'DETALLADO X MES 2026'!$R$6</c:f>
              <c:numCache>
                <c:formatCode>0%</c:formatCode>
                <c:ptCount val="1"/>
                <c:pt idx="0">
                  <c:v>0.83333333333333337</c:v>
                </c:pt>
              </c:numCache>
            </c:numRef>
          </c:val>
          <c:extLst>
            <c:ext xmlns:c16="http://schemas.microsoft.com/office/drawing/2014/chart" uri="{C3380CC4-5D6E-409C-BE32-E72D297353CC}">
              <c16:uniqueId val="{00000009-56F0-4628-B397-FF8832F3196D}"/>
            </c:ext>
          </c:extLst>
        </c:ser>
        <c:ser>
          <c:idx val="0"/>
          <c:order val="4"/>
          <c:tx>
            <c:strRef>
              <c:f>'DETALLADO X MES 2026'!$A$5</c:f>
              <c:strCache>
                <c:ptCount val="1"/>
                <c:pt idx="0">
                  <c:v>2021</c:v>
                </c:pt>
              </c:strCache>
            </c:strRef>
          </c:tx>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6F0-4628-B397-FF8832F3196D}"/>
              </c:ext>
            </c:extLst>
          </c:dPt>
          <c:dPt>
            <c:idx val="1"/>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6F0-4628-B397-FF8832F3196D}"/>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6F0-4628-B397-FF8832F3196D}"/>
              </c:ext>
            </c:extLst>
          </c:dPt>
          <c:dPt>
            <c:idx val="3"/>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6F0-4628-B397-FF8832F3196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VARIACIÓN PORCENTUAL</c:v>
              </c:pt>
            </c:strLit>
          </c:cat>
          <c:val>
            <c:numRef>
              <c:f>'DETALLADO X MES 2026'!$R$5</c:f>
              <c:numCache>
                <c:formatCode>0%</c:formatCode>
                <c:ptCount val="1"/>
                <c:pt idx="0">
                  <c:v>0</c:v>
                </c:pt>
              </c:numCache>
            </c:numRef>
          </c:val>
          <c:extLst>
            <c:ext xmlns:c16="http://schemas.microsoft.com/office/drawing/2014/chart" uri="{C3380CC4-5D6E-409C-BE32-E72D297353CC}">
              <c16:uniqueId val="{00000008-56F0-4628-B397-FF8832F3196D}"/>
            </c:ext>
          </c:extLst>
        </c:ser>
        <c:dLbls>
          <c:dLblPos val="outEnd"/>
          <c:showLegendKey val="0"/>
          <c:showVal val="1"/>
          <c:showCatName val="0"/>
          <c:showSerName val="0"/>
          <c:showPercent val="0"/>
          <c:showBubbleSize val="0"/>
        </c:dLbls>
        <c:gapWidth val="100"/>
        <c:axId val="1972245279"/>
        <c:axId val="2097934719"/>
      </c:barChart>
      <c:catAx>
        <c:axId val="1972245279"/>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crossAx val="2097934719"/>
        <c:crosses val="autoZero"/>
        <c:auto val="1"/>
        <c:lblAlgn val="ctr"/>
        <c:lblOffset val="100"/>
        <c:noMultiLvlLbl val="0"/>
      </c:catAx>
      <c:valAx>
        <c:axId val="209793471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72245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'DETALLADO X MES 2026'!$Z$2</c:f>
          <c:strCache>
            <c:ptCount val="1"/>
            <c:pt idx="0">
              <c:v>TOTAL DE EMERGENCIAS POR MES DE 
INCENDIO FORESTAL HASTA ABRIL (2021-2026)</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s-CO"/>
        </a:p>
      </c:txPr>
    </c:title>
    <c:autoTitleDeleted val="0"/>
    <c:plotArea>
      <c:layout/>
      <c:barChart>
        <c:barDir val="col"/>
        <c:grouping val="clustered"/>
        <c:varyColors val="0"/>
        <c:ser>
          <c:idx val="0"/>
          <c:order val="0"/>
          <c:tx>
            <c:strRef>
              <c:f>'DETALLADO X MES 2026'!$A$89</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2026'!$B$88:$E$88</c:f>
              <c:strCache>
                <c:ptCount val="4"/>
                <c:pt idx="0">
                  <c:v>ENERO</c:v>
                </c:pt>
                <c:pt idx="1">
                  <c:v>FEBRERO</c:v>
                </c:pt>
                <c:pt idx="2">
                  <c:v>MARZO</c:v>
                </c:pt>
                <c:pt idx="3">
                  <c:v>ABRIL</c:v>
                </c:pt>
              </c:strCache>
            </c:strRef>
          </c:cat>
          <c:val>
            <c:numRef>
              <c:f>'DETALLADO X MES 2026'!$B$89:$E$89</c:f>
              <c:numCache>
                <c:formatCode>General</c:formatCode>
                <c:ptCount val="4"/>
                <c:pt idx="0">
                  <c:v>4</c:v>
                </c:pt>
                <c:pt idx="1">
                  <c:v>4</c:v>
                </c:pt>
                <c:pt idx="2">
                  <c:v>0</c:v>
                </c:pt>
                <c:pt idx="3">
                  <c:v>0</c:v>
                </c:pt>
              </c:numCache>
            </c:numRef>
          </c:val>
          <c:extLst>
            <c:ext xmlns:c16="http://schemas.microsoft.com/office/drawing/2014/chart" uri="{C3380CC4-5D6E-409C-BE32-E72D297353CC}">
              <c16:uniqueId val="{00000000-8297-40C4-A3D3-AEC02B0D76AE}"/>
            </c:ext>
          </c:extLst>
        </c:ser>
        <c:ser>
          <c:idx val="1"/>
          <c:order val="1"/>
          <c:tx>
            <c:strRef>
              <c:f>'DETALLADO X MES 2026'!$A$90</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2026'!$B$88:$E$88</c:f>
              <c:strCache>
                <c:ptCount val="4"/>
                <c:pt idx="0">
                  <c:v>ENERO</c:v>
                </c:pt>
                <c:pt idx="1">
                  <c:v>FEBRERO</c:v>
                </c:pt>
                <c:pt idx="2">
                  <c:v>MARZO</c:v>
                </c:pt>
                <c:pt idx="3">
                  <c:v>ABRIL</c:v>
                </c:pt>
              </c:strCache>
            </c:strRef>
          </c:cat>
          <c:val>
            <c:numRef>
              <c:f>'DETALLADO X MES 2026'!$B$90:$E$90</c:f>
              <c:numCache>
                <c:formatCode>General</c:formatCode>
                <c:ptCount val="4"/>
                <c:pt idx="0">
                  <c:v>3</c:v>
                </c:pt>
                <c:pt idx="1">
                  <c:v>3</c:v>
                </c:pt>
                <c:pt idx="2">
                  <c:v>1</c:v>
                </c:pt>
                <c:pt idx="3">
                  <c:v>0</c:v>
                </c:pt>
              </c:numCache>
            </c:numRef>
          </c:val>
          <c:extLst>
            <c:ext xmlns:c16="http://schemas.microsoft.com/office/drawing/2014/chart" uri="{C3380CC4-5D6E-409C-BE32-E72D297353CC}">
              <c16:uniqueId val="{00000001-8297-40C4-A3D3-AEC02B0D76AE}"/>
            </c:ext>
          </c:extLst>
        </c:ser>
        <c:ser>
          <c:idx val="2"/>
          <c:order val="2"/>
          <c:tx>
            <c:strRef>
              <c:f>'DETALLADO X MES 2026'!$A$91</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2026'!$B$88:$E$88</c:f>
              <c:strCache>
                <c:ptCount val="4"/>
                <c:pt idx="0">
                  <c:v>ENERO</c:v>
                </c:pt>
                <c:pt idx="1">
                  <c:v>FEBRERO</c:v>
                </c:pt>
                <c:pt idx="2">
                  <c:v>MARZO</c:v>
                </c:pt>
                <c:pt idx="3">
                  <c:v>ABRIL</c:v>
                </c:pt>
              </c:strCache>
            </c:strRef>
          </c:cat>
          <c:val>
            <c:numRef>
              <c:f>'DETALLADO X MES 2026'!$B$91:$E$91</c:f>
              <c:numCache>
                <c:formatCode>General</c:formatCode>
                <c:ptCount val="4"/>
                <c:pt idx="0">
                  <c:v>6</c:v>
                </c:pt>
                <c:pt idx="1">
                  <c:v>4</c:v>
                </c:pt>
                <c:pt idx="2">
                  <c:v>1</c:v>
                </c:pt>
                <c:pt idx="3">
                  <c:v>1</c:v>
                </c:pt>
              </c:numCache>
            </c:numRef>
          </c:val>
          <c:extLst>
            <c:ext xmlns:c16="http://schemas.microsoft.com/office/drawing/2014/chart" uri="{C3380CC4-5D6E-409C-BE32-E72D297353CC}">
              <c16:uniqueId val="{00000002-8297-40C4-A3D3-AEC02B0D76AE}"/>
            </c:ext>
          </c:extLst>
        </c:ser>
        <c:ser>
          <c:idx val="3"/>
          <c:order val="3"/>
          <c:tx>
            <c:strRef>
              <c:f>'DETALLADO X MES 2026'!$A$92</c:f>
              <c:strCache>
                <c:ptCount val="1"/>
                <c:pt idx="0">
                  <c:v>2024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2026'!$B$88:$E$88</c:f>
              <c:strCache>
                <c:ptCount val="4"/>
                <c:pt idx="0">
                  <c:v>ENERO</c:v>
                </c:pt>
                <c:pt idx="1">
                  <c:v>FEBRERO</c:v>
                </c:pt>
                <c:pt idx="2">
                  <c:v>MARZO</c:v>
                </c:pt>
                <c:pt idx="3">
                  <c:v>ABRIL</c:v>
                </c:pt>
              </c:strCache>
            </c:strRef>
          </c:cat>
          <c:val>
            <c:numRef>
              <c:f>'DETALLADO X MES 2026'!$B$92:$E$92</c:f>
              <c:numCache>
                <c:formatCode>General</c:formatCode>
                <c:ptCount val="4"/>
                <c:pt idx="0">
                  <c:v>15</c:v>
                </c:pt>
                <c:pt idx="1">
                  <c:v>6</c:v>
                </c:pt>
                <c:pt idx="2">
                  <c:v>11</c:v>
                </c:pt>
                <c:pt idx="3">
                  <c:v>3</c:v>
                </c:pt>
              </c:numCache>
            </c:numRef>
          </c:val>
          <c:extLst>
            <c:ext xmlns:c16="http://schemas.microsoft.com/office/drawing/2014/chart" uri="{C3380CC4-5D6E-409C-BE32-E72D297353CC}">
              <c16:uniqueId val="{00000003-8297-40C4-A3D3-AEC02B0D76AE}"/>
            </c:ext>
          </c:extLst>
        </c:ser>
        <c:ser>
          <c:idx val="4"/>
          <c:order val="4"/>
          <c:tx>
            <c:strRef>
              <c:f>'DETALLADO X MES 2026'!$A$93</c:f>
              <c:strCache>
                <c:ptCount val="1"/>
                <c:pt idx="0">
                  <c:v>2025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2026'!$B$88:$E$88</c:f>
              <c:strCache>
                <c:ptCount val="4"/>
                <c:pt idx="0">
                  <c:v>ENERO</c:v>
                </c:pt>
                <c:pt idx="1">
                  <c:v>FEBRERO</c:v>
                </c:pt>
                <c:pt idx="2">
                  <c:v>MARZO</c:v>
                </c:pt>
                <c:pt idx="3">
                  <c:v>ABRIL</c:v>
                </c:pt>
              </c:strCache>
            </c:strRef>
          </c:cat>
          <c:val>
            <c:numRef>
              <c:f>'DETALLADO X MES 2026'!$B$93:$E$93</c:f>
              <c:numCache>
                <c:formatCode>General</c:formatCode>
                <c:ptCount val="4"/>
                <c:pt idx="0">
                  <c:v>7</c:v>
                </c:pt>
                <c:pt idx="1">
                  <c:v>0</c:v>
                </c:pt>
                <c:pt idx="2">
                  <c:v>1</c:v>
                </c:pt>
                <c:pt idx="3">
                  <c:v>2</c:v>
                </c:pt>
              </c:numCache>
            </c:numRef>
          </c:val>
          <c:extLst>
            <c:ext xmlns:c16="http://schemas.microsoft.com/office/drawing/2014/chart" uri="{C3380CC4-5D6E-409C-BE32-E72D297353CC}">
              <c16:uniqueId val="{00000000-A88E-46A7-BD8F-D7871704DF09}"/>
            </c:ext>
          </c:extLst>
        </c:ser>
        <c:ser>
          <c:idx val="5"/>
          <c:order val="5"/>
          <c:tx>
            <c:strRef>
              <c:f>'DETALLADO X MES 2026'!$A$94</c:f>
              <c:strCache>
                <c:ptCount val="1"/>
                <c:pt idx="0">
                  <c:v>2026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'DETALLADO X MES 2026'!$B$88:$E$88</c:f>
              <c:strCache>
                <c:ptCount val="4"/>
                <c:pt idx="0">
                  <c:v>ENERO</c:v>
                </c:pt>
                <c:pt idx="1">
                  <c:v>FEBRERO</c:v>
                </c:pt>
                <c:pt idx="2">
                  <c:v>MARZO</c:v>
                </c:pt>
                <c:pt idx="3">
                  <c:v>ABRIL</c:v>
                </c:pt>
              </c:strCache>
            </c:strRef>
          </c:cat>
          <c:val>
            <c:numRef>
              <c:f>'DETALLADO X MES 2026'!$B$94:$E$94</c:f>
              <c:numCache>
                <c:formatCode>General</c:formatCode>
                <c:ptCount val="4"/>
                <c:pt idx="0">
                  <c:v>2</c:v>
                </c:pt>
                <c:pt idx="1">
                  <c:v>3</c:v>
                </c:pt>
                <c:pt idx="2">
                  <c:v>8</c:v>
                </c:pt>
                <c:pt idx="3">
                  <c:v>2</c:v>
                </c:pt>
              </c:numCache>
            </c:numRef>
          </c:val>
          <c:extLst>
            <c:ext xmlns:c16="http://schemas.microsoft.com/office/drawing/2014/chart" uri="{C3380CC4-5D6E-409C-BE32-E72D297353CC}">
              <c16:uniqueId val="{00000001-3335-4D50-8F18-ED493E72CE08}"/>
            </c:ext>
          </c:extLst>
        </c:ser>
        <c:dLbls>
          <c:showLegendKey val="0"/>
          <c:showVal val="0"/>
          <c:showCatName val="0"/>
          <c:showSerName val="0"/>
          <c:showPercent val="0"/>
          <c:showBubbleSize val="0"/>
        </c:dLbls>
        <c:gapWidth val="100"/>
        <c:overlap val="-24"/>
        <c:axId val="454122880"/>
        <c:axId val="271063424"/>
      </c:barChart>
      <c:catAx>
        <c:axId val="454122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1063424"/>
        <c:crosses val="autoZero"/>
        <c:auto val="1"/>
        <c:lblAlgn val="ctr"/>
        <c:lblOffset val="100"/>
        <c:noMultiLvlLbl val="0"/>
      </c:catAx>
      <c:valAx>
        <c:axId val="2710634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454122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'DETALLADO X MES 2026'!$AB$2</c:f>
          <c:strCache>
            <c:ptCount val="1"/>
            <c:pt idx="0">
              <c:v>TOTAL ANUAL DE INCENDIO FORESTAL 
HASTA ENERO (2021-2026)</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lumMod val="65000"/>
                  <a:lumOff val="35000"/>
                </a:srgbClr>
              </a:solidFill>
              <a:latin typeface="+mn-lt"/>
              <a:ea typeface="+mn-ea"/>
              <a:cs typeface="+mn-cs"/>
            </a:defRPr>
          </a:pPr>
          <a:endParaRPr lang="es-CO"/>
        </a:p>
      </c:txPr>
    </c:title>
    <c:autoTitleDeleted val="0"/>
    <c:plotArea>
      <c:layout/>
      <c:barChart>
        <c:barDir val="col"/>
        <c:grouping val="clustered"/>
        <c:varyColors val="0"/>
        <c:ser>
          <c:idx val="0"/>
          <c:order val="0"/>
          <c:tx>
            <c:strRef>
              <c:f>'DETALLADO X MES 2026'!$A$89</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2026'!$N$89</c:f>
              <c:numCache>
                <c:formatCode>General</c:formatCode>
                <c:ptCount val="1"/>
                <c:pt idx="0">
                  <c:v>12</c:v>
                </c:pt>
              </c:numCache>
            </c:numRef>
          </c:val>
          <c:extLst>
            <c:ext xmlns:c16="http://schemas.microsoft.com/office/drawing/2014/chart" uri="{C3380CC4-5D6E-409C-BE32-E72D297353CC}">
              <c16:uniqueId val="{00000002-4B98-474E-81AC-782320CFFBEC}"/>
            </c:ext>
          </c:extLst>
        </c:ser>
        <c:ser>
          <c:idx val="1"/>
          <c:order val="1"/>
          <c:tx>
            <c:strRef>
              <c:f>'DETALLADO X MES 2026'!$A$90</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2026'!$N$90</c:f>
              <c:numCache>
                <c:formatCode>General</c:formatCode>
                <c:ptCount val="1"/>
                <c:pt idx="0">
                  <c:v>13</c:v>
                </c:pt>
              </c:numCache>
            </c:numRef>
          </c:val>
          <c:extLst>
            <c:ext xmlns:c16="http://schemas.microsoft.com/office/drawing/2014/chart" uri="{C3380CC4-5D6E-409C-BE32-E72D297353CC}">
              <c16:uniqueId val="{00000003-4B98-474E-81AC-782320CFFBEC}"/>
            </c:ext>
          </c:extLst>
        </c:ser>
        <c:ser>
          <c:idx val="2"/>
          <c:order val="2"/>
          <c:tx>
            <c:strRef>
              <c:f>'DETALLADO X MES 2026'!$A$91</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2026'!$N$91</c:f>
              <c:numCache>
                <c:formatCode>General</c:formatCode>
                <c:ptCount val="1"/>
                <c:pt idx="0">
                  <c:v>35</c:v>
                </c:pt>
              </c:numCache>
            </c:numRef>
          </c:val>
          <c:extLst>
            <c:ext xmlns:c16="http://schemas.microsoft.com/office/drawing/2014/chart" uri="{C3380CC4-5D6E-409C-BE32-E72D297353CC}">
              <c16:uniqueId val="{00000004-4B98-474E-81AC-782320CFFBEC}"/>
            </c:ext>
          </c:extLst>
        </c:ser>
        <c:ser>
          <c:idx val="3"/>
          <c:order val="3"/>
          <c:tx>
            <c:strRef>
              <c:f>'DETALLADO X MES 2026'!$A$92</c:f>
              <c:strCache>
                <c:ptCount val="1"/>
                <c:pt idx="0">
                  <c:v>2024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2026'!$N$92</c:f>
              <c:numCache>
                <c:formatCode>General</c:formatCode>
                <c:ptCount val="1"/>
                <c:pt idx="0">
                  <c:v>44</c:v>
                </c:pt>
              </c:numCache>
            </c:numRef>
          </c:val>
          <c:extLst>
            <c:ext xmlns:c16="http://schemas.microsoft.com/office/drawing/2014/chart" uri="{C3380CC4-5D6E-409C-BE32-E72D297353CC}">
              <c16:uniqueId val="{00000005-4B98-474E-81AC-782320CFFBEC}"/>
            </c:ext>
          </c:extLst>
        </c:ser>
        <c:ser>
          <c:idx val="4"/>
          <c:order val="4"/>
          <c:tx>
            <c:strRef>
              <c:f>'DETALLADO X MES 2026'!$A$93</c:f>
              <c:strCache>
                <c:ptCount val="1"/>
                <c:pt idx="0">
                  <c:v>2025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2026'!$N$93</c:f>
              <c:numCache>
                <c:formatCode>General</c:formatCode>
                <c:ptCount val="1"/>
                <c:pt idx="0">
                  <c:v>22</c:v>
                </c:pt>
              </c:numCache>
            </c:numRef>
          </c:val>
          <c:extLst>
            <c:ext xmlns:c16="http://schemas.microsoft.com/office/drawing/2014/chart" uri="{C3380CC4-5D6E-409C-BE32-E72D297353CC}">
              <c16:uniqueId val="{00000000-FAF1-48C8-BF71-FB989F666853}"/>
            </c:ext>
          </c:extLst>
        </c:ser>
        <c:ser>
          <c:idx val="5"/>
          <c:order val="5"/>
          <c:tx>
            <c:strRef>
              <c:f>'DETALLADO X MES 2026'!$A$94</c:f>
              <c:strCache>
                <c:ptCount val="1"/>
                <c:pt idx="0">
                  <c:v>2026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2026'!$N$94</c:f>
              <c:numCache>
                <c:formatCode>General</c:formatCode>
                <c:ptCount val="1"/>
                <c:pt idx="0">
                  <c:v>33</c:v>
                </c:pt>
              </c:numCache>
            </c:numRef>
          </c:val>
          <c:extLst>
            <c:ext xmlns:c16="http://schemas.microsoft.com/office/drawing/2014/chart" uri="{C3380CC4-5D6E-409C-BE32-E72D297353CC}">
              <c16:uniqueId val="{00000001-E486-42B4-83C5-FC9C312C99BA}"/>
            </c:ext>
          </c:extLst>
        </c:ser>
        <c:dLbls>
          <c:showLegendKey val="0"/>
          <c:showVal val="0"/>
          <c:showCatName val="0"/>
          <c:showSerName val="0"/>
          <c:showPercent val="0"/>
          <c:showBubbleSize val="0"/>
        </c:dLbls>
        <c:gapWidth val="300"/>
        <c:axId val="1688561983"/>
        <c:axId val="1678974287"/>
      </c:barChart>
      <c:catAx>
        <c:axId val="1688561983"/>
        <c:scaling>
          <c:orientation val="minMax"/>
        </c:scaling>
        <c:delete val="1"/>
        <c:axPos val="b"/>
        <c:numFmt formatCode="General" sourceLinked="1"/>
        <c:majorTickMark val="none"/>
        <c:minorTickMark val="none"/>
        <c:tickLblPos val="nextTo"/>
        <c:crossAx val="1678974287"/>
        <c:crosses val="autoZero"/>
        <c:auto val="1"/>
        <c:lblAlgn val="ctr"/>
        <c:lblOffset val="100"/>
        <c:noMultiLvlLbl val="0"/>
      </c:catAx>
      <c:valAx>
        <c:axId val="16789742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88561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'DETALLADO X MES 2026'!$AB$1</c:f>
          <c:strCache>
            <c:ptCount val="1"/>
            <c:pt idx="0">
              <c:v>TOTAL DE INCENDIO FORESTAL POR AÑO (2021-2025)</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'DETALLADO X MES 2026'!$A$5</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2026'!$N$5</c:f>
              <c:numCache>
                <c:formatCode>General</c:formatCode>
                <c:ptCount val="1"/>
                <c:pt idx="0">
                  <c:v>12</c:v>
                </c:pt>
              </c:numCache>
            </c:numRef>
          </c:val>
          <c:extLst>
            <c:ext xmlns:c16="http://schemas.microsoft.com/office/drawing/2014/chart" uri="{C3380CC4-5D6E-409C-BE32-E72D297353CC}">
              <c16:uniqueId val="{00000004-CAA6-486F-93AC-BCD762CEB5C9}"/>
            </c:ext>
          </c:extLst>
        </c:ser>
        <c:ser>
          <c:idx val="1"/>
          <c:order val="1"/>
          <c:tx>
            <c:strRef>
              <c:f>'DETALLADO X MES 2026'!$A$6</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2026'!$N$6</c:f>
              <c:numCache>
                <c:formatCode>General</c:formatCode>
                <c:ptCount val="1"/>
                <c:pt idx="0">
                  <c:v>22</c:v>
                </c:pt>
              </c:numCache>
            </c:numRef>
          </c:val>
          <c:extLst>
            <c:ext xmlns:c16="http://schemas.microsoft.com/office/drawing/2014/chart" uri="{C3380CC4-5D6E-409C-BE32-E72D297353CC}">
              <c16:uniqueId val="{00000005-CAA6-486F-93AC-BCD762CEB5C9}"/>
            </c:ext>
          </c:extLst>
        </c:ser>
        <c:ser>
          <c:idx val="2"/>
          <c:order val="2"/>
          <c:tx>
            <c:strRef>
              <c:f>'DETALLADO X MES 2026'!$A$7</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2026'!$N$7</c:f>
              <c:numCache>
                <c:formatCode>General</c:formatCode>
                <c:ptCount val="1"/>
                <c:pt idx="0">
                  <c:v>62</c:v>
                </c:pt>
              </c:numCache>
            </c:numRef>
          </c:val>
          <c:extLst>
            <c:ext xmlns:c16="http://schemas.microsoft.com/office/drawing/2014/chart" uri="{C3380CC4-5D6E-409C-BE32-E72D297353CC}">
              <c16:uniqueId val="{00000006-CAA6-486F-93AC-BCD762CEB5C9}"/>
            </c:ext>
          </c:extLst>
        </c:ser>
        <c:ser>
          <c:idx val="3"/>
          <c:order val="3"/>
          <c:tx>
            <c:strRef>
              <c:f>'DETALLADO X MES 2026'!$A$8</c:f>
              <c:strCache>
                <c:ptCount val="1"/>
                <c:pt idx="0">
                  <c:v>2024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2026'!$N$8</c:f>
              <c:numCache>
                <c:formatCode>General</c:formatCode>
                <c:ptCount val="1"/>
                <c:pt idx="0">
                  <c:v>55</c:v>
                </c:pt>
              </c:numCache>
            </c:numRef>
          </c:val>
          <c:extLst>
            <c:ext xmlns:c16="http://schemas.microsoft.com/office/drawing/2014/chart" uri="{C3380CC4-5D6E-409C-BE32-E72D297353CC}">
              <c16:uniqueId val="{00000000-B646-49D7-949F-3E320F1CF32C}"/>
            </c:ext>
          </c:extLst>
        </c:ser>
        <c:ser>
          <c:idx val="4"/>
          <c:order val="4"/>
          <c:tx>
            <c:strRef>
              <c:f>'DETALLADO X MES 2026'!$A$9</c:f>
              <c:strCache>
                <c:ptCount val="1"/>
                <c:pt idx="0">
                  <c:v>2025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'DETALLADO X MES 2026'!$N$9</c:f>
              <c:numCache>
                <c:formatCode>General</c:formatCode>
                <c:ptCount val="1"/>
                <c:pt idx="0">
                  <c:v>31</c:v>
                </c:pt>
              </c:numCache>
            </c:numRef>
          </c:val>
          <c:extLst>
            <c:ext xmlns:c16="http://schemas.microsoft.com/office/drawing/2014/chart" uri="{C3380CC4-5D6E-409C-BE32-E72D297353CC}">
              <c16:uniqueId val="{00000001-41A8-41A6-A6F6-2660F3FCC38F}"/>
            </c:ext>
          </c:extLst>
        </c:ser>
        <c:dLbls>
          <c:showLegendKey val="0"/>
          <c:showVal val="0"/>
          <c:showCatName val="0"/>
          <c:showSerName val="0"/>
          <c:showPercent val="0"/>
          <c:showBubbleSize val="0"/>
        </c:dLbls>
        <c:gapWidth val="300"/>
        <c:axId val="1688561983"/>
        <c:axId val="1678974287"/>
      </c:barChart>
      <c:catAx>
        <c:axId val="1688561983"/>
        <c:scaling>
          <c:orientation val="minMax"/>
        </c:scaling>
        <c:delete val="1"/>
        <c:axPos val="b"/>
        <c:numFmt formatCode="General" sourceLinked="1"/>
        <c:majorTickMark val="none"/>
        <c:minorTickMark val="none"/>
        <c:tickLblPos val="nextTo"/>
        <c:crossAx val="1678974287"/>
        <c:crosses val="autoZero"/>
        <c:auto val="1"/>
        <c:lblAlgn val="ctr"/>
        <c:lblOffset val="100"/>
        <c:noMultiLvlLbl val="0"/>
      </c:catAx>
      <c:valAx>
        <c:axId val="16789742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88561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a:t>INCENDIOS FORESTALES DESDE EL AÑO 2013 AL 2023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barChart>
        <c:barDir val="col"/>
        <c:grouping val="clustered"/>
        <c:varyColors val="0"/>
        <c:ser>
          <c:idx val="0"/>
          <c:order val="0"/>
          <c:tx>
            <c:strRef>
              <c:f>'FORESTALES 10 AÑOS'!$A$3</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AÑOS'!$B$3</c:f>
              <c:numCache>
                <c:formatCode>General</c:formatCode>
                <c:ptCount val="1"/>
                <c:pt idx="0">
                  <c:v>17</c:v>
                </c:pt>
              </c:numCache>
            </c:numRef>
          </c:val>
          <c:extLst>
            <c:ext xmlns:c16="http://schemas.microsoft.com/office/drawing/2014/chart" uri="{C3380CC4-5D6E-409C-BE32-E72D297353CC}">
              <c16:uniqueId val="{00000000-8A7F-43A1-BE3B-FC28C4276A98}"/>
            </c:ext>
          </c:extLst>
        </c:ser>
        <c:ser>
          <c:idx val="1"/>
          <c:order val="1"/>
          <c:tx>
            <c:strRef>
              <c:f>'FORESTALES 10 AÑOS'!$A$4</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AÑOS'!$B$4</c:f>
              <c:numCache>
                <c:formatCode>General</c:formatCode>
                <c:ptCount val="1"/>
                <c:pt idx="0">
                  <c:v>29</c:v>
                </c:pt>
              </c:numCache>
            </c:numRef>
          </c:val>
          <c:extLst>
            <c:ext xmlns:c16="http://schemas.microsoft.com/office/drawing/2014/chart" uri="{C3380CC4-5D6E-409C-BE32-E72D297353CC}">
              <c16:uniqueId val="{0000000D-8A7F-43A1-BE3B-FC28C4276A98}"/>
            </c:ext>
          </c:extLst>
        </c:ser>
        <c:ser>
          <c:idx val="2"/>
          <c:order val="2"/>
          <c:tx>
            <c:strRef>
              <c:f>'FORESTALES 10 AÑOS'!$A$5</c:f>
              <c:strCache>
                <c:ptCount val="1"/>
                <c:pt idx="0">
                  <c:v>2015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AÑOS'!$B$5</c:f>
              <c:numCache>
                <c:formatCode>General</c:formatCode>
                <c:ptCount val="1"/>
                <c:pt idx="0">
                  <c:v>31</c:v>
                </c:pt>
              </c:numCache>
            </c:numRef>
          </c:val>
          <c:extLst>
            <c:ext xmlns:c16="http://schemas.microsoft.com/office/drawing/2014/chart" uri="{C3380CC4-5D6E-409C-BE32-E72D297353CC}">
              <c16:uniqueId val="{0000000E-8A7F-43A1-BE3B-FC28C4276A98}"/>
            </c:ext>
          </c:extLst>
        </c:ser>
        <c:ser>
          <c:idx val="3"/>
          <c:order val="3"/>
          <c:tx>
            <c:strRef>
              <c:f>'FORESTALES 10 AÑOS'!$A$6</c:f>
              <c:strCache>
                <c:ptCount val="1"/>
                <c:pt idx="0">
                  <c:v>2016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AÑOS'!$B$6</c:f>
              <c:numCache>
                <c:formatCode>General</c:formatCode>
                <c:ptCount val="1"/>
                <c:pt idx="0">
                  <c:v>21</c:v>
                </c:pt>
              </c:numCache>
            </c:numRef>
          </c:val>
          <c:extLst>
            <c:ext xmlns:c16="http://schemas.microsoft.com/office/drawing/2014/chart" uri="{C3380CC4-5D6E-409C-BE32-E72D297353CC}">
              <c16:uniqueId val="{0000000F-8A7F-43A1-BE3B-FC28C4276A98}"/>
            </c:ext>
          </c:extLst>
        </c:ser>
        <c:ser>
          <c:idx val="4"/>
          <c:order val="4"/>
          <c:tx>
            <c:strRef>
              <c:f>'FORESTALES 10 AÑOS'!$A$7</c:f>
              <c:strCache>
                <c:ptCount val="1"/>
                <c:pt idx="0">
                  <c:v>2017</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AÑOS'!$B$7</c:f>
              <c:numCache>
                <c:formatCode>General</c:formatCode>
                <c:ptCount val="1"/>
                <c:pt idx="0">
                  <c:v>29</c:v>
                </c:pt>
              </c:numCache>
            </c:numRef>
          </c:val>
          <c:extLst>
            <c:ext xmlns:c16="http://schemas.microsoft.com/office/drawing/2014/chart" uri="{C3380CC4-5D6E-409C-BE32-E72D297353CC}">
              <c16:uniqueId val="{00000010-8A7F-43A1-BE3B-FC28C4276A98}"/>
            </c:ext>
          </c:extLst>
        </c:ser>
        <c:ser>
          <c:idx val="5"/>
          <c:order val="5"/>
          <c:tx>
            <c:strRef>
              <c:f>'FORESTALES 10 AÑOS'!$A$8</c:f>
              <c:strCache>
                <c:ptCount val="1"/>
                <c:pt idx="0">
                  <c:v>2018</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AÑOS'!$B$8</c:f>
              <c:numCache>
                <c:formatCode>General</c:formatCode>
                <c:ptCount val="1"/>
                <c:pt idx="0">
                  <c:v>30</c:v>
                </c:pt>
              </c:numCache>
            </c:numRef>
          </c:val>
          <c:extLst>
            <c:ext xmlns:c16="http://schemas.microsoft.com/office/drawing/2014/chart" uri="{C3380CC4-5D6E-409C-BE32-E72D297353CC}">
              <c16:uniqueId val="{00000011-8A7F-43A1-BE3B-FC28C4276A98}"/>
            </c:ext>
          </c:extLst>
        </c:ser>
        <c:ser>
          <c:idx val="6"/>
          <c:order val="6"/>
          <c:tx>
            <c:strRef>
              <c:f>'FORESTALES 10 AÑOS'!$A$9</c:f>
              <c:strCache>
                <c:ptCount val="1"/>
                <c:pt idx="0">
                  <c:v>2019</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AÑOS'!$B$9</c:f>
              <c:numCache>
                <c:formatCode>General</c:formatCode>
                <c:ptCount val="1"/>
                <c:pt idx="0">
                  <c:v>41</c:v>
                </c:pt>
              </c:numCache>
            </c:numRef>
          </c:val>
          <c:extLst>
            <c:ext xmlns:c16="http://schemas.microsoft.com/office/drawing/2014/chart" uri="{C3380CC4-5D6E-409C-BE32-E72D297353CC}">
              <c16:uniqueId val="{00000012-8A7F-43A1-BE3B-FC28C4276A98}"/>
            </c:ext>
          </c:extLst>
        </c:ser>
        <c:ser>
          <c:idx val="7"/>
          <c:order val="7"/>
          <c:tx>
            <c:strRef>
              <c:f>'FORESTALES 10 AÑOS'!$A$10</c:f>
              <c:strCache>
                <c:ptCount val="1"/>
                <c:pt idx="0">
                  <c:v>2020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AÑOS'!$B$10</c:f>
              <c:numCache>
                <c:formatCode>General</c:formatCode>
                <c:ptCount val="1"/>
                <c:pt idx="0">
                  <c:v>19</c:v>
                </c:pt>
              </c:numCache>
            </c:numRef>
          </c:val>
          <c:extLst>
            <c:ext xmlns:c16="http://schemas.microsoft.com/office/drawing/2014/chart" uri="{C3380CC4-5D6E-409C-BE32-E72D297353CC}">
              <c16:uniqueId val="{00000013-8A7F-43A1-BE3B-FC28C4276A98}"/>
            </c:ext>
          </c:extLst>
        </c:ser>
        <c:ser>
          <c:idx val="8"/>
          <c:order val="8"/>
          <c:tx>
            <c:strRef>
              <c:f>'FORESTALES 10 AÑOS'!$A$11</c:f>
              <c:strCache>
                <c:ptCount val="1"/>
                <c:pt idx="0">
                  <c:v>2021</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AÑOS'!$B$11</c:f>
              <c:numCache>
                <c:formatCode>General</c:formatCode>
                <c:ptCount val="1"/>
                <c:pt idx="0">
                  <c:v>12</c:v>
                </c:pt>
              </c:numCache>
            </c:numRef>
          </c:val>
          <c:extLst>
            <c:ext xmlns:c16="http://schemas.microsoft.com/office/drawing/2014/chart" uri="{C3380CC4-5D6E-409C-BE32-E72D297353CC}">
              <c16:uniqueId val="{00000014-8A7F-43A1-BE3B-FC28C4276A98}"/>
            </c:ext>
          </c:extLst>
        </c:ser>
        <c:ser>
          <c:idx val="9"/>
          <c:order val="9"/>
          <c:tx>
            <c:strRef>
              <c:f>'FORESTALES 10 AÑOS'!$A$12</c:f>
              <c:strCache>
                <c:ptCount val="1"/>
                <c:pt idx="0">
                  <c:v>2022</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AÑOS'!$B$12</c:f>
              <c:numCache>
                <c:formatCode>General</c:formatCode>
                <c:ptCount val="1"/>
                <c:pt idx="0">
                  <c:v>22</c:v>
                </c:pt>
              </c:numCache>
            </c:numRef>
          </c:val>
          <c:extLst>
            <c:ext xmlns:c16="http://schemas.microsoft.com/office/drawing/2014/chart" uri="{C3380CC4-5D6E-409C-BE32-E72D297353CC}">
              <c16:uniqueId val="{00000015-8A7F-43A1-BE3B-FC28C4276A98}"/>
            </c:ext>
          </c:extLst>
        </c:ser>
        <c:ser>
          <c:idx val="10"/>
          <c:order val="10"/>
          <c:tx>
            <c:strRef>
              <c:f>'FORESTALES 10 AÑOS'!$A$13</c:f>
              <c:strCache>
                <c:ptCount val="1"/>
                <c:pt idx="0">
                  <c:v>2023</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AÑOS'!$B$2</c:f>
              <c:strCache>
                <c:ptCount val="1"/>
                <c:pt idx="0">
                  <c:v>CANTIDAD ANUAL</c:v>
                </c:pt>
              </c:strCache>
            </c:strRef>
          </c:cat>
          <c:val>
            <c:numRef>
              <c:f>'FORESTALES 10 AÑOS'!$B$13</c:f>
              <c:numCache>
                <c:formatCode>General</c:formatCode>
                <c:ptCount val="1"/>
                <c:pt idx="0">
                  <c:v>62</c:v>
                </c:pt>
              </c:numCache>
            </c:numRef>
          </c:val>
          <c:extLst>
            <c:ext xmlns:c16="http://schemas.microsoft.com/office/drawing/2014/chart" uri="{C3380CC4-5D6E-409C-BE32-E72D297353CC}">
              <c16:uniqueId val="{00000016-8A7F-43A1-BE3B-FC28C4276A98}"/>
            </c:ext>
          </c:extLst>
        </c:ser>
        <c:dLbls>
          <c:dLblPos val="outEnd"/>
          <c:showLegendKey val="0"/>
          <c:showVal val="1"/>
          <c:showCatName val="0"/>
          <c:showSerName val="0"/>
          <c:showPercent val="0"/>
          <c:showBubbleSize val="0"/>
        </c:dLbls>
        <c:gapWidth val="100"/>
        <c:overlap val="-24"/>
        <c:axId val="2016160783"/>
        <c:axId val="1812493471"/>
      </c:barChart>
      <c:catAx>
        <c:axId val="20161607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812493471"/>
        <c:crosses val="autoZero"/>
        <c:auto val="1"/>
        <c:lblAlgn val="ctr"/>
        <c:lblOffset val="100"/>
        <c:noMultiLvlLbl val="0"/>
      </c:catAx>
      <c:valAx>
        <c:axId val="18124934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01616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a:t>PORCENTAJE DE VARIACION ANUAL</a:t>
            </a:r>
            <a:r>
              <a:rPr lang="es-CO" baseline="0"/>
              <a:t> DE INCENDIOS FORESTALES</a:t>
            </a:r>
          </a:p>
          <a:p>
            <a:pPr>
              <a:defRPr/>
            </a:pPr>
            <a:r>
              <a:rPr lang="es-CO" baseline="0"/>
              <a:t>2013 AL 2023</a:t>
            </a:r>
            <a:endParaRPr lang="es-CO"/>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barChart>
        <c:barDir val="col"/>
        <c:grouping val="clustered"/>
        <c:varyColors val="0"/>
        <c:ser>
          <c:idx val="0"/>
          <c:order val="0"/>
          <c:tx>
            <c:strRef>
              <c:f>'FORESTALES 10 AÑOS'!$A$3</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AÑOS'!$D$3</c:f>
              <c:numCache>
                <c:formatCode>0%</c:formatCode>
                <c:ptCount val="1"/>
                <c:pt idx="0">
                  <c:v>0</c:v>
                </c:pt>
              </c:numCache>
            </c:numRef>
          </c:val>
          <c:extLst>
            <c:ext xmlns:c16="http://schemas.microsoft.com/office/drawing/2014/chart" uri="{C3380CC4-5D6E-409C-BE32-E72D297353CC}">
              <c16:uniqueId val="{00000000-A58D-4547-A087-E05506B2C3E0}"/>
            </c:ext>
          </c:extLst>
        </c:ser>
        <c:ser>
          <c:idx val="1"/>
          <c:order val="1"/>
          <c:tx>
            <c:strRef>
              <c:f>'FORESTALES 10 AÑOS'!$A$4</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AÑOS'!$D$4</c:f>
              <c:numCache>
                <c:formatCode>0%</c:formatCode>
                <c:ptCount val="1"/>
                <c:pt idx="0">
                  <c:v>0.70588235294117652</c:v>
                </c:pt>
              </c:numCache>
            </c:numRef>
          </c:val>
          <c:extLst>
            <c:ext xmlns:c16="http://schemas.microsoft.com/office/drawing/2014/chart" uri="{C3380CC4-5D6E-409C-BE32-E72D297353CC}">
              <c16:uniqueId val="{00000001-A58D-4547-A087-E05506B2C3E0}"/>
            </c:ext>
          </c:extLst>
        </c:ser>
        <c:ser>
          <c:idx val="2"/>
          <c:order val="2"/>
          <c:tx>
            <c:strRef>
              <c:f>'FORESTALES 10 AÑOS'!$A$5</c:f>
              <c:strCache>
                <c:ptCount val="1"/>
                <c:pt idx="0">
                  <c:v>2015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AÑOS'!$D$5</c:f>
              <c:numCache>
                <c:formatCode>0%</c:formatCode>
                <c:ptCount val="1"/>
                <c:pt idx="0">
                  <c:v>6.8965517241379309E-2</c:v>
                </c:pt>
              </c:numCache>
            </c:numRef>
          </c:val>
          <c:extLst>
            <c:ext xmlns:c16="http://schemas.microsoft.com/office/drawing/2014/chart" uri="{C3380CC4-5D6E-409C-BE32-E72D297353CC}">
              <c16:uniqueId val="{00000002-A58D-4547-A087-E05506B2C3E0}"/>
            </c:ext>
          </c:extLst>
        </c:ser>
        <c:ser>
          <c:idx val="3"/>
          <c:order val="3"/>
          <c:tx>
            <c:strRef>
              <c:f>'FORESTALES 10 AÑOS'!$A$6</c:f>
              <c:strCache>
                <c:ptCount val="1"/>
                <c:pt idx="0">
                  <c:v>2016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AÑOS'!$D$6</c:f>
              <c:numCache>
                <c:formatCode>0%</c:formatCode>
                <c:ptCount val="1"/>
                <c:pt idx="0">
                  <c:v>-0.32258064516129031</c:v>
                </c:pt>
              </c:numCache>
            </c:numRef>
          </c:val>
          <c:extLst>
            <c:ext xmlns:c16="http://schemas.microsoft.com/office/drawing/2014/chart" uri="{C3380CC4-5D6E-409C-BE32-E72D297353CC}">
              <c16:uniqueId val="{00000003-A58D-4547-A087-E05506B2C3E0}"/>
            </c:ext>
          </c:extLst>
        </c:ser>
        <c:ser>
          <c:idx val="4"/>
          <c:order val="4"/>
          <c:tx>
            <c:strRef>
              <c:f>'FORESTALES 10 AÑOS'!$A$7</c:f>
              <c:strCache>
                <c:ptCount val="1"/>
                <c:pt idx="0">
                  <c:v>2017</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AÑOS'!$D$7</c:f>
              <c:numCache>
                <c:formatCode>0%</c:formatCode>
                <c:ptCount val="1"/>
                <c:pt idx="0">
                  <c:v>0.38095238095238093</c:v>
                </c:pt>
              </c:numCache>
            </c:numRef>
          </c:val>
          <c:extLst>
            <c:ext xmlns:c16="http://schemas.microsoft.com/office/drawing/2014/chart" uri="{C3380CC4-5D6E-409C-BE32-E72D297353CC}">
              <c16:uniqueId val="{00000004-A58D-4547-A087-E05506B2C3E0}"/>
            </c:ext>
          </c:extLst>
        </c:ser>
        <c:ser>
          <c:idx val="5"/>
          <c:order val="5"/>
          <c:tx>
            <c:strRef>
              <c:f>'FORESTALES 10 AÑOS'!$A$8</c:f>
              <c:strCache>
                <c:ptCount val="1"/>
                <c:pt idx="0">
                  <c:v>2018</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AÑOS'!$D$8</c:f>
              <c:numCache>
                <c:formatCode>0%</c:formatCode>
                <c:ptCount val="1"/>
                <c:pt idx="0">
                  <c:v>3.4482758620689655E-2</c:v>
                </c:pt>
              </c:numCache>
            </c:numRef>
          </c:val>
          <c:extLst>
            <c:ext xmlns:c16="http://schemas.microsoft.com/office/drawing/2014/chart" uri="{C3380CC4-5D6E-409C-BE32-E72D297353CC}">
              <c16:uniqueId val="{00000005-A58D-4547-A087-E05506B2C3E0}"/>
            </c:ext>
          </c:extLst>
        </c:ser>
        <c:ser>
          <c:idx val="6"/>
          <c:order val="6"/>
          <c:tx>
            <c:strRef>
              <c:f>'FORESTALES 10 AÑOS'!$A$9</c:f>
              <c:strCache>
                <c:ptCount val="1"/>
                <c:pt idx="0">
                  <c:v>2019</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AÑOS'!$D$9</c:f>
              <c:numCache>
                <c:formatCode>0%</c:formatCode>
                <c:ptCount val="1"/>
                <c:pt idx="0">
                  <c:v>0.36666666666666664</c:v>
                </c:pt>
              </c:numCache>
            </c:numRef>
          </c:val>
          <c:extLst>
            <c:ext xmlns:c16="http://schemas.microsoft.com/office/drawing/2014/chart" uri="{C3380CC4-5D6E-409C-BE32-E72D297353CC}">
              <c16:uniqueId val="{00000006-A58D-4547-A087-E05506B2C3E0}"/>
            </c:ext>
          </c:extLst>
        </c:ser>
        <c:ser>
          <c:idx val="7"/>
          <c:order val="7"/>
          <c:tx>
            <c:strRef>
              <c:f>'FORESTALES 10 AÑOS'!$A$10</c:f>
              <c:strCache>
                <c:ptCount val="1"/>
                <c:pt idx="0">
                  <c:v>2020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AÑOS'!$D$10</c:f>
              <c:numCache>
                <c:formatCode>0%</c:formatCode>
                <c:ptCount val="1"/>
                <c:pt idx="0">
                  <c:v>-0.53658536585365857</c:v>
                </c:pt>
              </c:numCache>
            </c:numRef>
          </c:val>
          <c:extLst>
            <c:ext xmlns:c16="http://schemas.microsoft.com/office/drawing/2014/chart" uri="{C3380CC4-5D6E-409C-BE32-E72D297353CC}">
              <c16:uniqueId val="{00000007-A58D-4547-A087-E05506B2C3E0}"/>
            </c:ext>
          </c:extLst>
        </c:ser>
        <c:ser>
          <c:idx val="8"/>
          <c:order val="8"/>
          <c:tx>
            <c:strRef>
              <c:f>'FORESTALES 10 AÑOS'!$A$11</c:f>
              <c:strCache>
                <c:ptCount val="1"/>
                <c:pt idx="0">
                  <c:v>2021</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AÑOS'!$D$11</c:f>
              <c:numCache>
                <c:formatCode>0%</c:formatCode>
                <c:ptCount val="1"/>
                <c:pt idx="0">
                  <c:v>-0.36842105263157893</c:v>
                </c:pt>
              </c:numCache>
            </c:numRef>
          </c:val>
          <c:extLst>
            <c:ext xmlns:c16="http://schemas.microsoft.com/office/drawing/2014/chart" uri="{C3380CC4-5D6E-409C-BE32-E72D297353CC}">
              <c16:uniqueId val="{00000008-A58D-4547-A087-E05506B2C3E0}"/>
            </c:ext>
          </c:extLst>
        </c:ser>
        <c:ser>
          <c:idx val="9"/>
          <c:order val="9"/>
          <c:tx>
            <c:strRef>
              <c:f>'FORESTALES 10 AÑOS'!$A$12</c:f>
              <c:strCache>
                <c:ptCount val="1"/>
                <c:pt idx="0">
                  <c:v>2022</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AÑOS'!$D$12</c:f>
              <c:numCache>
                <c:formatCode>0%</c:formatCode>
                <c:ptCount val="1"/>
                <c:pt idx="0">
                  <c:v>0.83333333333333337</c:v>
                </c:pt>
              </c:numCache>
            </c:numRef>
          </c:val>
          <c:extLst>
            <c:ext xmlns:c16="http://schemas.microsoft.com/office/drawing/2014/chart" uri="{C3380CC4-5D6E-409C-BE32-E72D297353CC}">
              <c16:uniqueId val="{00000009-A58D-4547-A087-E05506B2C3E0}"/>
            </c:ext>
          </c:extLst>
        </c:ser>
        <c:ser>
          <c:idx val="10"/>
          <c:order val="10"/>
          <c:tx>
            <c:strRef>
              <c:f>'FORESTALES 10 AÑOS'!$A$13</c:f>
              <c:strCache>
                <c:ptCount val="1"/>
                <c:pt idx="0">
                  <c:v>2023</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'FORESTALES 10 AÑOS'!$D$2</c:f>
              <c:strCache>
                <c:ptCount val="1"/>
                <c:pt idx="0">
                  <c:v>VARIACION PORCENTUAL ANUAL</c:v>
                </c:pt>
              </c:strCache>
            </c:strRef>
          </c:cat>
          <c:val>
            <c:numRef>
              <c:f>'FORESTALES 10 AÑOS'!$D$13</c:f>
              <c:numCache>
                <c:formatCode>0%</c:formatCode>
                <c:ptCount val="1"/>
                <c:pt idx="0">
                  <c:v>1.8181818181818181</c:v>
                </c:pt>
              </c:numCache>
            </c:numRef>
          </c:val>
          <c:extLst>
            <c:ext xmlns:c16="http://schemas.microsoft.com/office/drawing/2014/chart" uri="{C3380CC4-5D6E-409C-BE32-E72D297353CC}">
              <c16:uniqueId val="{0000000A-A58D-4547-A087-E05506B2C3E0}"/>
            </c:ext>
          </c:extLst>
        </c:ser>
        <c:dLbls>
          <c:dLblPos val="outEnd"/>
          <c:showLegendKey val="0"/>
          <c:showVal val="1"/>
          <c:showCatName val="0"/>
          <c:showSerName val="0"/>
          <c:showPercent val="0"/>
          <c:showBubbleSize val="0"/>
        </c:dLbls>
        <c:gapWidth val="100"/>
        <c:overlap val="-24"/>
        <c:axId val="2016160783"/>
        <c:axId val="1812493471"/>
      </c:barChart>
      <c:catAx>
        <c:axId val="2016160783"/>
        <c:scaling>
          <c:orientation val="minMax"/>
        </c:scaling>
        <c:delete val="1"/>
        <c:axPos val="b"/>
        <c:numFmt formatCode="General" sourceLinked="1"/>
        <c:majorTickMark val="none"/>
        <c:minorTickMark val="none"/>
        <c:tickLblPos val="nextTo"/>
        <c:crossAx val="1812493471"/>
        <c:crosses val="autoZero"/>
        <c:auto val="1"/>
        <c:lblAlgn val="ctr"/>
        <c:lblOffset val="100"/>
        <c:noMultiLvlLbl val="0"/>
      </c:catAx>
      <c:valAx>
        <c:axId val="181249347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01616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a:t>OCURRENCIA -</a:t>
            </a:r>
            <a:r>
              <a:rPr lang="es-CO" baseline="0"/>
              <a:t> </a:t>
            </a:r>
            <a:r>
              <a:rPr lang="es-CO"/>
              <a:t>GESTION INTEGRAL DEL RIESGO CONTRA INCENDIOS, DESDE EL AÑO 2013 AL 2023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barChart>
        <c:barDir val="col"/>
        <c:grouping val="clustered"/>
        <c:varyColors val="0"/>
        <c:ser>
          <c:idx val="0"/>
          <c:order val="0"/>
          <c:tx>
            <c:strRef>
              <c:f>'GR DE INCENDIOS 10 AÑOS'!$A$3</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AÑOS'!$B$3</c:f>
              <c:numCache>
                <c:formatCode>General</c:formatCode>
                <c:ptCount val="1"/>
                <c:pt idx="0">
                  <c:v>23</c:v>
                </c:pt>
              </c:numCache>
            </c:numRef>
          </c:val>
          <c:extLst>
            <c:ext xmlns:c16="http://schemas.microsoft.com/office/drawing/2014/chart" uri="{C3380CC4-5D6E-409C-BE32-E72D297353CC}">
              <c16:uniqueId val="{00000000-63FD-420A-AA70-3EA244E26C7F}"/>
            </c:ext>
          </c:extLst>
        </c:ser>
        <c:ser>
          <c:idx val="1"/>
          <c:order val="1"/>
          <c:tx>
            <c:strRef>
              <c:f>'GR DE INCENDIOS 10 AÑOS'!$A$4</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AÑOS'!$B$4</c:f>
              <c:numCache>
                <c:formatCode>General</c:formatCode>
                <c:ptCount val="1"/>
                <c:pt idx="0">
                  <c:v>47</c:v>
                </c:pt>
              </c:numCache>
            </c:numRef>
          </c:val>
          <c:extLst>
            <c:ext xmlns:c16="http://schemas.microsoft.com/office/drawing/2014/chart" uri="{C3380CC4-5D6E-409C-BE32-E72D297353CC}">
              <c16:uniqueId val="{00000001-63FD-420A-AA70-3EA244E26C7F}"/>
            </c:ext>
          </c:extLst>
        </c:ser>
        <c:ser>
          <c:idx val="2"/>
          <c:order val="2"/>
          <c:tx>
            <c:strRef>
              <c:f>'GR DE INCENDIOS 10 AÑOS'!$A$5</c:f>
              <c:strCache>
                <c:ptCount val="1"/>
                <c:pt idx="0">
                  <c:v>2015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AÑOS'!$B$5</c:f>
              <c:numCache>
                <c:formatCode>General</c:formatCode>
                <c:ptCount val="1"/>
                <c:pt idx="0">
                  <c:v>55</c:v>
                </c:pt>
              </c:numCache>
            </c:numRef>
          </c:val>
          <c:extLst>
            <c:ext xmlns:c16="http://schemas.microsoft.com/office/drawing/2014/chart" uri="{C3380CC4-5D6E-409C-BE32-E72D297353CC}">
              <c16:uniqueId val="{00000002-63FD-420A-AA70-3EA244E26C7F}"/>
            </c:ext>
          </c:extLst>
        </c:ser>
        <c:ser>
          <c:idx val="3"/>
          <c:order val="3"/>
          <c:tx>
            <c:strRef>
              <c:f>'GR DE INCENDIOS 10 AÑOS'!$A$6</c:f>
              <c:strCache>
                <c:ptCount val="1"/>
                <c:pt idx="0">
                  <c:v>2016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AÑOS'!$B$6</c:f>
              <c:numCache>
                <c:formatCode>General</c:formatCode>
                <c:ptCount val="1"/>
                <c:pt idx="0">
                  <c:v>48</c:v>
                </c:pt>
              </c:numCache>
            </c:numRef>
          </c:val>
          <c:extLst>
            <c:ext xmlns:c16="http://schemas.microsoft.com/office/drawing/2014/chart" uri="{C3380CC4-5D6E-409C-BE32-E72D297353CC}">
              <c16:uniqueId val="{00000003-63FD-420A-AA70-3EA244E26C7F}"/>
            </c:ext>
          </c:extLst>
        </c:ser>
        <c:ser>
          <c:idx val="4"/>
          <c:order val="4"/>
          <c:tx>
            <c:strRef>
              <c:f>'GR DE INCENDIOS 10 AÑOS'!$A$7</c:f>
              <c:strCache>
                <c:ptCount val="1"/>
                <c:pt idx="0">
                  <c:v>2017</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AÑOS'!$B$7</c:f>
              <c:numCache>
                <c:formatCode>General</c:formatCode>
                <c:ptCount val="1"/>
                <c:pt idx="0">
                  <c:v>52</c:v>
                </c:pt>
              </c:numCache>
            </c:numRef>
          </c:val>
          <c:extLst>
            <c:ext xmlns:c16="http://schemas.microsoft.com/office/drawing/2014/chart" uri="{C3380CC4-5D6E-409C-BE32-E72D297353CC}">
              <c16:uniqueId val="{00000004-63FD-420A-AA70-3EA244E26C7F}"/>
            </c:ext>
          </c:extLst>
        </c:ser>
        <c:ser>
          <c:idx val="5"/>
          <c:order val="5"/>
          <c:tx>
            <c:strRef>
              <c:f>'GR DE INCENDIOS 10 AÑOS'!$A$8</c:f>
              <c:strCache>
                <c:ptCount val="1"/>
                <c:pt idx="0">
                  <c:v>2018</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AÑOS'!$B$8</c:f>
              <c:numCache>
                <c:formatCode>General</c:formatCode>
                <c:ptCount val="1"/>
                <c:pt idx="0">
                  <c:v>61</c:v>
                </c:pt>
              </c:numCache>
            </c:numRef>
          </c:val>
          <c:extLst>
            <c:ext xmlns:c16="http://schemas.microsoft.com/office/drawing/2014/chart" uri="{C3380CC4-5D6E-409C-BE32-E72D297353CC}">
              <c16:uniqueId val="{00000005-63FD-420A-AA70-3EA244E26C7F}"/>
            </c:ext>
          </c:extLst>
        </c:ser>
        <c:ser>
          <c:idx val="6"/>
          <c:order val="6"/>
          <c:tx>
            <c:strRef>
              <c:f>'GR DE INCENDIOS 10 AÑOS'!$A$9</c:f>
              <c:strCache>
                <c:ptCount val="1"/>
                <c:pt idx="0">
                  <c:v>2019</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AÑOS'!$B$9</c:f>
              <c:numCache>
                <c:formatCode>General</c:formatCode>
                <c:ptCount val="1"/>
                <c:pt idx="0">
                  <c:v>66</c:v>
                </c:pt>
              </c:numCache>
            </c:numRef>
          </c:val>
          <c:extLst>
            <c:ext xmlns:c16="http://schemas.microsoft.com/office/drawing/2014/chart" uri="{C3380CC4-5D6E-409C-BE32-E72D297353CC}">
              <c16:uniqueId val="{00000006-63FD-420A-AA70-3EA244E26C7F}"/>
            </c:ext>
          </c:extLst>
        </c:ser>
        <c:ser>
          <c:idx val="7"/>
          <c:order val="7"/>
          <c:tx>
            <c:strRef>
              <c:f>'GR DE INCENDIOS 10 AÑOS'!$A$10</c:f>
              <c:strCache>
                <c:ptCount val="1"/>
                <c:pt idx="0">
                  <c:v>2020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AÑOS'!$B$10</c:f>
              <c:numCache>
                <c:formatCode>General</c:formatCode>
                <c:ptCount val="1"/>
                <c:pt idx="0">
                  <c:v>49</c:v>
                </c:pt>
              </c:numCache>
            </c:numRef>
          </c:val>
          <c:extLst>
            <c:ext xmlns:c16="http://schemas.microsoft.com/office/drawing/2014/chart" uri="{C3380CC4-5D6E-409C-BE32-E72D297353CC}">
              <c16:uniqueId val="{00000007-63FD-420A-AA70-3EA244E26C7F}"/>
            </c:ext>
          </c:extLst>
        </c:ser>
        <c:ser>
          <c:idx val="8"/>
          <c:order val="8"/>
          <c:tx>
            <c:strRef>
              <c:f>'GR DE INCENDIOS 10 AÑOS'!$A$11</c:f>
              <c:strCache>
                <c:ptCount val="1"/>
                <c:pt idx="0">
                  <c:v>2021</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AÑOS'!$B$11</c:f>
              <c:numCache>
                <c:formatCode>General</c:formatCode>
                <c:ptCount val="1"/>
                <c:pt idx="0">
                  <c:v>32</c:v>
                </c:pt>
              </c:numCache>
            </c:numRef>
          </c:val>
          <c:extLst>
            <c:ext xmlns:c16="http://schemas.microsoft.com/office/drawing/2014/chart" uri="{C3380CC4-5D6E-409C-BE32-E72D297353CC}">
              <c16:uniqueId val="{00000008-63FD-420A-AA70-3EA244E26C7F}"/>
            </c:ext>
          </c:extLst>
        </c:ser>
        <c:ser>
          <c:idx val="9"/>
          <c:order val="9"/>
          <c:tx>
            <c:strRef>
              <c:f>'GR DE INCENDIOS 10 AÑOS'!$A$12</c:f>
              <c:strCache>
                <c:ptCount val="1"/>
                <c:pt idx="0">
                  <c:v>2022</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AÑOS'!$B$12</c:f>
              <c:numCache>
                <c:formatCode>General</c:formatCode>
                <c:ptCount val="1"/>
                <c:pt idx="0">
                  <c:v>37</c:v>
                </c:pt>
              </c:numCache>
            </c:numRef>
          </c:val>
          <c:extLst>
            <c:ext xmlns:c16="http://schemas.microsoft.com/office/drawing/2014/chart" uri="{C3380CC4-5D6E-409C-BE32-E72D297353CC}">
              <c16:uniqueId val="{00000009-63FD-420A-AA70-3EA244E26C7F}"/>
            </c:ext>
          </c:extLst>
        </c:ser>
        <c:ser>
          <c:idx val="10"/>
          <c:order val="10"/>
          <c:tx>
            <c:strRef>
              <c:f>'GR DE INCENDIOS 10 AÑOS'!$A$13</c:f>
              <c:strCache>
                <c:ptCount val="1"/>
                <c:pt idx="0">
                  <c:v>2023</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AÑOS'!$B$2</c:f>
              <c:strCache>
                <c:ptCount val="1"/>
                <c:pt idx="0">
                  <c:v>CANTIDAD ANUAL</c:v>
                </c:pt>
              </c:strCache>
            </c:strRef>
          </c:cat>
          <c:val>
            <c:numRef>
              <c:f>'GR DE INCENDIOS 10 AÑOS'!$B$13</c:f>
              <c:numCache>
                <c:formatCode>General</c:formatCode>
                <c:ptCount val="1"/>
                <c:pt idx="0">
                  <c:v>71</c:v>
                </c:pt>
              </c:numCache>
            </c:numRef>
          </c:val>
          <c:extLst>
            <c:ext xmlns:c16="http://schemas.microsoft.com/office/drawing/2014/chart" uri="{C3380CC4-5D6E-409C-BE32-E72D297353CC}">
              <c16:uniqueId val="{0000000A-63FD-420A-AA70-3EA244E26C7F}"/>
            </c:ext>
          </c:extLst>
        </c:ser>
        <c:dLbls>
          <c:dLblPos val="outEnd"/>
          <c:showLegendKey val="0"/>
          <c:showVal val="1"/>
          <c:showCatName val="0"/>
          <c:showSerName val="0"/>
          <c:showPercent val="0"/>
          <c:showBubbleSize val="0"/>
        </c:dLbls>
        <c:gapWidth val="100"/>
        <c:overlap val="-24"/>
        <c:axId val="2016160783"/>
        <c:axId val="1812493471"/>
      </c:barChart>
      <c:catAx>
        <c:axId val="20161607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812493471"/>
        <c:crosses val="autoZero"/>
        <c:auto val="1"/>
        <c:lblAlgn val="ctr"/>
        <c:lblOffset val="100"/>
        <c:noMultiLvlLbl val="0"/>
      </c:catAx>
      <c:valAx>
        <c:axId val="18124934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01616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a:t>PORCENTAJE DE VARIACION ANUAL</a:t>
            </a:r>
            <a:r>
              <a:rPr lang="es-CO" baseline="0"/>
              <a:t> DE LA GESTION INTEGRAL DEL RIESGO CONTRA INCENDIOS, DEL 2013 AL 2023</a:t>
            </a:r>
            <a:endParaRPr lang="es-CO"/>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barChart>
        <c:barDir val="col"/>
        <c:grouping val="clustered"/>
        <c:varyColors val="0"/>
        <c:ser>
          <c:idx val="0"/>
          <c:order val="0"/>
          <c:tx>
            <c:strRef>
              <c:f>'GR DE INCENDIOS 10 AÑOS'!$A$3</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AÑOS'!$D$3</c:f>
              <c:numCache>
                <c:formatCode>0%</c:formatCode>
                <c:ptCount val="1"/>
                <c:pt idx="0">
                  <c:v>0</c:v>
                </c:pt>
              </c:numCache>
            </c:numRef>
          </c:val>
          <c:extLst>
            <c:ext xmlns:c16="http://schemas.microsoft.com/office/drawing/2014/chart" uri="{C3380CC4-5D6E-409C-BE32-E72D297353CC}">
              <c16:uniqueId val="{00000000-64BB-4DDB-9DB2-6FF70252EDFB}"/>
            </c:ext>
          </c:extLst>
        </c:ser>
        <c:ser>
          <c:idx val="1"/>
          <c:order val="1"/>
          <c:tx>
            <c:strRef>
              <c:f>'GR DE INCENDIOS 10 AÑOS'!$A$4</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AÑOS'!$D$4</c:f>
              <c:numCache>
                <c:formatCode>0%</c:formatCode>
                <c:ptCount val="1"/>
                <c:pt idx="0">
                  <c:v>1.0434782608695652</c:v>
                </c:pt>
              </c:numCache>
            </c:numRef>
          </c:val>
          <c:extLst>
            <c:ext xmlns:c16="http://schemas.microsoft.com/office/drawing/2014/chart" uri="{C3380CC4-5D6E-409C-BE32-E72D297353CC}">
              <c16:uniqueId val="{00000001-64BB-4DDB-9DB2-6FF70252EDFB}"/>
            </c:ext>
          </c:extLst>
        </c:ser>
        <c:ser>
          <c:idx val="2"/>
          <c:order val="2"/>
          <c:tx>
            <c:strRef>
              <c:f>'GR DE INCENDIOS 10 AÑOS'!$A$5</c:f>
              <c:strCache>
                <c:ptCount val="1"/>
                <c:pt idx="0">
                  <c:v>2015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AÑOS'!$D$5</c:f>
              <c:numCache>
                <c:formatCode>0%</c:formatCode>
                <c:ptCount val="1"/>
                <c:pt idx="0">
                  <c:v>0.1702127659574468</c:v>
                </c:pt>
              </c:numCache>
            </c:numRef>
          </c:val>
          <c:extLst>
            <c:ext xmlns:c16="http://schemas.microsoft.com/office/drawing/2014/chart" uri="{C3380CC4-5D6E-409C-BE32-E72D297353CC}">
              <c16:uniqueId val="{00000002-64BB-4DDB-9DB2-6FF70252EDFB}"/>
            </c:ext>
          </c:extLst>
        </c:ser>
        <c:ser>
          <c:idx val="3"/>
          <c:order val="3"/>
          <c:tx>
            <c:strRef>
              <c:f>'GR DE INCENDIOS 10 AÑOS'!$A$6</c:f>
              <c:strCache>
                <c:ptCount val="1"/>
                <c:pt idx="0">
                  <c:v>2016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AÑOS'!$D$6</c:f>
              <c:numCache>
                <c:formatCode>0%</c:formatCode>
                <c:ptCount val="1"/>
                <c:pt idx="0">
                  <c:v>-0.12727272727272726</c:v>
                </c:pt>
              </c:numCache>
            </c:numRef>
          </c:val>
          <c:extLst>
            <c:ext xmlns:c16="http://schemas.microsoft.com/office/drawing/2014/chart" uri="{C3380CC4-5D6E-409C-BE32-E72D297353CC}">
              <c16:uniqueId val="{00000003-64BB-4DDB-9DB2-6FF70252EDFB}"/>
            </c:ext>
          </c:extLst>
        </c:ser>
        <c:ser>
          <c:idx val="4"/>
          <c:order val="4"/>
          <c:tx>
            <c:strRef>
              <c:f>'GR DE INCENDIOS 10 AÑOS'!$A$7</c:f>
              <c:strCache>
                <c:ptCount val="1"/>
                <c:pt idx="0">
                  <c:v>2017</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AÑOS'!$D$7</c:f>
              <c:numCache>
                <c:formatCode>0%</c:formatCode>
                <c:ptCount val="1"/>
                <c:pt idx="0">
                  <c:v>8.3333333333333329E-2</c:v>
                </c:pt>
              </c:numCache>
            </c:numRef>
          </c:val>
          <c:extLst>
            <c:ext xmlns:c16="http://schemas.microsoft.com/office/drawing/2014/chart" uri="{C3380CC4-5D6E-409C-BE32-E72D297353CC}">
              <c16:uniqueId val="{00000004-64BB-4DDB-9DB2-6FF70252EDFB}"/>
            </c:ext>
          </c:extLst>
        </c:ser>
        <c:ser>
          <c:idx val="5"/>
          <c:order val="5"/>
          <c:tx>
            <c:strRef>
              <c:f>'GR DE INCENDIOS 10 AÑOS'!$A$8</c:f>
              <c:strCache>
                <c:ptCount val="1"/>
                <c:pt idx="0">
                  <c:v>2018</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AÑOS'!$D$8</c:f>
              <c:numCache>
                <c:formatCode>0%</c:formatCode>
                <c:ptCount val="1"/>
                <c:pt idx="0">
                  <c:v>0.17307692307692307</c:v>
                </c:pt>
              </c:numCache>
            </c:numRef>
          </c:val>
          <c:extLst>
            <c:ext xmlns:c16="http://schemas.microsoft.com/office/drawing/2014/chart" uri="{C3380CC4-5D6E-409C-BE32-E72D297353CC}">
              <c16:uniqueId val="{00000005-64BB-4DDB-9DB2-6FF70252EDFB}"/>
            </c:ext>
          </c:extLst>
        </c:ser>
        <c:ser>
          <c:idx val="6"/>
          <c:order val="6"/>
          <c:tx>
            <c:strRef>
              <c:f>'GR DE INCENDIOS 10 AÑOS'!$A$9</c:f>
              <c:strCache>
                <c:ptCount val="1"/>
                <c:pt idx="0">
                  <c:v>2019</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AÑOS'!$D$9</c:f>
              <c:numCache>
                <c:formatCode>0%</c:formatCode>
                <c:ptCount val="1"/>
                <c:pt idx="0">
                  <c:v>8.1967213114754092E-2</c:v>
                </c:pt>
              </c:numCache>
            </c:numRef>
          </c:val>
          <c:extLst>
            <c:ext xmlns:c16="http://schemas.microsoft.com/office/drawing/2014/chart" uri="{C3380CC4-5D6E-409C-BE32-E72D297353CC}">
              <c16:uniqueId val="{00000006-64BB-4DDB-9DB2-6FF70252EDFB}"/>
            </c:ext>
          </c:extLst>
        </c:ser>
        <c:ser>
          <c:idx val="7"/>
          <c:order val="7"/>
          <c:tx>
            <c:strRef>
              <c:f>'GR DE INCENDIOS 10 AÑOS'!$A$10</c:f>
              <c:strCache>
                <c:ptCount val="1"/>
                <c:pt idx="0">
                  <c:v>2020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AÑOS'!$D$10</c:f>
              <c:numCache>
                <c:formatCode>0%</c:formatCode>
                <c:ptCount val="1"/>
                <c:pt idx="0">
                  <c:v>-0.25757575757575757</c:v>
                </c:pt>
              </c:numCache>
            </c:numRef>
          </c:val>
          <c:extLst>
            <c:ext xmlns:c16="http://schemas.microsoft.com/office/drawing/2014/chart" uri="{C3380CC4-5D6E-409C-BE32-E72D297353CC}">
              <c16:uniqueId val="{00000007-64BB-4DDB-9DB2-6FF70252EDFB}"/>
            </c:ext>
          </c:extLst>
        </c:ser>
        <c:ser>
          <c:idx val="8"/>
          <c:order val="8"/>
          <c:tx>
            <c:strRef>
              <c:f>'GR DE INCENDIOS 10 AÑOS'!$A$11</c:f>
              <c:strCache>
                <c:ptCount val="1"/>
                <c:pt idx="0">
                  <c:v>2021</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AÑOS'!$D$11</c:f>
              <c:numCache>
                <c:formatCode>0%</c:formatCode>
                <c:ptCount val="1"/>
                <c:pt idx="0">
                  <c:v>-0.34693877551020408</c:v>
                </c:pt>
              </c:numCache>
            </c:numRef>
          </c:val>
          <c:extLst>
            <c:ext xmlns:c16="http://schemas.microsoft.com/office/drawing/2014/chart" uri="{C3380CC4-5D6E-409C-BE32-E72D297353CC}">
              <c16:uniqueId val="{00000008-64BB-4DDB-9DB2-6FF70252EDFB}"/>
            </c:ext>
          </c:extLst>
        </c:ser>
        <c:ser>
          <c:idx val="9"/>
          <c:order val="9"/>
          <c:tx>
            <c:strRef>
              <c:f>'GR DE INCENDIOS 10 AÑOS'!$A$12</c:f>
              <c:strCache>
                <c:ptCount val="1"/>
                <c:pt idx="0">
                  <c:v>2022</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AÑOS'!$D$12</c:f>
              <c:numCache>
                <c:formatCode>0%</c:formatCode>
                <c:ptCount val="1"/>
                <c:pt idx="0">
                  <c:v>0.15625</c:v>
                </c:pt>
              </c:numCache>
            </c:numRef>
          </c:val>
          <c:extLst>
            <c:ext xmlns:c16="http://schemas.microsoft.com/office/drawing/2014/chart" uri="{C3380CC4-5D6E-409C-BE32-E72D297353CC}">
              <c16:uniqueId val="{00000009-64BB-4DDB-9DB2-6FF70252EDFB}"/>
            </c:ext>
          </c:extLst>
        </c:ser>
        <c:ser>
          <c:idx val="10"/>
          <c:order val="10"/>
          <c:tx>
            <c:strRef>
              <c:f>'GR DE INCENDIOS 10 AÑOS'!$A$13</c:f>
              <c:strCache>
                <c:ptCount val="1"/>
                <c:pt idx="0">
                  <c:v>2023</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 DE INCENDIOS 10 AÑOS'!$D$2</c:f>
              <c:strCache>
                <c:ptCount val="1"/>
                <c:pt idx="0">
                  <c:v>VARIACION PORCENTUAL ANUAL</c:v>
                </c:pt>
              </c:strCache>
            </c:strRef>
          </c:cat>
          <c:val>
            <c:numRef>
              <c:f>'GR DE INCENDIOS 10 AÑOS'!$D$13</c:f>
              <c:numCache>
                <c:formatCode>0%</c:formatCode>
                <c:ptCount val="1"/>
                <c:pt idx="0">
                  <c:v>0.91891891891891897</c:v>
                </c:pt>
              </c:numCache>
            </c:numRef>
          </c:val>
          <c:extLst>
            <c:ext xmlns:c16="http://schemas.microsoft.com/office/drawing/2014/chart" uri="{C3380CC4-5D6E-409C-BE32-E72D297353CC}">
              <c16:uniqueId val="{0000000A-64BB-4DDB-9DB2-6FF70252EDFB}"/>
            </c:ext>
          </c:extLst>
        </c:ser>
        <c:dLbls>
          <c:dLblPos val="outEnd"/>
          <c:showLegendKey val="0"/>
          <c:showVal val="1"/>
          <c:showCatName val="0"/>
          <c:showSerName val="0"/>
          <c:showPercent val="0"/>
          <c:showBubbleSize val="0"/>
        </c:dLbls>
        <c:gapWidth val="100"/>
        <c:overlap val="-24"/>
        <c:axId val="2016160783"/>
        <c:axId val="1812493471"/>
      </c:barChart>
      <c:catAx>
        <c:axId val="2016160783"/>
        <c:scaling>
          <c:orientation val="minMax"/>
        </c:scaling>
        <c:delete val="1"/>
        <c:axPos val="b"/>
        <c:numFmt formatCode="General" sourceLinked="1"/>
        <c:majorTickMark val="none"/>
        <c:minorTickMark val="none"/>
        <c:tickLblPos val="nextTo"/>
        <c:crossAx val="1812493471"/>
        <c:crosses val="autoZero"/>
        <c:auto val="1"/>
        <c:lblAlgn val="ctr"/>
        <c:lblOffset val="100"/>
        <c:noMultiLvlLbl val="0"/>
      </c:catAx>
      <c:valAx>
        <c:axId val="181249347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01616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0</xdr:row>
      <xdr:rowOff>70721</xdr:rowOff>
    </xdr:from>
    <xdr:to>
      <xdr:col>0</xdr:col>
      <xdr:colOff>889372</xdr:colOff>
      <xdr:row>0</xdr:row>
      <xdr:rowOff>574654</xdr:rowOff>
    </xdr:to>
    <xdr:pic>
      <xdr:nvPicPr>
        <xdr:cNvPr id="9" name="Imagen 8">
          <a:extLst>
            <a:ext uri="{FF2B5EF4-FFF2-40B4-BE49-F238E27FC236}">
              <a16:creationId xmlns:a16="http://schemas.microsoft.com/office/drawing/2014/main" id="{3B48D62E-78C3-4420-AA43-3C04548FA8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70721"/>
          <a:ext cx="579591" cy="508415"/>
        </a:xfrm>
        <a:prstGeom prst="rect">
          <a:avLst/>
        </a:prstGeom>
        <a:effectLst>
          <a:glow rad="63500">
            <a:schemeClr val="accent2">
              <a:satMod val="175000"/>
              <a:alpha val="40000"/>
            </a:schemeClr>
          </a:glow>
        </a:effectLst>
      </xdr:spPr>
    </xdr:pic>
    <xdr:clientData/>
  </xdr:twoCellAnchor>
  <xdr:twoCellAnchor editAs="oneCell">
    <xdr:from>
      <xdr:col>2</xdr:col>
      <xdr:colOff>180972</xdr:colOff>
      <xdr:row>0</xdr:row>
      <xdr:rowOff>76200</xdr:rowOff>
    </xdr:from>
    <xdr:to>
      <xdr:col>2</xdr:col>
      <xdr:colOff>637098</xdr:colOff>
      <xdr:row>0</xdr:row>
      <xdr:rowOff>588684</xdr:rowOff>
    </xdr:to>
    <xdr:pic>
      <xdr:nvPicPr>
        <xdr:cNvPr id="10" name="Imagen 9">
          <a:extLst>
            <a:ext uri="{FF2B5EF4-FFF2-40B4-BE49-F238E27FC236}">
              <a16:creationId xmlns:a16="http://schemas.microsoft.com/office/drawing/2014/main" id="{789BBEFB-D5A4-40C4-A958-4C3B4B41E9E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187325" y="76200"/>
          <a:ext cx="456126" cy="512484"/>
        </a:xfrm>
        <a:prstGeom prst="rect">
          <a:avLst/>
        </a:prstGeom>
        <a:effectLst>
          <a:glow rad="63500">
            <a:schemeClr val="accent1">
              <a:satMod val="175000"/>
              <a:alpha val="40000"/>
            </a:schemeClr>
          </a:glow>
        </a:effectLst>
      </xdr:spPr>
    </xdr:pic>
    <xdr:clientData/>
  </xdr:twoCellAnchor>
  <xdr:twoCellAnchor>
    <xdr:from>
      <xdr:col>3</xdr:col>
      <xdr:colOff>9961</xdr:colOff>
      <xdr:row>0</xdr:row>
      <xdr:rowOff>0</xdr:rowOff>
    </xdr:from>
    <xdr:to>
      <xdr:col>17</xdr:col>
      <xdr:colOff>667373</xdr:colOff>
      <xdr:row>39</xdr:row>
      <xdr:rowOff>179295</xdr:rowOff>
    </xdr:to>
    <xdr:graphicFrame macro="">
      <xdr:nvGraphicFramePr>
        <xdr:cNvPr id="12" name="Gráfico 11">
          <a:extLst>
            <a:ext uri="{FF2B5EF4-FFF2-40B4-BE49-F238E27FC236}">
              <a16:creationId xmlns:a16="http://schemas.microsoft.com/office/drawing/2014/main" id="{34B3B6EA-A268-40C6-8738-4F5997B05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19924</xdr:colOff>
      <xdr:row>46</xdr:row>
      <xdr:rowOff>1</xdr:rowOff>
    </xdr:from>
    <xdr:to>
      <xdr:col>15</xdr:col>
      <xdr:colOff>61758</xdr:colOff>
      <xdr:row>69</xdr:row>
      <xdr:rowOff>9961</xdr:rowOff>
    </xdr:to>
    <xdr:graphicFrame macro="">
      <xdr:nvGraphicFramePr>
        <xdr:cNvPr id="13" name="Gráfico 12">
          <a:extLst>
            <a:ext uri="{FF2B5EF4-FFF2-40B4-BE49-F238E27FC236}">
              <a16:creationId xmlns:a16="http://schemas.microsoft.com/office/drawing/2014/main" id="{C56BFDD3-5F55-4E7C-95BE-AD6149E95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304800</xdr:colOff>
      <xdr:row>0</xdr:row>
      <xdr:rowOff>70721</xdr:rowOff>
    </xdr:from>
    <xdr:to>
      <xdr:col>0</xdr:col>
      <xdr:colOff>889372</xdr:colOff>
      <xdr:row>0</xdr:row>
      <xdr:rowOff>574654</xdr:rowOff>
    </xdr:to>
    <xdr:pic>
      <xdr:nvPicPr>
        <xdr:cNvPr id="2" name="Imagen 1">
          <a:extLst>
            <a:ext uri="{FF2B5EF4-FFF2-40B4-BE49-F238E27FC236}">
              <a16:creationId xmlns:a16="http://schemas.microsoft.com/office/drawing/2014/main" id="{9A319F9E-A8D0-4B13-96C9-DA540F3C24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70721"/>
          <a:ext cx="584572" cy="503933"/>
        </a:xfrm>
        <a:prstGeom prst="rect">
          <a:avLst/>
        </a:prstGeom>
        <a:effectLst>
          <a:glow rad="63500">
            <a:schemeClr val="accent2">
              <a:satMod val="175000"/>
              <a:alpha val="40000"/>
            </a:schemeClr>
          </a:glow>
        </a:effectLst>
      </xdr:spPr>
    </xdr:pic>
    <xdr:clientData/>
  </xdr:twoCellAnchor>
  <xdr:twoCellAnchor editAs="oneCell">
    <xdr:from>
      <xdr:col>2</xdr:col>
      <xdr:colOff>180972</xdr:colOff>
      <xdr:row>0</xdr:row>
      <xdr:rowOff>76200</xdr:rowOff>
    </xdr:from>
    <xdr:to>
      <xdr:col>2</xdr:col>
      <xdr:colOff>637098</xdr:colOff>
      <xdr:row>0</xdr:row>
      <xdr:rowOff>588684</xdr:rowOff>
    </xdr:to>
    <xdr:pic>
      <xdr:nvPicPr>
        <xdr:cNvPr id="3" name="Imagen 2">
          <a:extLst>
            <a:ext uri="{FF2B5EF4-FFF2-40B4-BE49-F238E27FC236}">
              <a16:creationId xmlns:a16="http://schemas.microsoft.com/office/drawing/2014/main" id="{13AD4EEE-AB59-4D25-89CD-2074454A79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183839" y="76200"/>
          <a:ext cx="456126" cy="512484"/>
        </a:xfrm>
        <a:prstGeom prst="rect">
          <a:avLst/>
        </a:prstGeom>
        <a:effectLst>
          <a:glow rad="63500">
            <a:schemeClr val="accent1">
              <a:satMod val="175000"/>
              <a:alpha val="40000"/>
            </a:schemeClr>
          </a:glow>
        </a:effectLst>
      </xdr:spPr>
    </xdr:pic>
    <xdr:clientData/>
  </xdr:twoCellAnchor>
  <xdr:twoCellAnchor>
    <xdr:from>
      <xdr:col>3</xdr:col>
      <xdr:colOff>9961</xdr:colOff>
      <xdr:row>0</xdr:row>
      <xdr:rowOff>0</xdr:rowOff>
    </xdr:from>
    <xdr:to>
      <xdr:col>17</xdr:col>
      <xdr:colOff>667373</xdr:colOff>
      <xdr:row>39</xdr:row>
      <xdr:rowOff>179295</xdr:rowOff>
    </xdr:to>
    <xdr:graphicFrame macro="">
      <xdr:nvGraphicFramePr>
        <xdr:cNvPr id="4" name="Gráfico 3">
          <a:extLst>
            <a:ext uri="{FF2B5EF4-FFF2-40B4-BE49-F238E27FC236}">
              <a16:creationId xmlns:a16="http://schemas.microsoft.com/office/drawing/2014/main" id="{468D521B-6222-4BD3-9C99-AC1B5B0C2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278898</xdr:colOff>
      <xdr:row>0</xdr:row>
      <xdr:rowOff>52293</xdr:rowOff>
    </xdr:from>
    <xdr:to>
      <xdr:col>2</xdr:col>
      <xdr:colOff>300685</xdr:colOff>
      <xdr:row>1</xdr:row>
      <xdr:rowOff>261884</xdr:rowOff>
    </xdr:to>
    <xdr:pic>
      <xdr:nvPicPr>
        <xdr:cNvPr id="6" name="Imagen 5">
          <a:extLst>
            <a:ext uri="{FF2B5EF4-FFF2-40B4-BE49-F238E27FC236}">
              <a16:creationId xmlns:a16="http://schemas.microsoft.com/office/drawing/2014/main" id="{0E08A293-3D11-4C14-B64D-71F0E98819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212" y="52293"/>
          <a:ext cx="579591" cy="508415"/>
        </a:xfrm>
        <a:prstGeom prst="rect">
          <a:avLst/>
        </a:prstGeom>
        <a:effectLst>
          <a:glow rad="63500">
            <a:schemeClr val="accent2">
              <a:satMod val="175000"/>
              <a:alpha val="40000"/>
            </a:schemeClr>
          </a:glow>
        </a:effectLst>
      </xdr:spPr>
    </xdr:pic>
    <xdr:clientData/>
  </xdr:twoCellAnchor>
  <xdr:twoCellAnchor editAs="oneCell">
    <xdr:from>
      <xdr:col>16</xdr:col>
      <xdr:colOff>364742</xdr:colOff>
      <xdr:row>0</xdr:row>
      <xdr:rowOff>40838</xdr:rowOff>
    </xdr:from>
    <xdr:to>
      <xdr:col>17</xdr:col>
      <xdr:colOff>237173</xdr:colOff>
      <xdr:row>1</xdr:row>
      <xdr:rowOff>258980</xdr:rowOff>
    </xdr:to>
    <xdr:pic>
      <xdr:nvPicPr>
        <xdr:cNvPr id="7" name="Imagen 6">
          <a:extLst>
            <a:ext uri="{FF2B5EF4-FFF2-40B4-BE49-F238E27FC236}">
              <a16:creationId xmlns:a16="http://schemas.microsoft.com/office/drawing/2014/main" id="{FE8CC652-23DE-4F59-AA23-8DC311522C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1670233" y="40838"/>
          <a:ext cx="460116" cy="516966"/>
        </a:xfrm>
        <a:prstGeom prst="rect">
          <a:avLst/>
        </a:prstGeom>
        <a:effectLst>
          <a:glow rad="63500">
            <a:schemeClr val="accent1">
              <a:satMod val="175000"/>
              <a:alpha val="40000"/>
            </a:schemeClr>
          </a:glow>
        </a:effectLst>
      </xdr:spPr>
    </xdr:pic>
    <xdr:clientData/>
  </xdr:twoCellAnchor>
  <xdr:twoCellAnchor>
    <xdr:from>
      <xdr:col>0</xdr:col>
      <xdr:colOff>0</xdr:colOff>
      <xdr:row>12</xdr:row>
      <xdr:rowOff>1492</xdr:rowOff>
    </xdr:from>
    <xdr:to>
      <xdr:col>17</xdr:col>
      <xdr:colOff>996079</xdr:colOff>
      <xdr:row>32</xdr:row>
      <xdr:rowOff>0</xdr:rowOff>
    </xdr:to>
    <xdr:graphicFrame macro="">
      <xdr:nvGraphicFramePr>
        <xdr:cNvPr id="3" name="Gráfico 2">
          <a:extLst>
            <a:ext uri="{FF2B5EF4-FFF2-40B4-BE49-F238E27FC236}">
              <a16:creationId xmlns:a16="http://schemas.microsoft.com/office/drawing/2014/main" id="{502A5370-4520-43E9-9A5F-0AAD3B837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143</xdr:row>
      <xdr:rowOff>199214</xdr:rowOff>
    </xdr:from>
    <xdr:to>
      <xdr:col>18</xdr:col>
      <xdr:colOff>0</xdr:colOff>
      <xdr:row>168</xdr:row>
      <xdr:rowOff>9958</xdr:rowOff>
    </xdr:to>
    <xdr:graphicFrame macro="">
      <xdr:nvGraphicFramePr>
        <xdr:cNvPr id="2" name="Gráfico 1">
          <a:extLst>
            <a:ext uri="{FF2B5EF4-FFF2-40B4-BE49-F238E27FC236}">
              <a16:creationId xmlns:a16="http://schemas.microsoft.com/office/drawing/2014/main" id="{4A44AB96-B07C-424D-910B-8D2254BB5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60</xdr:row>
      <xdr:rowOff>1</xdr:rowOff>
    </xdr:from>
    <xdr:to>
      <xdr:col>18</xdr:col>
      <xdr:colOff>0</xdr:colOff>
      <xdr:row>83</xdr:row>
      <xdr:rowOff>1335</xdr:rowOff>
    </xdr:to>
    <xdr:graphicFrame macro="">
      <xdr:nvGraphicFramePr>
        <xdr:cNvPr id="10" name="Gráfico 9">
          <a:extLst>
            <a:ext uri="{FF2B5EF4-FFF2-40B4-BE49-F238E27FC236}">
              <a16:creationId xmlns:a16="http://schemas.microsoft.com/office/drawing/2014/main" id="{4B04916C-AFDC-4FF7-8997-F6258FD7E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96</xdr:row>
      <xdr:rowOff>0</xdr:rowOff>
    </xdr:from>
    <xdr:to>
      <xdr:col>17</xdr:col>
      <xdr:colOff>996079</xdr:colOff>
      <xdr:row>116</xdr:row>
      <xdr:rowOff>0</xdr:rowOff>
    </xdr:to>
    <xdr:graphicFrame macro="">
      <xdr:nvGraphicFramePr>
        <xdr:cNvPr id="11" name="Gráfico 10">
          <a:extLst>
            <a:ext uri="{FF2B5EF4-FFF2-40B4-BE49-F238E27FC236}">
              <a16:creationId xmlns:a16="http://schemas.microsoft.com/office/drawing/2014/main" id="{C7422095-A8BD-480F-93B7-776C120F0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117</xdr:row>
      <xdr:rowOff>4395</xdr:rowOff>
    </xdr:from>
    <xdr:to>
      <xdr:col>17</xdr:col>
      <xdr:colOff>996078</xdr:colOff>
      <xdr:row>143</xdr:row>
      <xdr:rowOff>6392</xdr:rowOff>
    </xdr:to>
    <xdr:graphicFrame macro="">
      <xdr:nvGraphicFramePr>
        <xdr:cNvPr id="9" name="Gráfico 8">
          <a:extLst>
            <a:ext uri="{FF2B5EF4-FFF2-40B4-BE49-F238E27FC236}">
              <a16:creationId xmlns:a16="http://schemas.microsoft.com/office/drawing/2014/main" id="{8CC26099-28A2-470C-A710-4E2EF0C3C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33</xdr:row>
      <xdr:rowOff>1</xdr:rowOff>
    </xdr:from>
    <xdr:to>
      <xdr:col>17</xdr:col>
      <xdr:colOff>996078</xdr:colOff>
      <xdr:row>59</xdr:row>
      <xdr:rowOff>1993</xdr:rowOff>
    </xdr:to>
    <xdr:graphicFrame macro="">
      <xdr:nvGraphicFramePr>
        <xdr:cNvPr id="13" name="Gráfico 12">
          <a:extLst>
            <a:ext uri="{FF2B5EF4-FFF2-40B4-BE49-F238E27FC236}">
              <a16:creationId xmlns:a16="http://schemas.microsoft.com/office/drawing/2014/main" id="{51073C34-66AF-422F-BB1D-AD743005C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300538</xdr:colOff>
      <xdr:row>85</xdr:row>
      <xdr:rowOff>150877</xdr:rowOff>
    </xdr:from>
    <xdr:to>
      <xdr:col>2</xdr:col>
      <xdr:colOff>322325</xdr:colOff>
      <xdr:row>86</xdr:row>
      <xdr:rowOff>126324</xdr:rowOff>
    </xdr:to>
    <xdr:pic>
      <xdr:nvPicPr>
        <xdr:cNvPr id="15" name="Imagen 14">
          <a:extLst>
            <a:ext uri="{FF2B5EF4-FFF2-40B4-BE49-F238E27FC236}">
              <a16:creationId xmlns:a16="http://schemas.microsoft.com/office/drawing/2014/main" id="{C4D88738-690A-45A6-8010-9B7BBC15FF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1859" y="16910770"/>
          <a:ext cx="588666" cy="505354"/>
        </a:xfrm>
        <a:prstGeom prst="rect">
          <a:avLst/>
        </a:prstGeom>
        <a:effectLst>
          <a:glow rad="63500">
            <a:schemeClr val="accent2">
              <a:satMod val="175000"/>
              <a:alpha val="40000"/>
            </a:schemeClr>
          </a:glow>
        </a:effectLst>
      </xdr:spPr>
    </xdr:pic>
    <xdr:clientData/>
  </xdr:twoCellAnchor>
  <xdr:twoCellAnchor editAs="oneCell">
    <xdr:from>
      <xdr:col>16</xdr:col>
      <xdr:colOff>386382</xdr:colOff>
      <xdr:row>85</xdr:row>
      <xdr:rowOff>139422</xdr:rowOff>
    </xdr:from>
    <xdr:to>
      <xdr:col>17</xdr:col>
      <xdr:colOff>258813</xdr:colOff>
      <xdr:row>86</xdr:row>
      <xdr:rowOff>123420</xdr:rowOff>
    </xdr:to>
    <xdr:pic>
      <xdr:nvPicPr>
        <xdr:cNvPr id="16" name="Imagen 15">
          <a:extLst>
            <a:ext uri="{FF2B5EF4-FFF2-40B4-BE49-F238E27FC236}">
              <a16:creationId xmlns:a16="http://schemas.microsoft.com/office/drawing/2014/main" id="{01589A66-1060-47C8-A883-DB4F4415B9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1797896" y="16899315"/>
          <a:ext cx="463957" cy="513905"/>
        </a:xfrm>
        <a:prstGeom prst="rect">
          <a:avLst/>
        </a:prstGeom>
        <a:effectLst>
          <a:glow rad="63500">
            <a:schemeClr val="accent1">
              <a:satMod val="175000"/>
              <a:alpha val="40000"/>
            </a:schemeClr>
          </a:glo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16933</xdr:rowOff>
    </xdr:from>
    <xdr:to>
      <xdr:col>6</xdr:col>
      <xdr:colOff>736600</xdr:colOff>
      <xdr:row>32</xdr:row>
      <xdr:rowOff>110067</xdr:rowOff>
    </xdr:to>
    <xdr:graphicFrame macro="">
      <xdr:nvGraphicFramePr>
        <xdr:cNvPr id="4" name="Gráfico 3">
          <a:extLst>
            <a:ext uri="{FF2B5EF4-FFF2-40B4-BE49-F238E27FC236}">
              <a16:creationId xmlns:a16="http://schemas.microsoft.com/office/drawing/2014/main" id="{6A033B8C-A41F-42FA-919D-EA8755FD8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0</xdr:rowOff>
    </xdr:from>
    <xdr:to>
      <xdr:col>7</xdr:col>
      <xdr:colOff>0</xdr:colOff>
      <xdr:row>56</xdr:row>
      <xdr:rowOff>8466</xdr:rowOff>
    </xdr:to>
    <xdr:graphicFrame macro="">
      <xdr:nvGraphicFramePr>
        <xdr:cNvPr id="5" name="Gráfico 4">
          <a:extLst>
            <a:ext uri="{FF2B5EF4-FFF2-40B4-BE49-F238E27FC236}">
              <a16:creationId xmlns:a16="http://schemas.microsoft.com/office/drawing/2014/main" id="{38B7BBFA-C494-419E-AC91-42DE16AB7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84667</xdr:colOff>
      <xdr:row>0</xdr:row>
      <xdr:rowOff>59267</xdr:rowOff>
    </xdr:from>
    <xdr:to>
      <xdr:col>0</xdr:col>
      <xdr:colOff>584201</xdr:colOff>
      <xdr:row>0</xdr:row>
      <xdr:rowOff>558801</xdr:rowOff>
    </xdr:to>
    <xdr:pic>
      <xdr:nvPicPr>
        <xdr:cNvPr id="7" name="Imagen 6">
          <a:extLst>
            <a:ext uri="{FF2B5EF4-FFF2-40B4-BE49-F238E27FC236}">
              <a16:creationId xmlns:a16="http://schemas.microsoft.com/office/drawing/2014/main" id="{45BC845C-6653-4A80-BD99-EB9CE7F8B9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667" y="59267"/>
          <a:ext cx="499534" cy="499534"/>
        </a:xfrm>
        <a:prstGeom prst="rect">
          <a:avLst/>
        </a:prstGeom>
        <a:effectLst>
          <a:glow rad="63500">
            <a:schemeClr val="accent2">
              <a:satMod val="175000"/>
              <a:alpha val="40000"/>
            </a:schemeClr>
          </a:glow>
        </a:effectLst>
      </xdr:spPr>
    </xdr:pic>
    <xdr:clientData/>
  </xdr:twoCellAnchor>
  <xdr:twoCellAnchor editAs="oneCell">
    <xdr:from>
      <xdr:col>3</xdr:col>
      <xdr:colOff>1352266</xdr:colOff>
      <xdr:row>0</xdr:row>
      <xdr:rowOff>59344</xdr:rowOff>
    </xdr:from>
    <xdr:to>
      <xdr:col>3</xdr:col>
      <xdr:colOff>1851800</xdr:colOff>
      <xdr:row>0</xdr:row>
      <xdr:rowOff>620598</xdr:rowOff>
    </xdr:to>
    <xdr:pic>
      <xdr:nvPicPr>
        <xdr:cNvPr id="9" name="Imagen 8">
          <a:extLst>
            <a:ext uri="{FF2B5EF4-FFF2-40B4-BE49-F238E27FC236}">
              <a16:creationId xmlns:a16="http://schemas.microsoft.com/office/drawing/2014/main" id="{F8AB41F2-8A31-4599-A539-79A0ED4368C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36399" y="59344"/>
          <a:ext cx="499534" cy="561254"/>
        </a:xfrm>
        <a:prstGeom prst="rect">
          <a:avLst/>
        </a:prstGeom>
        <a:effectLst>
          <a:glow rad="63500">
            <a:schemeClr val="accent1">
              <a:satMod val="175000"/>
              <a:alpha val="40000"/>
            </a:schemeClr>
          </a:glo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16932</xdr:rowOff>
    </xdr:from>
    <xdr:to>
      <xdr:col>6</xdr:col>
      <xdr:colOff>736600</xdr:colOff>
      <xdr:row>36</xdr:row>
      <xdr:rowOff>59265</xdr:rowOff>
    </xdr:to>
    <xdr:graphicFrame macro="">
      <xdr:nvGraphicFramePr>
        <xdr:cNvPr id="2" name="Gráfico 1">
          <a:extLst>
            <a:ext uri="{FF2B5EF4-FFF2-40B4-BE49-F238E27FC236}">
              <a16:creationId xmlns:a16="http://schemas.microsoft.com/office/drawing/2014/main" id="{51948CFA-A77F-4A59-BD4A-B7E0C90A8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25400</xdr:rowOff>
    </xdr:from>
    <xdr:to>
      <xdr:col>7</xdr:col>
      <xdr:colOff>0</xdr:colOff>
      <xdr:row>64</xdr:row>
      <xdr:rowOff>101600</xdr:rowOff>
    </xdr:to>
    <xdr:graphicFrame macro="">
      <xdr:nvGraphicFramePr>
        <xdr:cNvPr id="3" name="Gráfico 2">
          <a:extLst>
            <a:ext uri="{FF2B5EF4-FFF2-40B4-BE49-F238E27FC236}">
              <a16:creationId xmlns:a16="http://schemas.microsoft.com/office/drawing/2014/main" id="{26FFB425-B27A-45F8-9A87-F75C36ECF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84667</xdr:colOff>
      <xdr:row>0</xdr:row>
      <xdr:rowOff>59267</xdr:rowOff>
    </xdr:from>
    <xdr:to>
      <xdr:col>0</xdr:col>
      <xdr:colOff>584201</xdr:colOff>
      <xdr:row>0</xdr:row>
      <xdr:rowOff>558801</xdr:rowOff>
    </xdr:to>
    <xdr:pic>
      <xdr:nvPicPr>
        <xdr:cNvPr id="4" name="Imagen 3">
          <a:extLst>
            <a:ext uri="{FF2B5EF4-FFF2-40B4-BE49-F238E27FC236}">
              <a16:creationId xmlns:a16="http://schemas.microsoft.com/office/drawing/2014/main" id="{6095BECD-96D5-4EA0-8FEA-A7BC28579E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667" y="59267"/>
          <a:ext cx="499534" cy="499534"/>
        </a:xfrm>
        <a:prstGeom prst="rect">
          <a:avLst/>
        </a:prstGeom>
        <a:effectLst>
          <a:glow rad="63500">
            <a:schemeClr val="accent2">
              <a:satMod val="175000"/>
              <a:alpha val="40000"/>
            </a:schemeClr>
          </a:glow>
        </a:effectLst>
      </xdr:spPr>
    </xdr:pic>
    <xdr:clientData/>
  </xdr:twoCellAnchor>
  <xdr:twoCellAnchor editAs="oneCell">
    <xdr:from>
      <xdr:col>3</xdr:col>
      <xdr:colOff>1352266</xdr:colOff>
      <xdr:row>0</xdr:row>
      <xdr:rowOff>59344</xdr:rowOff>
    </xdr:from>
    <xdr:to>
      <xdr:col>3</xdr:col>
      <xdr:colOff>1851800</xdr:colOff>
      <xdr:row>0</xdr:row>
      <xdr:rowOff>620598</xdr:rowOff>
    </xdr:to>
    <xdr:pic>
      <xdr:nvPicPr>
        <xdr:cNvPr id="5" name="Imagen 4">
          <a:extLst>
            <a:ext uri="{FF2B5EF4-FFF2-40B4-BE49-F238E27FC236}">
              <a16:creationId xmlns:a16="http://schemas.microsoft.com/office/drawing/2014/main" id="{4425D333-096A-46E8-91F7-78AE71B0E22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36399" y="59344"/>
          <a:ext cx="499534" cy="561254"/>
        </a:xfrm>
        <a:prstGeom prst="rect">
          <a:avLst/>
        </a:prstGeom>
        <a:effectLst>
          <a:glow rad="63500">
            <a:schemeClr val="accent1">
              <a:satMod val="175000"/>
              <a:alpha val="40000"/>
            </a:schemeClr>
          </a:glow>
        </a:effec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74"/>
  <sheetViews>
    <sheetView zoomScale="85" zoomScaleNormal="85" workbookViewId="0">
      <selection activeCell="A46" sqref="A46"/>
    </sheetView>
  </sheetViews>
  <sheetFormatPr baseColWidth="10" defaultColWidth="10" defaultRowHeight="15.3" customHeight="1" x14ac:dyDescent="0.2"/>
  <cols>
    <col min="1" max="1" width="73.375" style="67" bestFit="1" customWidth="1"/>
    <col min="2" max="2" width="15.25" style="382" customWidth="1"/>
    <col min="3" max="3" width="15.5" style="67" bestFit="1" customWidth="1"/>
    <col min="4" max="16384" width="10" style="67"/>
  </cols>
  <sheetData>
    <row r="1" spans="1:3" ht="53.35" customHeight="1" x14ac:dyDescent="0.2">
      <c r="A1" s="536" t="s">
        <v>5100</v>
      </c>
      <c r="B1" s="536"/>
      <c r="C1" s="536"/>
    </row>
    <row r="2" spans="1:3" ht="15.3" customHeight="1" x14ac:dyDescent="0.25">
      <c r="A2" s="384" t="s">
        <v>3955</v>
      </c>
      <c r="B2" s="385" t="s">
        <v>3956</v>
      </c>
      <c r="C2" s="386" t="s">
        <v>3957</v>
      </c>
    </row>
    <row r="3" spans="1:3" ht="15.3" customHeight="1" x14ac:dyDescent="0.2">
      <c r="A3" s="372" t="s">
        <v>2161</v>
      </c>
      <c r="B3" s="373">
        <f>COUNTIF('2021'!B:B,'CONSOLIDADO 5 AÑOS'!A3) + COUNTIF('2022'!B:B,'CONSOLIDADO 5 AÑOS'!A3) + COUNTIF('2023'!B:B,'CONSOLIDADO 5 AÑOS'!A3) + COUNTIF('2024'!B:B,'CONSOLIDADO 5 AÑOS'!A3) + COUNTIF('2025'!B:B,'CONSOLIDADO 5 AÑOS'!A3)</f>
        <v>103</v>
      </c>
      <c r="C3" s="374">
        <f>B3/$B$26</f>
        <v>5.6937534549474846E-2</v>
      </c>
    </row>
    <row r="4" spans="1:3" ht="15.3" customHeight="1" x14ac:dyDescent="0.2">
      <c r="A4" s="375" t="s">
        <v>29</v>
      </c>
      <c r="B4" s="373">
        <f>COUNTIF('2021'!B:B,'CONSOLIDADO 5 AÑOS'!A4) + COUNTIF('2022'!B:B,'CONSOLIDADO 5 AÑOS'!A4) + COUNTIF('2023'!B:B,'CONSOLIDADO 5 AÑOS'!A4) + COUNTIF('2024'!B:B,'CONSOLIDADO 5 AÑOS'!A4) + COUNTIF('2025'!B:B,'CONSOLIDADO 5 AÑOS'!A4)</f>
        <v>205</v>
      </c>
      <c r="C4" s="376">
        <f t="shared" ref="C4:C26" si="0">B4/$B$26</f>
        <v>0.11332227750138198</v>
      </c>
    </row>
    <row r="5" spans="1:3" ht="15.3" customHeight="1" x14ac:dyDescent="0.2">
      <c r="A5" s="375" t="s">
        <v>64</v>
      </c>
      <c r="B5" s="373">
        <f>COUNTIF('2021'!B:B,'CONSOLIDADO 5 AÑOS'!A5) + COUNTIF('2022'!B:B,'CONSOLIDADO 5 AÑOS'!A5) + COUNTIF('2023'!B:B,'CONSOLIDADO 5 AÑOS'!A5) + COUNTIF('2024'!B:B,'CONSOLIDADO 5 AÑOS'!A5) + COUNTIF('2025'!B:B,'CONSOLIDADO 5 AÑOS'!A5)</f>
        <v>20</v>
      </c>
      <c r="C5" s="376">
        <f t="shared" si="0"/>
        <v>1.1055831951354339E-2</v>
      </c>
    </row>
    <row r="6" spans="1:3" ht="15.3" customHeight="1" x14ac:dyDescent="0.2">
      <c r="A6" s="375" t="s">
        <v>451</v>
      </c>
      <c r="B6" s="373">
        <f>COUNTIF('2021'!B:B,'CONSOLIDADO 5 AÑOS'!A6) + COUNTIF('2022'!B:B,'CONSOLIDADO 5 AÑOS'!A6) + COUNTIF('2023'!B:B,'CONSOLIDADO 5 AÑOS'!A6) + COUNTIF('2024'!B:B,'CONSOLIDADO 5 AÑOS'!A6) + COUNTIF('2025'!B:B,'CONSOLIDADO 5 AÑOS'!A6)</f>
        <v>17</v>
      </c>
      <c r="C6" s="376">
        <f t="shared" si="0"/>
        <v>9.3974571586511891E-3</v>
      </c>
    </row>
    <row r="7" spans="1:3" ht="15.3" customHeight="1" x14ac:dyDescent="0.2">
      <c r="A7" s="375" t="s">
        <v>244</v>
      </c>
      <c r="B7" s="373">
        <f>COUNTIF('2021'!B:B,'CONSOLIDADO 5 AÑOS'!A7) + COUNTIF('2022'!B:B,'CONSOLIDADO 5 AÑOS'!A7) + COUNTIF('2023'!B:B,'CONSOLIDADO 5 AÑOS'!A7) + COUNTIF('2024'!B:B,'CONSOLIDADO 5 AÑOS'!A7) + COUNTIF('2025'!B:B,'CONSOLIDADO 5 AÑOS'!A7)</f>
        <v>41</v>
      </c>
      <c r="C7" s="376">
        <f t="shared" si="0"/>
        <v>2.2664455500276397E-2</v>
      </c>
    </row>
    <row r="8" spans="1:3" ht="15.3" customHeight="1" x14ac:dyDescent="0.2">
      <c r="A8" s="375" t="s">
        <v>888</v>
      </c>
      <c r="B8" s="373">
        <f>COUNTIF('2021'!B:B,'CONSOLIDADO 5 AÑOS'!A8) + COUNTIF('2022'!B:B,'CONSOLIDADO 5 AÑOS'!A8) + COUNTIF('2023'!B:B,'CONSOLIDADO 5 AÑOS'!A8) + COUNTIF('2024'!B:B,'CONSOLIDADO 5 AÑOS'!A8) + COUNTIF('2025'!B:B,'CONSOLIDADO 5 AÑOS'!A8)</f>
        <v>5</v>
      </c>
      <c r="C8" s="376">
        <f t="shared" si="0"/>
        <v>2.7639579878385848E-3</v>
      </c>
    </row>
    <row r="9" spans="1:3" ht="15.3" customHeight="1" x14ac:dyDescent="0.2">
      <c r="A9" s="375" t="s">
        <v>656</v>
      </c>
      <c r="B9" s="373">
        <f>COUNTIF('2021'!B:B,'CONSOLIDADO 5 AÑOS'!A9) + COUNTIF('2022'!B:B,'CONSOLIDADO 5 AÑOS'!A9) + COUNTIF('2023'!B:B,'CONSOLIDADO 5 AÑOS'!A9) + COUNTIF('2024'!B:B,'CONSOLIDADO 5 AÑOS'!A9) + COUNTIF('2025'!B:B,'CONSOLIDADO 5 AÑOS'!A9)</f>
        <v>11</v>
      </c>
      <c r="C9" s="376">
        <f t="shared" si="0"/>
        <v>6.0807075732448868E-3</v>
      </c>
    </row>
    <row r="10" spans="1:3" ht="15.3" customHeight="1" x14ac:dyDescent="0.2">
      <c r="A10" s="375" t="s">
        <v>2401</v>
      </c>
      <c r="B10" s="373">
        <f>COUNTIF('2021'!B:B,'CONSOLIDADO 5 AÑOS'!A10) + COUNTIF('2022'!B:B,'CONSOLIDADO 5 AÑOS'!A10) + COUNTIF('2023'!B:B,'CONSOLIDADO 5 AÑOS'!A10) + COUNTIF('2024'!B:B,'CONSOLIDADO 5 AÑOS'!A10) + COUNTIF('2025'!B:B,'CONSOLIDADO 5 AÑOS'!A10)</f>
        <v>13</v>
      </c>
      <c r="C10" s="376">
        <f t="shared" si="0"/>
        <v>7.1862907683803209E-3</v>
      </c>
    </row>
    <row r="11" spans="1:3" ht="15.3" customHeight="1" x14ac:dyDescent="0.2">
      <c r="A11" s="375" t="s">
        <v>11</v>
      </c>
      <c r="B11" s="373">
        <f>COUNTIF('2021'!B:B,'CONSOLIDADO 5 AÑOS'!A11) + COUNTIF('2022'!B:B,'CONSOLIDADO 5 AÑOS'!A11) + COUNTIF('2023'!B:B,'CONSOLIDADO 5 AÑOS'!A11) + COUNTIF('2024'!B:B,'CONSOLIDADO 5 AÑOS'!A11) + COUNTIF('2025'!B:B,'CONSOLIDADO 5 AÑOS'!A11)</f>
        <v>79</v>
      </c>
      <c r="C11" s="376">
        <f t="shared" si="0"/>
        <v>4.3670536207849643E-2</v>
      </c>
    </row>
    <row r="12" spans="1:3" ht="15.3" customHeight="1" x14ac:dyDescent="0.2">
      <c r="A12" s="375" t="s">
        <v>147</v>
      </c>
      <c r="B12" s="373">
        <f>COUNTIF('2021'!B:B,'CONSOLIDADO 5 AÑOS'!A12) + COUNTIF('2022'!B:B,'CONSOLIDADO 5 AÑOS'!A12) + COUNTIF('2023'!B:B,'CONSOLIDADO 5 AÑOS'!A12) + COUNTIF('2024'!B:B,'CONSOLIDADO 5 AÑOS'!A12) + COUNTIF('2025'!B:B,'CONSOLIDADO 5 AÑOS'!A12)</f>
        <v>6</v>
      </c>
      <c r="C12" s="376">
        <f t="shared" si="0"/>
        <v>3.3167495854063019E-3</v>
      </c>
    </row>
    <row r="13" spans="1:3" ht="15.3" customHeight="1" x14ac:dyDescent="0.2">
      <c r="A13" s="375" t="s">
        <v>52</v>
      </c>
      <c r="B13" s="373">
        <f>COUNTIF('2021'!B:B,'CONSOLIDADO 5 AÑOS'!A13) + COUNTIF('2022'!B:B,'CONSOLIDADO 5 AÑOS'!A13) + COUNTIF('2023'!B:B,'CONSOLIDADO 5 AÑOS'!A13) + COUNTIF('2024'!B:B,'CONSOLIDADO 5 AÑOS'!A13) + COUNTIF('2025'!B:B,'CONSOLIDADO 5 AÑOS'!A13)</f>
        <v>182</v>
      </c>
      <c r="C13" s="376">
        <f t="shared" si="0"/>
        <v>0.10060807075732449</v>
      </c>
    </row>
    <row r="14" spans="1:3" ht="15.3" customHeight="1" x14ac:dyDescent="0.2">
      <c r="A14" s="375" t="s">
        <v>481</v>
      </c>
      <c r="B14" s="373">
        <f>COUNTIF('2021'!B:B,'CONSOLIDADO 5 AÑOS'!A14) + COUNTIF('2022'!B:B,'CONSOLIDADO 5 AÑOS'!A14) + COUNTIF('2023'!B:B,'CONSOLIDADO 5 AÑOS'!A14) + COUNTIF('2024'!B:B,'CONSOLIDADO 5 AÑOS'!A14) + COUNTIF('2025'!B:B,'CONSOLIDADO 5 AÑOS'!A14)</f>
        <v>46</v>
      </c>
      <c r="C14" s="376">
        <f t="shared" si="0"/>
        <v>2.5428413488114979E-2</v>
      </c>
    </row>
    <row r="15" spans="1:3" ht="15.3" customHeight="1" x14ac:dyDescent="0.2">
      <c r="A15" s="375" t="s">
        <v>397</v>
      </c>
      <c r="B15" s="373">
        <f>COUNTIF('2021'!B:B,'CONSOLIDADO 5 AÑOS'!A15) + COUNTIF('2022'!B:B,'CONSOLIDADO 5 AÑOS'!A15) + COUNTIF('2023'!B:B,'CONSOLIDADO 5 AÑOS'!A15) + COUNTIF('2024'!B:B,'CONSOLIDADO 5 AÑOS'!A15) + COUNTIF('2025'!B:B,'CONSOLIDADO 5 AÑOS'!A15)</f>
        <v>30</v>
      </c>
      <c r="C15" s="376">
        <f t="shared" si="0"/>
        <v>1.658374792703151E-2</v>
      </c>
    </row>
    <row r="16" spans="1:3" ht="15.3" customHeight="1" x14ac:dyDescent="0.2">
      <c r="A16" s="375" t="s">
        <v>324</v>
      </c>
      <c r="B16" s="373">
        <f>COUNTIF('2021'!B:B,'CONSOLIDADO 5 AÑOS'!A16) + COUNTIF('2022'!B:B,'CONSOLIDADO 5 AÑOS'!A16) + COUNTIF('2023'!B:B,'CONSOLIDADO 5 AÑOS'!A16) + COUNTIF('2024'!B:B,'CONSOLIDADO 5 AÑOS'!A16) + COUNTIF('2025'!B:B,'CONSOLIDADO 5 AÑOS'!A16)</f>
        <v>83</v>
      </c>
      <c r="C16" s="376">
        <f t="shared" si="0"/>
        <v>4.5881702598120508E-2</v>
      </c>
    </row>
    <row r="17" spans="1:3" ht="15.3" customHeight="1" x14ac:dyDescent="0.2">
      <c r="A17" s="375" t="s">
        <v>2162</v>
      </c>
      <c r="B17" s="373">
        <f>COUNTIF('2021'!B:B,'CONSOLIDADO 5 AÑOS'!A17) + COUNTIF('2022'!B:B,'CONSOLIDADO 5 AÑOS'!A17) + COUNTIF('2023'!B:B,'CONSOLIDADO 5 AÑOS'!A17) + COUNTIF('2024'!B:B,'CONSOLIDADO 5 AÑOS'!A17) + COUNTIF('2025'!B:B,'CONSOLIDADO 5 AÑOS'!A17)</f>
        <v>191</v>
      </c>
      <c r="C17" s="376">
        <f t="shared" si="0"/>
        <v>0.10558319513543395</v>
      </c>
    </row>
    <row r="18" spans="1:3" ht="15.3" customHeight="1" x14ac:dyDescent="0.2">
      <c r="A18" s="375" t="s">
        <v>2163</v>
      </c>
      <c r="B18" s="373">
        <f>COUNTIF('2021'!B:B,'CONSOLIDADO 5 AÑOS'!A18) + COUNTIF('2022'!B:B,'CONSOLIDADO 5 AÑOS'!A18) + COUNTIF('2023'!B:B,'CONSOLIDADO 5 AÑOS'!A18) + COUNTIF('2024'!B:B,'CONSOLIDADO 5 AÑOS'!A18) + COUNTIF('2025'!B:B,'CONSOLIDADO 5 AÑOS'!A18)</f>
        <v>27</v>
      </c>
      <c r="C18" s="376">
        <f t="shared" si="0"/>
        <v>1.4925373134328358E-2</v>
      </c>
    </row>
    <row r="19" spans="1:3" ht="15.3" customHeight="1" x14ac:dyDescent="0.2">
      <c r="A19" s="375" t="s">
        <v>152</v>
      </c>
      <c r="B19" s="373">
        <f>COUNTIF('2021'!B:B,'CONSOLIDADO 5 AÑOS'!A19) + COUNTIF('2022'!B:B,'CONSOLIDADO 5 AÑOS'!A19) + COUNTIF('2023'!B:B,'CONSOLIDADO 5 AÑOS'!A19) + COUNTIF('2024'!B:B,'CONSOLIDADO 5 AÑOS'!A19) + COUNTIF('2025'!B:B,'CONSOLIDADO 5 AÑOS'!A19)</f>
        <v>39</v>
      </c>
      <c r="C19" s="376">
        <f t="shared" si="0"/>
        <v>2.1558872305140961E-2</v>
      </c>
    </row>
    <row r="20" spans="1:3" ht="15.3" customHeight="1" x14ac:dyDescent="0.2">
      <c r="A20" s="375" t="s">
        <v>2164</v>
      </c>
      <c r="B20" s="373">
        <f>COUNTIF('2021'!B:B,'CONSOLIDADO 5 AÑOS'!A20) + COUNTIF('2022'!B:B,'CONSOLIDADO 5 AÑOS'!A20) + COUNTIF('2023'!B:B,'CONSOLIDADO 5 AÑOS'!A20) + COUNTIF('2024'!B:B,'CONSOLIDADO 5 AÑOS'!A20) + COUNTIF('2025'!B:B,'CONSOLIDADO 5 AÑOS'!A20)</f>
        <v>53</v>
      </c>
      <c r="C20" s="376">
        <f t="shared" si="0"/>
        <v>2.9297954671088998E-2</v>
      </c>
    </row>
    <row r="21" spans="1:3" ht="15.3" customHeight="1" x14ac:dyDescent="0.2">
      <c r="A21" s="375" t="s">
        <v>137</v>
      </c>
      <c r="B21" s="373">
        <f>COUNTIF('2021'!B:B,'CONSOLIDADO 5 AÑOS'!A21) + COUNTIF('2022'!B:B,'CONSOLIDADO 5 AÑOS'!A21) + COUNTIF('2023'!B:B,'CONSOLIDADO 5 AÑOS'!A21) + COUNTIF('2024'!B:B,'CONSOLIDADO 5 AÑOS'!A21) + COUNTIF('2025'!B:B,'CONSOLIDADO 5 AÑOS'!A21)</f>
        <v>130</v>
      </c>
      <c r="C21" s="376">
        <f t="shared" si="0"/>
        <v>7.1862907683803212E-2</v>
      </c>
    </row>
    <row r="22" spans="1:3" ht="15.3" customHeight="1" x14ac:dyDescent="0.2">
      <c r="A22" s="375" t="s">
        <v>312</v>
      </c>
      <c r="B22" s="373">
        <f>COUNTIF('2021'!B:B,'CONSOLIDADO 5 AÑOS'!A22) + COUNTIF('2022'!B:B,'CONSOLIDADO 5 AÑOS'!A22) + COUNTIF('2023'!B:B,'CONSOLIDADO 5 AÑOS'!A22) + COUNTIF('2024'!B:B,'CONSOLIDADO 5 AÑOS'!A22) + COUNTIF('2025'!B:B,'CONSOLIDADO 5 AÑOS'!A22)</f>
        <v>5</v>
      </c>
      <c r="C22" s="376">
        <f t="shared" si="0"/>
        <v>2.7639579878385848E-3</v>
      </c>
    </row>
    <row r="23" spans="1:3" ht="15.3" customHeight="1" x14ac:dyDescent="0.2">
      <c r="A23" s="375" t="s">
        <v>163</v>
      </c>
      <c r="B23" s="373">
        <f>COUNTIF('2021'!B:B,'CONSOLIDADO 5 AÑOS'!A23) + COUNTIF('2022'!B:B,'CONSOLIDADO 5 AÑOS'!A23) + COUNTIF('2023'!B:B,'CONSOLIDADO 5 AÑOS'!A23) + COUNTIF('2024'!B:B,'CONSOLIDADO 5 AÑOS'!A23) + COUNTIF('2025'!B:B,'CONSOLIDADO 5 AÑOS'!A23)</f>
        <v>75</v>
      </c>
      <c r="C23" s="376">
        <f t="shared" si="0"/>
        <v>4.1459369817578771E-2</v>
      </c>
    </row>
    <row r="24" spans="1:3" ht="15.3" customHeight="1" x14ac:dyDescent="0.2">
      <c r="A24" s="375" t="s">
        <v>188</v>
      </c>
      <c r="B24" s="373">
        <f>COUNTIF('2021'!B:B,'CONSOLIDADO 5 AÑOS'!A24) + COUNTIF('2022'!B:B,'CONSOLIDADO 5 AÑOS'!A24) + COUNTIF('2023'!B:B,'CONSOLIDADO 5 AÑOS'!A24) + COUNTIF('2024'!B:B,'CONSOLIDADO 5 AÑOS'!A24) + COUNTIF('2025'!B:B,'CONSOLIDADO 5 AÑOS'!A24)</f>
        <v>33</v>
      </c>
      <c r="C24" s="376">
        <f t="shared" si="0"/>
        <v>1.824212271973466E-2</v>
      </c>
    </row>
    <row r="25" spans="1:3" ht="15.3" customHeight="1" thickBot="1" x14ac:dyDescent="0.25">
      <c r="A25" s="377" t="s">
        <v>24</v>
      </c>
      <c r="B25" s="383">
        <f>COUNTIF('2021'!B:B,'CONSOLIDADO 5 AÑOS'!A25) + COUNTIF('2022'!B:B,'CONSOLIDADO 5 AÑOS'!A25) + COUNTIF('2023'!B:B,'CONSOLIDADO 5 AÑOS'!A25) + COUNTIF('2024'!B:B,'CONSOLIDADO 5 AÑOS'!A25) + COUNTIF('2025'!B:B,'CONSOLIDADO 5 AÑOS'!A25)</f>
        <v>415</v>
      </c>
      <c r="C25" s="378">
        <f t="shared" si="0"/>
        <v>0.22940851299060255</v>
      </c>
    </row>
    <row r="26" spans="1:3" ht="15.3" customHeight="1" thickTop="1" thickBot="1" x14ac:dyDescent="0.25">
      <c r="A26" s="379" t="s">
        <v>2152</v>
      </c>
      <c r="B26" s="446">
        <f>SUM(B3:B25)</f>
        <v>1809</v>
      </c>
      <c r="C26" s="381">
        <f t="shared" si="0"/>
        <v>1</v>
      </c>
    </row>
    <row r="43" spans="4:58" ht="15.3" customHeight="1" thickBot="1" x14ac:dyDescent="0.25">
      <c r="D43" s="537" t="s">
        <v>2676</v>
      </c>
      <c r="E43" s="538"/>
      <c r="F43" s="538"/>
      <c r="G43" s="538"/>
      <c r="H43" s="538"/>
      <c r="I43" s="538"/>
      <c r="J43" s="538"/>
    </row>
    <row r="44" spans="4:58" ht="15.3" customHeight="1" thickBot="1" x14ac:dyDescent="0.25">
      <c r="D44" s="41">
        <v>2021</v>
      </c>
      <c r="E44" s="160">
        <v>2022</v>
      </c>
      <c r="F44" s="160">
        <v>2023</v>
      </c>
      <c r="G44" s="163">
        <v>2024</v>
      </c>
      <c r="H44" s="163">
        <v>2025</v>
      </c>
      <c r="I44" s="165" t="s">
        <v>2152</v>
      </c>
      <c r="J44" s="166" t="s">
        <v>2169</v>
      </c>
    </row>
    <row r="45" spans="4:58" ht="15.3" customHeight="1" thickTop="1" thickBot="1" x14ac:dyDescent="0.25">
      <c r="D45" s="64">
        <f>'2021'!B331</f>
        <v>316</v>
      </c>
      <c r="E45" s="40">
        <f>'2022'!B485</f>
        <v>470</v>
      </c>
      <c r="F45" s="40">
        <f>'2023'!B404</f>
        <v>389</v>
      </c>
      <c r="G45" s="164">
        <f>'2024'!B413</f>
        <v>398</v>
      </c>
      <c r="H45" s="164">
        <f>'2025'!B251</f>
        <v>236</v>
      </c>
      <c r="I45" s="167">
        <f>SUM(D45:H45)</f>
        <v>1809</v>
      </c>
      <c r="J45" s="162">
        <f>AVERAGE(D45:H45)</f>
        <v>361.8</v>
      </c>
    </row>
    <row r="47" spans="4:58" s="37" customFormat="1" ht="15.65" x14ac:dyDescent="0.2">
      <c r="AB47" s="366"/>
      <c r="AC47" s="368"/>
      <c r="AD47" s="368"/>
      <c r="AE47" s="368"/>
      <c r="AF47" s="368"/>
      <c r="AG47" s="368"/>
      <c r="AH47" s="368"/>
      <c r="AI47" s="368"/>
      <c r="AJ47" s="368"/>
      <c r="AK47" s="368"/>
      <c r="AL47" s="368"/>
      <c r="AM47" s="368"/>
      <c r="AN47" s="368"/>
      <c r="AO47" s="368"/>
      <c r="AP47" s="368"/>
      <c r="AQ47" s="368"/>
      <c r="AR47" s="368"/>
      <c r="AS47" s="368"/>
      <c r="AT47" s="368"/>
      <c r="AU47" s="368"/>
      <c r="AV47" s="368"/>
      <c r="AW47" s="368"/>
      <c r="AX47" s="368"/>
      <c r="AY47" s="368"/>
      <c r="AZ47" s="368"/>
      <c r="BA47" s="368"/>
      <c r="BB47" s="369"/>
      <c r="BC47" s="369"/>
      <c r="BD47" s="370"/>
      <c r="BE47" s="370"/>
      <c r="BF47" s="370"/>
    </row>
    <row r="48" spans="4:58" s="37" customFormat="1" ht="15.65" x14ac:dyDescent="0.2">
      <c r="AB48" s="366"/>
      <c r="AC48" s="368"/>
      <c r="AD48" s="368"/>
      <c r="AE48" s="368"/>
      <c r="AF48" s="368"/>
      <c r="AG48" s="368"/>
      <c r="AH48" s="368"/>
      <c r="AI48" s="368"/>
      <c r="AJ48" s="368"/>
      <c r="AK48" s="368"/>
      <c r="AL48" s="368"/>
      <c r="AM48" s="368"/>
      <c r="AN48" s="368"/>
      <c r="AO48" s="368"/>
      <c r="AP48" s="368"/>
      <c r="AQ48" s="368"/>
      <c r="AR48" s="368"/>
      <c r="AS48" s="368"/>
      <c r="AT48" s="368"/>
      <c r="AU48" s="368"/>
      <c r="AV48" s="368"/>
      <c r="AW48" s="368"/>
      <c r="AX48" s="368"/>
      <c r="AY48" s="368"/>
      <c r="AZ48" s="368"/>
      <c r="BA48" s="368"/>
      <c r="BB48" s="369"/>
      <c r="BC48" s="369"/>
      <c r="BD48" s="370"/>
      <c r="BE48" s="370"/>
      <c r="BF48" s="370"/>
    </row>
    <row r="49" spans="28:58" s="37" customFormat="1" ht="15.65" x14ac:dyDescent="0.2">
      <c r="AB49" s="366"/>
      <c r="AC49" s="368"/>
      <c r="AD49" s="368"/>
      <c r="AE49" s="368"/>
      <c r="AF49" s="368"/>
      <c r="AG49" s="368"/>
      <c r="AH49" s="368"/>
      <c r="AI49" s="368"/>
      <c r="AJ49" s="368"/>
      <c r="AK49" s="368"/>
      <c r="AL49" s="368"/>
      <c r="AM49" s="368"/>
      <c r="AN49" s="368"/>
      <c r="AO49" s="368"/>
      <c r="AP49" s="368"/>
      <c r="AQ49" s="368"/>
      <c r="AR49" s="368"/>
      <c r="AS49" s="368"/>
      <c r="AT49" s="368"/>
      <c r="AU49" s="368"/>
      <c r="AV49" s="368"/>
      <c r="AW49" s="368"/>
      <c r="AX49" s="368"/>
      <c r="AY49" s="368"/>
      <c r="AZ49" s="368"/>
      <c r="BA49" s="368"/>
      <c r="BB49" s="369"/>
      <c r="BC49" s="369"/>
      <c r="BD49" s="370"/>
      <c r="BE49" s="370"/>
      <c r="BF49" s="370"/>
    </row>
    <row r="50" spans="28:58" s="37" customFormat="1" ht="15.65" x14ac:dyDescent="0.2">
      <c r="AB50" s="366"/>
      <c r="AC50" s="368"/>
      <c r="AD50" s="368"/>
      <c r="AE50" s="368"/>
      <c r="AF50" s="368"/>
      <c r="AG50" s="368"/>
      <c r="AH50" s="368"/>
      <c r="AI50" s="368"/>
      <c r="AJ50" s="368"/>
      <c r="AK50" s="368"/>
      <c r="AL50" s="368"/>
      <c r="AM50" s="368"/>
      <c r="AN50" s="368"/>
      <c r="AO50" s="368"/>
      <c r="AP50" s="368"/>
      <c r="AQ50" s="368"/>
      <c r="AR50" s="368"/>
      <c r="AS50" s="368"/>
      <c r="AT50" s="368"/>
      <c r="AU50" s="368"/>
      <c r="AV50" s="368"/>
      <c r="AW50" s="368"/>
      <c r="AX50" s="368"/>
      <c r="AY50" s="368"/>
      <c r="AZ50" s="368"/>
      <c r="BA50" s="368"/>
      <c r="BB50" s="369"/>
      <c r="BC50" s="369"/>
      <c r="BD50" s="370"/>
      <c r="BE50" s="370"/>
      <c r="BF50" s="370"/>
    </row>
    <row r="51" spans="28:58" s="37" customFormat="1" ht="15.65" x14ac:dyDescent="0.2">
      <c r="AB51" s="366"/>
      <c r="AC51" s="368"/>
      <c r="AD51" s="368"/>
      <c r="AE51" s="368"/>
      <c r="AF51" s="368"/>
      <c r="AG51" s="368"/>
      <c r="AH51" s="368"/>
      <c r="AI51" s="368"/>
      <c r="AJ51" s="368"/>
      <c r="AK51" s="368"/>
      <c r="AL51" s="368"/>
      <c r="AM51" s="368"/>
      <c r="AN51" s="368"/>
      <c r="AO51" s="368"/>
      <c r="AP51" s="368"/>
      <c r="AQ51" s="368"/>
      <c r="AR51" s="368"/>
      <c r="AS51" s="368"/>
      <c r="AT51" s="368"/>
      <c r="AU51" s="368"/>
      <c r="AV51" s="368"/>
      <c r="AW51" s="368"/>
      <c r="AX51" s="368"/>
      <c r="AY51" s="368"/>
      <c r="AZ51" s="368"/>
      <c r="BA51" s="368"/>
      <c r="BB51" s="369"/>
      <c r="BC51" s="369"/>
      <c r="BD51" s="370"/>
      <c r="BE51" s="370"/>
      <c r="BF51" s="370"/>
    </row>
    <row r="52" spans="28:58" s="37" customFormat="1" ht="15.65" x14ac:dyDescent="0.2">
      <c r="AB52" s="366"/>
      <c r="AC52" s="368"/>
      <c r="AD52" s="368"/>
      <c r="AE52" s="368"/>
      <c r="AF52" s="368"/>
      <c r="AG52" s="368"/>
      <c r="AH52" s="368"/>
      <c r="AI52" s="368"/>
      <c r="AJ52" s="368"/>
      <c r="AK52" s="368"/>
      <c r="AL52" s="368"/>
      <c r="AM52" s="368"/>
      <c r="AN52" s="368"/>
      <c r="AO52" s="368"/>
      <c r="AP52" s="368"/>
      <c r="AQ52" s="368"/>
      <c r="AR52" s="368"/>
      <c r="AS52" s="368"/>
      <c r="AT52" s="368"/>
      <c r="AU52" s="368"/>
      <c r="AV52" s="368"/>
      <c r="AW52" s="368"/>
      <c r="AX52" s="368"/>
      <c r="AY52" s="368"/>
      <c r="AZ52" s="368"/>
      <c r="BA52" s="368"/>
      <c r="BB52" s="369"/>
      <c r="BC52" s="369"/>
      <c r="BD52" s="370"/>
      <c r="BE52" s="370"/>
      <c r="BF52" s="370"/>
    </row>
    <row r="53" spans="28:58" s="37" customFormat="1" ht="15.65" x14ac:dyDescent="0.2">
      <c r="AB53" s="366"/>
      <c r="AC53" s="368"/>
      <c r="AD53" s="368"/>
      <c r="AE53" s="368"/>
      <c r="AF53" s="368"/>
      <c r="AG53" s="368"/>
      <c r="AH53" s="368"/>
      <c r="AI53" s="368"/>
      <c r="AJ53" s="368"/>
      <c r="AK53" s="368"/>
      <c r="AL53" s="368"/>
      <c r="AM53" s="368"/>
      <c r="AN53" s="368"/>
      <c r="AO53" s="368"/>
      <c r="AP53" s="368"/>
      <c r="AQ53" s="368"/>
      <c r="AR53" s="368"/>
      <c r="AS53" s="368"/>
      <c r="AT53" s="368"/>
      <c r="AU53" s="368"/>
      <c r="AV53" s="368"/>
      <c r="AW53" s="368"/>
      <c r="AX53" s="368"/>
      <c r="AY53" s="368"/>
      <c r="AZ53" s="368"/>
      <c r="BA53" s="368"/>
      <c r="BB53" s="369"/>
      <c r="BC53" s="369"/>
      <c r="BD53" s="370"/>
      <c r="BE53" s="370"/>
      <c r="BF53" s="370"/>
    </row>
    <row r="54" spans="28:58" s="37" customFormat="1" ht="15.65" x14ac:dyDescent="0.2">
      <c r="AB54" s="366"/>
      <c r="AC54" s="368"/>
      <c r="AD54" s="368"/>
      <c r="AE54" s="368"/>
      <c r="AF54" s="368"/>
      <c r="AG54" s="368"/>
      <c r="AH54" s="368"/>
      <c r="AI54" s="368"/>
      <c r="AJ54" s="368"/>
      <c r="AK54" s="368"/>
      <c r="AL54" s="368"/>
      <c r="AM54" s="368"/>
      <c r="AN54" s="368"/>
      <c r="AO54" s="368"/>
      <c r="AP54" s="368"/>
      <c r="AQ54" s="368"/>
      <c r="AR54" s="368"/>
      <c r="AS54" s="368"/>
      <c r="AT54" s="368"/>
      <c r="AU54" s="368"/>
      <c r="AV54" s="368"/>
      <c r="AW54" s="368"/>
      <c r="AX54" s="368"/>
      <c r="AY54" s="368"/>
      <c r="AZ54" s="368"/>
      <c r="BA54" s="368"/>
      <c r="BB54" s="369"/>
      <c r="BC54" s="369"/>
      <c r="BD54" s="370"/>
      <c r="BE54" s="370"/>
      <c r="BF54" s="370"/>
    </row>
    <row r="55" spans="28:58" s="37" customFormat="1" ht="15.65" x14ac:dyDescent="0.2">
      <c r="AB55" s="366"/>
      <c r="AC55" s="368"/>
      <c r="AD55" s="368"/>
      <c r="AE55" s="368"/>
      <c r="AF55" s="368"/>
      <c r="AG55" s="368"/>
      <c r="AH55" s="368"/>
      <c r="AI55" s="368"/>
      <c r="AJ55" s="368"/>
      <c r="AK55" s="368"/>
      <c r="AL55" s="368"/>
      <c r="AM55" s="368"/>
      <c r="AN55" s="368"/>
      <c r="AO55" s="368"/>
      <c r="AP55" s="368"/>
      <c r="AQ55" s="368"/>
      <c r="AR55" s="368"/>
      <c r="AS55" s="368"/>
      <c r="AT55" s="368"/>
      <c r="AU55" s="368"/>
      <c r="AV55" s="368"/>
      <c r="AW55" s="368"/>
      <c r="AX55" s="368"/>
      <c r="AY55" s="368"/>
      <c r="AZ55" s="368"/>
      <c r="BA55" s="368"/>
      <c r="BB55" s="369"/>
      <c r="BC55" s="369"/>
      <c r="BD55" s="370"/>
      <c r="BE55" s="370"/>
      <c r="BF55" s="370"/>
    </row>
    <row r="56" spans="28:58" s="37" customFormat="1" ht="15.65" x14ac:dyDescent="0.2">
      <c r="AB56" s="366"/>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9"/>
      <c r="BC56" s="369"/>
      <c r="BD56" s="370"/>
      <c r="BE56" s="370"/>
      <c r="BF56" s="370"/>
    </row>
    <row r="57" spans="28:58" s="37" customFormat="1" ht="15.65" x14ac:dyDescent="0.2">
      <c r="AB57" s="366"/>
      <c r="AC57" s="368"/>
      <c r="AD57" s="368"/>
      <c r="AE57" s="368"/>
      <c r="AF57" s="368"/>
      <c r="AG57" s="368"/>
      <c r="AH57" s="368"/>
      <c r="AI57" s="368"/>
      <c r="AJ57" s="368"/>
      <c r="AK57" s="368"/>
      <c r="AL57" s="368"/>
      <c r="AM57" s="368"/>
      <c r="AN57" s="368"/>
      <c r="AO57" s="368"/>
      <c r="AP57" s="368"/>
      <c r="AQ57" s="368"/>
      <c r="AR57" s="368"/>
      <c r="AS57" s="368"/>
      <c r="AT57" s="368"/>
      <c r="AU57" s="368"/>
      <c r="AV57" s="368"/>
      <c r="AW57" s="368"/>
      <c r="AX57" s="368"/>
      <c r="AY57" s="368"/>
      <c r="AZ57" s="368"/>
      <c r="BA57" s="368"/>
      <c r="BB57" s="369"/>
      <c r="BC57" s="369"/>
      <c r="BD57" s="370"/>
      <c r="BE57" s="370"/>
      <c r="BF57" s="370"/>
    </row>
    <row r="58" spans="28:58" s="37" customFormat="1" ht="15.65" x14ac:dyDescent="0.2">
      <c r="AB58" s="366"/>
      <c r="AC58" s="368"/>
      <c r="AD58" s="368"/>
      <c r="AE58" s="368"/>
      <c r="AF58" s="368"/>
      <c r="AG58" s="368"/>
      <c r="AH58" s="368"/>
      <c r="AI58" s="368"/>
      <c r="AJ58" s="368"/>
      <c r="AK58" s="368"/>
      <c r="AL58" s="368"/>
      <c r="AM58" s="368"/>
      <c r="AN58" s="368"/>
      <c r="AO58" s="368"/>
      <c r="AP58" s="368"/>
      <c r="AQ58" s="368"/>
      <c r="AR58" s="368"/>
      <c r="AS58" s="368"/>
      <c r="AT58" s="368"/>
      <c r="AU58" s="368"/>
      <c r="AV58" s="368"/>
      <c r="AW58" s="368"/>
      <c r="AX58" s="368"/>
      <c r="AY58" s="368"/>
      <c r="AZ58" s="368"/>
      <c r="BA58" s="368"/>
      <c r="BB58" s="369"/>
      <c r="BC58" s="369"/>
      <c r="BD58" s="370"/>
      <c r="BE58" s="370"/>
      <c r="BF58" s="370"/>
    </row>
    <row r="59" spans="28:58" s="37" customFormat="1" ht="15.65" x14ac:dyDescent="0.2">
      <c r="AB59" s="366"/>
      <c r="AC59" s="368"/>
      <c r="AD59" s="368"/>
      <c r="AE59" s="368"/>
      <c r="AF59" s="368"/>
      <c r="AG59" s="368"/>
      <c r="AH59" s="368"/>
      <c r="AI59" s="368"/>
      <c r="AJ59" s="368"/>
      <c r="AK59" s="368"/>
      <c r="AL59" s="368"/>
      <c r="AM59" s="368"/>
      <c r="AN59" s="368"/>
      <c r="AO59" s="368"/>
      <c r="AP59" s="368"/>
      <c r="AQ59" s="368"/>
      <c r="AR59" s="368"/>
      <c r="AS59" s="368"/>
      <c r="AT59" s="368"/>
      <c r="AU59" s="368"/>
      <c r="AV59" s="368"/>
      <c r="AW59" s="368"/>
      <c r="AX59" s="368"/>
      <c r="AY59" s="368"/>
      <c r="AZ59" s="368"/>
      <c r="BA59" s="368"/>
      <c r="BB59" s="369"/>
      <c r="BC59" s="369"/>
      <c r="BD59" s="370"/>
      <c r="BE59" s="370"/>
      <c r="BF59" s="370"/>
    </row>
    <row r="60" spans="28:58" s="37" customFormat="1" ht="15.65" x14ac:dyDescent="0.2">
      <c r="AB60" s="366"/>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9"/>
      <c r="BC60" s="369"/>
      <c r="BD60" s="370"/>
      <c r="BE60" s="370"/>
      <c r="BF60" s="370"/>
    </row>
    <row r="61" spans="28:58" s="37" customFormat="1" ht="15.65" x14ac:dyDescent="0.2">
      <c r="AB61" s="366"/>
      <c r="AC61" s="368"/>
      <c r="AD61" s="368"/>
      <c r="AE61" s="368"/>
      <c r="AF61" s="368"/>
      <c r="AG61" s="368"/>
      <c r="AH61" s="368"/>
      <c r="AI61" s="368"/>
      <c r="AJ61" s="368"/>
      <c r="AK61" s="368"/>
      <c r="AL61" s="368"/>
      <c r="AM61" s="368"/>
      <c r="AN61" s="368"/>
      <c r="AO61" s="368"/>
      <c r="AP61" s="368"/>
      <c r="AQ61" s="368"/>
      <c r="AR61" s="368"/>
      <c r="AS61" s="368"/>
      <c r="AT61" s="368"/>
      <c r="AU61" s="368"/>
      <c r="AV61" s="368"/>
      <c r="AW61" s="368"/>
      <c r="AX61" s="368"/>
      <c r="AY61" s="368"/>
      <c r="AZ61" s="368"/>
      <c r="BA61" s="368"/>
      <c r="BB61" s="369"/>
      <c r="BC61" s="369"/>
      <c r="BD61" s="370"/>
      <c r="BE61" s="370"/>
      <c r="BF61" s="370"/>
    </row>
    <row r="62" spans="28:58" s="37" customFormat="1" ht="15.65" x14ac:dyDescent="0.2">
      <c r="AB62" s="366"/>
      <c r="AC62" s="368"/>
      <c r="AD62" s="368"/>
      <c r="AE62" s="368"/>
      <c r="AF62" s="368"/>
      <c r="AG62" s="368"/>
      <c r="AH62" s="368"/>
      <c r="AI62" s="368"/>
      <c r="AJ62" s="368"/>
      <c r="AK62" s="368"/>
      <c r="AL62" s="368"/>
      <c r="AM62" s="368"/>
      <c r="AN62" s="368"/>
      <c r="AO62" s="368"/>
      <c r="AP62" s="368"/>
      <c r="AQ62" s="368"/>
      <c r="AR62" s="368"/>
      <c r="AS62" s="368"/>
      <c r="AT62" s="368"/>
      <c r="AU62" s="368"/>
      <c r="AV62" s="368"/>
      <c r="AW62" s="368"/>
      <c r="AX62" s="368"/>
      <c r="AY62" s="368"/>
      <c r="AZ62" s="368"/>
      <c r="BA62" s="368"/>
      <c r="BB62" s="369"/>
      <c r="BC62" s="369"/>
      <c r="BD62" s="370"/>
      <c r="BE62" s="370"/>
      <c r="BF62" s="370"/>
    </row>
    <row r="63" spans="28:58" s="37" customFormat="1" ht="15.65" x14ac:dyDescent="0.2">
      <c r="AB63" s="366"/>
      <c r="AC63" s="368"/>
      <c r="AD63" s="368"/>
      <c r="AE63" s="368"/>
      <c r="AF63" s="368"/>
      <c r="AG63" s="368"/>
      <c r="AH63" s="368"/>
      <c r="AI63" s="368"/>
      <c r="AJ63" s="368"/>
      <c r="AK63" s="368"/>
      <c r="AL63" s="368"/>
      <c r="AM63" s="368"/>
      <c r="AN63" s="368"/>
      <c r="AO63" s="368"/>
      <c r="AP63" s="368"/>
      <c r="AQ63" s="368"/>
      <c r="AR63" s="368"/>
      <c r="AS63" s="368"/>
      <c r="AT63" s="368"/>
      <c r="AU63" s="368"/>
      <c r="AV63" s="368"/>
      <c r="AW63" s="368"/>
      <c r="AX63" s="368"/>
      <c r="AY63" s="368"/>
      <c r="AZ63" s="368"/>
      <c r="BA63" s="368"/>
      <c r="BB63" s="369"/>
      <c r="BC63" s="369"/>
      <c r="BD63" s="370"/>
      <c r="BE63" s="370"/>
      <c r="BF63" s="370"/>
    </row>
    <row r="64" spans="28:58" s="37" customFormat="1" ht="15.65" x14ac:dyDescent="0.2">
      <c r="AB64" s="366"/>
      <c r="AC64" s="368"/>
      <c r="AD64" s="368"/>
      <c r="AE64" s="368"/>
      <c r="AF64" s="368"/>
      <c r="AG64" s="368"/>
      <c r="AH64" s="368"/>
      <c r="AI64" s="368"/>
      <c r="AJ64" s="368"/>
      <c r="AK64" s="368"/>
      <c r="AL64" s="368"/>
      <c r="AM64" s="368"/>
      <c r="AN64" s="368"/>
      <c r="AO64" s="368"/>
      <c r="AP64" s="368"/>
      <c r="AQ64" s="368"/>
      <c r="AR64" s="368"/>
      <c r="AS64" s="368"/>
      <c r="AT64" s="368"/>
      <c r="AU64" s="368"/>
      <c r="AV64" s="368"/>
      <c r="AW64" s="368"/>
      <c r="AX64" s="368"/>
      <c r="AY64" s="368"/>
      <c r="AZ64" s="368"/>
      <c r="BA64" s="368"/>
      <c r="BB64" s="369"/>
      <c r="BC64" s="369"/>
      <c r="BD64" s="370"/>
      <c r="BE64" s="370"/>
      <c r="BF64" s="370"/>
    </row>
    <row r="65" spans="28:58" s="37" customFormat="1" ht="15.65" x14ac:dyDescent="0.2">
      <c r="AB65" s="366"/>
      <c r="AC65" s="368"/>
      <c r="AD65" s="368"/>
      <c r="AE65" s="368"/>
      <c r="AF65" s="368"/>
      <c r="AG65" s="368"/>
      <c r="AH65" s="368"/>
      <c r="AI65" s="368"/>
      <c r="AJ65" s="368"/>
      <c r="AK65" s="368"/>
      <c r="AL65" s="368"/>
      <c r="AM65" s="368"/>
      <c r="AN65" s="368"/>
      <c r="AO65" s="368"/>
      <c r="AP65" s="368"/>
      <c r="AQ65" s="368"/>
      <c r="AR65" s="368"/>
      <c r="AS65" s="368"/>
      <c r="AT65" s="368"/>
      <c r="AU65" s="368"/>
      <c r="AV65" s="368"/>
      <c r="AW65" s="368"/>
      <c r="AX65" s="368"/>
      <c r="AY65" s="368"/>
      <c r="AZ65" s="368"/>
      <c r="BA65" s="368"/>
      <c r="BB65" s="369"/>
      <c r="BC65" s="369"/>
      <c r="BD65" s="370"/>
      <c r="BE65" s="370"/>
      <c r="BF65" s="370"/>
    </row>
    <row r="66" spans="28:58" s="37" customFormat="1" ht="15.65" x14ac:dyDescent="0.2">
      <c r="AB66" s="366"/>
      <c r="AC66" s="368"/>
      <c r="AD66" s="368"/>
      <c r="AE66" s="368"/>
      <c r="AF66" s="368"/>
      <c r="AG66" s="368"/>
      <c r="AH66" s="368"/>
      <c r="AI66" s="368"/>
      <c r="AJ66" s="368"/>
      <c r="AK66" s="368"/>
      <c r="AL66" s="368"/>
      <c r="AM66" s="368"/>
      <c r="AN66" s="368"/>
      <c r="AO66" s="368"/>
      <c r="AP66" s="368"/>
      <c r="AQ66" s="368"/>
      <c r="AR66" s="368"/>
      <c r="AS66" s="368"/>
      <c r="AT66" s="368"/>
      <c r="AU66" s="368"/>
      <c r="AV66" s="368"/>
      <c r="AW66" s="368"/>
      <c r="AX66" s="368"/>
      <c r="AY66" s="368"/>
      <c r="AZ66" s="368"/>
      <c r="BA66" s="368"/>
      <c r="BB66" s="369"/>
      <c r="BC66" s="369"/>
      <c r="BD66" s="370"/>
      <c r="BE66" s="370"/>
      <c r="BF66" s="370"/>
    </row>
    <row r="67" spans="28:58" s="37" customFormat="1" ht="15.65" x14ac:dyDescent="0.2">
      <c r="AB67" s="366"/>
      <c r="AC67" s="368"/>
      <c r="AD67" s="368"/>
      <c r="AE67" s="368"/>
      <c r="AF67" s="368"/>
      <c r="AG67" s="368"/>
      <c r="AH67" s="368"/>
      <c r="AI67" s="368"/>
      <c r="AJ67" s="368"/>
      <c r="AK67" s="368"/>
      <c r="AL67" s="368"/>
      <c r="AM67" s="368"/>
      <c r="AN67" s="368"/>
      <c r="AO67" s="368"/>
      <c r="AP67" s="368"/>
      <c r="AQ67" s="368"/>
      <c r="AR67" s="368"/>
      <c r="AS67" s="368"/>
      <c r="AT67" s="368"/>
      <c r="AU67" s="368"/>
      <c r="AV67" s="368"/>
      <c r="AW67" s="368"/>
      <c r="AX67" s="368"/>
      <c r="AY67" s="368"/>
      <c r="AZ67" s="368"/>
      <c r="BA67" s="368"/>
      <c r="BB67" s="369"/>
      <c r="BC67" s="369"/>
      <c r="BD67" s="370"/>
      <c r="BE67" s="370"/>
      <c r="BF67" s="370"/>
    </row>
    <row r="68" spans="28:58" s="37" customFormat="1" ht="15.65" x14ac:dyDescent="0.2">
      <c r="AB68" s="366"/>
      <c r="AC68" s="368"/>
      <c r="AD68" s="368"/>
      <c r="AE68" s="368"/>
      <c r="AF68" s="368"/>
      <c r="AG68" s="368"/>
      <c r="AH68" s="368"/>
      <c r="AI68" s="368"/>
      <c r="AJ68" s="368"/>
      <c r="AK68" s="368"/>
      <c r="AL68" s="368"/>
      <c r="AM68" s="368"/>
      <c r="AN68" s="368"/>
      <c r="AO68" s="368"/>
      <c r="AP68" s="368"/>
      <c r="AQ68" s="368"/>
      <c r="AR68" s="368"/>
      <c r="AS68" s="368"/>
      <c r="AT68" s="368"/>
      <c r="AU68" s="368"/>
      <c r="AV68" s="368"/>
      <c r="AW68" s="368"/>
      <c r="AX68" s="368"/>
      <c r="AY68" s="368"/>
      <c r="AZ68" s="368"/>
      <c r="BA68" s="368"/>
      <c r="BB68" s="369"/>
      <c r="BC68" s="369"/>
      <c r="BD68" s="370"/>
      <c r="BE68" s="370"/>
      <c r="BF68" s="370"/>
    </row>
    <row r="69" spans="28:58" s="37" customFormat="1" ht="15.65" x14ac:dyDescent="0.2">
      <c r="AB69" s="366"/>
      <c r="AC69" s="368"/>
      <c r="AD69" s="368"/>
      <c r="AE69" s="368"/>
      <c r="AF69" s="368"/>
      <c r="AG69" s="368"/>
      <c r="AH69" s="368"/>
      <c r="AI69" s="368"/>
      <c r="AJ69" s="368"/>
      <c r="AK69" s="368"/>
      <c r="AL69" s="368"/>
      <c r="AM69" s="368"/>
      <c r="AN69" s="368"/>
      <c r="AO69" s="368"/>
      <c r="AP69" s="368"/>
      <c r="AQ69" s="368"/>
      <c r="AR69" s="368"/>
      <c r="AS69" s="368"/>
      <c r="AT69" s="368"/>
      <c r="AU69" s="368"/>
      <c r="AV69" s="368"/>
      <c r="AW69" s="368"/>
      <c r="AX69" s="368"/>
      <c r="AY69" s="368"/>
      <c r="AZ69" s="368"/>
      <c r="BA69" s="368"/>
      <c r="BB69" s="369"/>
      <c r="BC69" s="369"/>
      <c r="BD69" s="370"/>
      <c r="BE69" s="370"/>
      <c r="BF69" s="370"/>
    </row>
    <row r="70" spans="28:58" s="37" customFormat="1" ht="15.65" x14ac:dyDescent="0.2">
      <c r="AB70" s="366"/>
      <c r="AC70" s="368"/>
      <c r="AD70" s="368"/>
      <c r="AE70" s="368"/>
      <c r="AF70" s="368"/>
      <c r="AG70" s="368"/>
      <c r="AH70" s="368"/>
      <c r="AI70" s="368"/>
      <c r="AJ70" s="368"/>
      <c r="AK70" s="368"/>
      <c r="AL70" s="368"/>
      <c r="AM70" s="368"/>
      <c r="AN70" s="368"/>
      <c r="AO70" s="368"/>
      <c r="AP70" s="368"/>
      <c r="AQ70" s="368"/>
      <c r="AR70" s="368"/>
      <c r="AS70" s="368"/>
      <c r="AT70" s="368"/>
      <c r="AU70" s="368"/>
      <c r="AV70" s="368"/>
      <c r="AW70" s="368"/>
      <c r="AX70" s="368"/>
      <c r="AY70" s="368"/>
      <c r="AZ70" s="368"/>
      <c r="BA70" s="368"/>
      <c r="BB70" s="369"/>
      <c r="BC70" s="369"/>
      <c r="BD70" s="370"/>
      <c r="BE70" s="370"/>
      <c r="BF70" s="370"/>
    </row>
    <row r="71" spans="28:58" s="37" customFormat="1" ht="15.65" x14ac:dyDescent="0.2">
      <c r="AB71" s="366"/>
      <c r="AC71" s="368"/>
      <c r="AD71" s="368"/>
      <c r="AE71" s="368"/>
      <c r="AF71" s="368"/>
      <c r="AG71" s="368"/>
      <c r="AH71" s="368"/>
      <c r="AI71" s="368"/>
      <c r="AJ71" s="368"/>
      <c r="AK71" s="368"/>
      <c r="AL71" s="368"/>
      <c r="AM71" s="368"/>
      <c r="AN71" s="368"/>
      <c r="AO71" s="368"/>
      <c r="AP71" s="368"/>
      <c r="AQ71" s="368"/>
      <c r="AR71" s="368"/>
      <c r="AS71" s="368"/>
      <c r="AT71" s="368"/>
      <c r="AU71" s="368"/>
      <c r="AV71" s="368"/>
      <c r="AW71" s="368"/>
      <c r="AX71" s="368"/>
      <c r="AY71" s="368"/>
      <c r="AZ71" s="368"/>
      <c r="BA71" s="368"/>
      <c r="BB71" s="369"/>
      <c r="BC71" s="369"/>
      <c r="BD71" s="370"/>
      <c r="BE71" s="370"/>
      <c r="BF71" s="370"/>
    </row>
    <row r="72" spans="28:58" s="37" customFormat="1" ht="15.65" x14ac:dyDescent="0.2">
      <c r="AB72" s="366"/>
      <c r="AC72" s="368"/>
      <c r="AD72" s="368"/>
      <c r="AE72" s="368"/>
      <c r="AF72" s="368"/>
      <c r="AG72" s="368"/>
      <c r="AH72" s="368"/>
      <c r="AI72" s="368"/>
      <c r="AJ72" s="368"/>
      <c r="AK72" s="368"/>
      <c r="AL72" s="368"/>
      <c r="AM72" s="368"/>
      <c r="AN72" s="368"/>
      <c r="AO72" s="368"/>
      <c r="AP72" s="368"/>
      <c r="AQ72" s="368"/>
      <c r="AR72" s="368"/>
      <c r="AS72" s="368"/>
      <c r="AT72" s="368"/>
      <c r="AU72" s="368"/>
      <c r="AV72" s="368"/>
      <c r="AW72" s="368"/>
      <c r="AX72" s="368"/>
      <c r="AY72" s="368"/>
      <c r="AZ72" s="368"/>
      <c r="BA72" s="368"/>
      <c r="BB72" s="369"/>
      <c r="BC72" s="369"/>
      <c r="BD72" s="370"/>
      <c r="BE72" s="370"/>
      <c r="BF72" s="370"/>
    </row>
    <row r="73" spans="28:58" s="37" customFormat="1" ht="15.65" x14ac:dyDescent="0.2">
      <c r="AB73" s="366"/>
      <c r="AC73" s="368"/>
      <c r="AD73" s="368"/>
      <c r="AE73" s="368"/>
      <c r="AF73" s="368"/>
      <c r="AG73" s="368"/>
      <c r="AH73" s="368"/>
      <c r="AI73" s="368"/>
      <c r="AJ73" s="368"/>
      <c r="AK73" s="368"/>
      <c r="AL73" s="368"/>
      <c r="AM73" s="368"/>
      <c r="AN73" s="368"/>
      <c r="AO73" s="368"/>
      <c r="AP73" s="368"/>
      <c r="AQ73" s="368"/>
      <c r="AR73" s="368"/>
      <c r="AS73" s="368"/>
      <c r="AT73" s="368"/>
      <c r="AU73" s="368"/>
      <c r="AV73" s="368"/>
      <c r="AW73" s="368"/>
      <c r="AX73" s="368"/>
      <c r="AY73" s="368"/>
      <c r="AZ73" s="368"/>
      <c r="BA73" s="368"/>
      <c r="BB73" s="369"/>
      <c r="BC73" s="369"/>
      <c r="BD73" s="370"/>
      <c r="BE73" s="370"/>
      <c r="BF73" s="370"/>
    </row>
    <row r="74" spans="28:58" s="37" customFormat="1" ht="15.65" x14ac:dyDescent="0.2">
      <c r="AB74" s="366"/>
      <c r="AC74" s="368"/>
      <c r="AD74" s="368"/>
      <c r="AE74" s="368"/>
      <c r="AF74" s="368"/>
      <c r="AG74" s="368"/>
      <c r="AH74" s="368"/>
      <c r="AI74" s="368"/>
      <c r="AJ74" s="368"/>
      <c r="AK74" s="368"/>
      <c r="AL74" s="368"/>
      <c r="AM74" s="368"/>
      <c r="AN74" s="368"/>
      <c r="AO74" s="368"/>
      <c r="AP74" s="368"/>
      <c r="AQ74" s="368"/>
      <c r="AR74" s="368"/>
      <c r="AS74" s="368"/>
      <c r="AT74" s="368"/>
      <c r="AU74" s="368"/>
      <c r="AV74" s="368"/>
      <c r="AW74" s="368"/>
      <c r="AX74" s="368"/>
      <c r="AY74" s="368"/>
      <c r="AZ74" s="368"/>
      <c r="BA74" s="368"/>
      <c r="BB74" s="369"/>
      <c r="BC74" s="369"/>
      <c r="BD74" s="370"/>
      <c r="BE74" s="370"/>
      <c r="BF74" s="370"/>
    </row>
  </sheetData>
  <dataConsolidate function="count">
    <dataRefs count="4">
      <dataRef ref="B1:B1048576" sheet="2021"/>
      <dataRef ref="B1:B1048576" sheet="2022"/>
      <dataRef ref="B1:B1048576" sheet="2023"/>
      <dataRef ref="B1:B1048576" sheet="2024"/>
    </dataRefs>
  </dataConsolidate>
  <mergeCells count="2">
    <mergeCell ref="A1:C1"/>
    <mergeCell ref="D43:J43"/>
  </mergeCells>
  <conditionalFormatting sqref="C3:C25">
    <cfRule type="dataBar" priority="1">
      <dataBar>
        <cfvo type="min"/>
        <cfvo type="max"/>
        <color rgb="FFFF555A"/>
      </dataBar>
      <extLst>
        <ext xmlns:x14="http://schemas.microsoft.com/office/spreadsheetml/2009/9/main" uri="{B025F937-C7B1-47D3-B67F-A62EFF666E3E}">
          <x14:id>{5A683AEA-FB83-4288-923B-BE956908EECD}</x14:id>
        </ext>
      </extLst>
    </cfRule>
    <cfRule type="colorScale" priority="2">
      <colorScale>
        <cfvo type="min"/>
        <cfvo type="percentile" val="50"/>
        <cfvo type="max"/>
        <color rgb="FF63BE7B"/>
        <color rgb="FFFFEB84"/>
        <color rgb="FFF8696B"/>
      </colorScale>
    </cfRule>
  </conditionalFormatting>
  <pageMargins left="0.59055118110236227" right="0" top="0" bottom="0" header="0.31496062992125984" footer="0.31496062992125984"/>
  <pageSetup paperSize="9" scale="85" orientation="landscape" r:id="rId1"/>
  <drawing r:id="rId2"/>
  <extLst>
    <ext xmlns:x14="http://schemas.microsoft.com/office/spreadsheetml/2009/9/main" uri="{78C0D931-6437-407d-A8EE-F0AAD7539E65}">
      <x14:conditionalFormattings>
        <x14:conditionalFormatting xmlns:xm="http://schemas.microsoft.com/office/excel/2006/main">
          <x14:cfRule type="dataBar" id="{5A683AEA-FB83-4288-923B-BE956908EECD}">
            <x14:dataBar minLength="0" maxLength="100" gradient="0">
              <x14:cfvo type="autoMin"/>
              <x14:cfvo type="autoMax"/>
              <x14:negativeFillColor rgb="FFFF0000"/>
              <x14:axisColor rgb="FF000000"/>
            </x14:dataBar>
          </x14:cfRule>
          <xm:sqref>C3:C25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74"/>
  <sheetViews>
    <sheetView zoomScale="85" zoomScaleNormal="85" workbookViewId="0">
      <selection sqref="A1:C1"/>
    </sheetView>
  </sheetViews>
  <sheetFormatPr baseColWidth="10" defaultColWidth="10" defaultRowHeight="15.3" customHeight="1" x14ac:dyDescent="0.2"/>
  <cols>
    <col min="1" max="1" width="73.375" style="67" bestFit="1" customWidth="1"/>
    <col min="2" max="2" width="15.25" style="382" customWidth="1"/>
    <col min="3" max="3" width="15.5" style="67" bestFit="1" customWidth="1"/>
    <col min="4" max="16384" width="10" style="67"/>
  </cols>
  <sheetData>
    <row r="1" spans="1:3" ht="53.35" customHeight="1" x14ac:dyDescent="0.2">
      <c r="A1" s="536" t="s">
        <v>5174</v>
      </c>
      <c r="B1" s="536"/>
      <c r="C1" s="536"/>
    </row>
    <row r="2" spans="1:3" ht="15.3" customHeight="1" x14ac:dyDescent="0.25">
      <c r="A2" s="384" t="s">
        <v>3955</v>
      </c>
      <c r="B2" s="385" t="s">
        <v>3956</v>
      </c>
      <c r="C2" s="386" t="s">
        <v>3957</v>
      </c>
    </row>
    <row r="3" spans="1:3" ht="15.3" customHeight="1" x14ac:dyDescent="0.2">
      <c r="A3" s="372" t="s">
        <v>2161</v>
      </c>
      <c r="B3" s="246">
        <f>COUNTIF('2026'!$B:$B, 'CONSOLIDADO AÑO 2026'!$A$3:$A$25)</f>
        <v>24</v>
      </c>
      <c r="C3" s="374">
        <f>B3/$B$26</f>
        <v>4.3875685557586835E-2</v>
      </c>
    </row>
    <row r="4" spans="1:3" ht="15.3" customHeight="1" x14ac:dyDescent="0.2">
      <c r="A4" s="375" t="s">
        <v>29</v>
      </c>
      <c r="B4" s="246">
        <f>COUNTIF('2026'!$B:$B, 'CONSOLIDADO AÑO 2026'!$A$3:$A$25)</f>
        <v>25</v>
      </c>
      <c r="C4" s="376">
        <f t="shared" ref="C4:C26" si="0">B4/$B$26</f>
        <v>4.5703839122486288E-2</v>
      </c>
    </row>
    <row r="5" spans="1:3" ht="15.3" customHeight="1" x14ac:dyDescent="0.2">
      <c r="A5" s="375" t="s">
        <v>64</v>
      </c>
      <c r="B5" s="246">
        <f>COUNTIF('2026'!$B:$B, 'CONSOLIDADO AÑO 2026'!$A$3:$A$25)</f>
        <v>6</v>
      </c>
      <c r="C5" s="376">
        <f t="shared" si="0"/>
        <v>1.0968921389396709E-2</v>
      </c>
    </row>
    <row r="6" spans="1:3" ht="15.3" customHeight="1" x14ac:dyDescent="0.2">
      <c r="A6" s="375" t="s">
        <v>451</v>
      </c>
      <c r="B6" s="246">
        <f>COUNTIF('2026'!$B:$B, 'CONSOLIDADO AÑO 2026'!$A$3:$A$25)</f>
        <v>4</v>
      </c>
      <c r="C6" s="376">
        <f t="shared" si="0"/>
        <v>7.3126142595978062E-3</v>
      </c>
    </row>
    <row r="7" spans="1:3" ht="15.3" customHeight="1" x14ac:dyDescent="0.2">
      <c r="A7" s="375" t="s">
        <v>244</v>
      </c>
      <c r="B7" s="246">
        <f>COUNTIF('2026'!$B:$B, 'CONSOLIDADO AÑO 2026'!$A$3:$A$25)</f>
        <v>8</v>
      </c>
      <c r="C7" s="376">
        <f t="shared" si="0"/>
        <v>1.4625228519195612E-2</v>
      </c>
    </row>
    <row r="8" spans="1:3" ht="15.3" customHeight="1" x14ac:dyDescent="0.2">
      <c r="A8" s="375" t="s">
        <v>888</v>
      </c>
      <c r="B8" s="246">
        <f>COUNTIF('2026'!$B:$B, 'CONSOLIDADO AÑO 2026'!$A$3:$A$25)</f>
        <v>3</v>
      </c>
      <c r="C8" s="376">
        <f t="shared" si="0"/>
        <v>5.4844606946983544E-3</v>
      </c>
    </row>
    <row r="9" spans="1:3" ht="15.3" customHeight="1" x14ac:dyDescent="0.2">
      <c r="A9" s="375" t="s">
        <v>656</v>
      </c>
      <c r="B9" s="246">
        <f>COUNTIF('2026'!$B:$B, 'CONSOLIDADO AÑO 2026'!$A$3:$A$25)</f>
        <v>0</v>
      </c>
      <c r="C9" s="376">
        <f t="shared" si="0"/>
        <v>0</v>
      </c>
    </row>
    <row r="10" spans="1:3" ht="15.3" customHeight="1" x14ac:dyDescent="0.2">
      <c r="A10" s="375" t="s">
        <v>2401</v>
      </c>
      <c r="B10" s="246">
        <f>COUNTIF('2026'!$B:$B, 'CONSOLIDADO AÑO 2026'!$A$3:$A$25)</f>
        <v>0</v>
      </c>
      <c r="C10" s="376">
        <f t="shared" si="0"/>
        <v>0</v>
      </c>
    </row>
    <row r="11" spans="1:3" ht="15.3" customHeight="1" x14ac:dyDescent="0.2">
      <c r="A11" s="375" t="s">
        <v>11</v>
      </c>
      <c r="B11" s="246">
        <f>COUNTIF('2026'!$B:$B, 'CONSOLIDADO AÑO 2026'!$A$3:$A$25)</f>
        <v>23</v>
      </c>
      <c r="C11" s="376">
        <f t="shared" si="0"/>
        <v>4.2047531992687383E-2</v>
      </c>
    </row>
    <row r="12" spans="1:3" ht="15.3" customHeight="1" x14ac:dyDescent="0.2">
      <c r="A12" s="375" t="s">
        <v>147</v>
      </c>
      <c r="B12" s="246">
        <f>COUNTIF('2026'!$B:$B, 'CONSOLIDADO AÑO 2026'!$A$3:$A$25)</f>
        <v>1</v>
      </c>
      <c r="C12" s="376">
        <f t="shared" si="0"/>
        <v>1.8281535648994515E-3</v>
      </c>
    </row>
    <row r="13" spans="1:3" ht="15.3" customHeight="1" x14ac:dyDescent="0.2">
      <c r="A13" s="375" t="s">
        <v>52</v>
      </c>
      <c r="B13" s="246">
        <f>COUNTIF('2026'!$B:$B, 'CONSOLIDADO AÑO 2026'!$A$3:$A$25)</f>
        <v>42</v>
      </c>
      <c r="C13" s="376">
        <f t="shared" si="0"/>
        <v>7.6782449725776969E-2</v>
      </c>
    </row>
    <row r="14" spans="1:3" ht="15.3" customHeight="1" x14ac:dyDescent="0.2">
      <c r="A14" s="375" t="s">
        <v>481</v>
      </c>
      <c r="B14" s="246">
        <f>COUNTIF('2026'!$B:$B, 'CONSOLIDADO AÑO 2026'!$A$3:$A$25)</f>
        <v>13</v>
      </c>
      <c r="C14" s="376">
        <f t="shared" si="0"/>
        <v>2.376599634369287E-2</v>
      </c>
    </row>
    <row r="15" spans="1:3" ht="15.3" customHeight="1" x14ac:dyDescent="0.2">
      <c r="A15" s="375" t="s">
        <v>397</v>
      </c>
      <c r="B15" s="246">
        <f>COUNTIF('2026'!$B:$B, 'CONSOLIDADO AÑO 2026'!$A$3:$A$25)</f>
        <v>5</v>
      </c>
      <c r="C15" s="376">
        <f t="shared" si="0"/>
        <v>9.140767824497258E-3</v>
      </c>
    </row>
    <row r="16" spans="1:3" ht="15.3" customHeight="1" x14ac:dyDescent="0.2">
      <c r="A16" s="375" t="s">
        <v>324</v>
      </c>
      <c r="B16" s="246">
        <f>COUNTIF('2026'!$B:$B, 'CONSOLIDADO AÑO 2026'!$A$3:$A$25)</f>
        <v>3</v>
      </c>
      <c r="C16" s="376">
        <f t="shared" si="0"/>
        <v>5.4844606946983544E-3</v>
      </c>
    </row>
    <row r="17" spans="1:3" ht="15.3" customHeight="1" x14ac:dyDescent="0.2">
      <c r="A17" s="375" t="s">
        <v>2162</v>
      </c>
      <c r="B17" s="246">
        <f>COUNTIF('2026'!$B:$B, 'CONSOLIDADO AÑO 2026'!$A$3:$A$25)</f>
        <v>330</v>
      </c>
      <c r="C17" s="376">
        <f t="shared" si="0"/>
        <v>0.60329067641681899</v>
      </c>
    </row>
    <row r="18" spans="1:3" ht="15.3" customHeight="1" x14ac:dyDescent="0.2">
      <c r="A18" s="375" t="s">
        <v>2163</v>
      </c>
      <c r="B18" s="246">
        <f>COUNTIF('2026'!$B:$B, 'CONSOLIDADO AÑO 2026'!$A$3:$A$25)</f>
        <v>4</v>
      </c>
      <c r="C18" s="376">
        <f t="shared" si="0"/>
        <v>7.3126142595978062E-3</v>
      </c>
    </row>
    <row r="19" spans="1:3" ht="15.3" customHeight="1" x14ac:dyDescent="0.2">
      <c r="A19" s="375" t="s">
        <v>152</v>
      </c>
      <c r="B19" s="246">
        <f>COUNTIF('2026'!$B:$B, 'CONSOLIDADO AÑO 2026'!$A$3:$A$25)</f>
        <v>2</v>
      </c>
      <c r="C19" s="376">
        <f t="shared" si="0"/>
        <v>3.6563071297989031E-3</v>
      </c>
    </row>
    <row r="20" spans="1:3" ht="15.3" customHeight="1" x14ac:dyDescent="0.2">
      <c r="A20" s="375" t="s">
        <v>2164</v>
      </c>
      <c r="B20" s="246">
        <f>COUNTIF('2026'!$B:$B, 'CONSOLIDADO AÑO 2026'!$A$3:$A$25)</f>
        <v>6</v>
      </c>
      <c r="C20" s="376">
        <f t="shared" si="0"/>
        <v>1.0968921389396709E-2</v>
      </c>
    </row>
    <row r="21" spans="1:3" ht="15.3" customHeight="1" x14ac:dyDescent="0.2">
      <c r="A21" s="375" t="s">
        <v>137</v>
      </c>
      <c r="B21" s="246">
        <f>COUNTIF('2026'!$B:$B, 'CONSOLIDADO AÑO 2026'!$A$3:$A$25)</f>
        <v>21</v>
      </c>
      <c r="C21" s="376">
        <f t="shared" si="0"/>
        <v>3.8391224862888484E-2</v>
      </c>
    </row>
    <row r="22" spans="1:3" ht="15.3" customHeight="1" x14ac:dyDescent="0.2">
      <c r="A22" s="375" t="s">
        <v>312</v>
      </c>
      <c r="B22" s="246">
        <f>COUNTIF('2026'!$B:$B, 'CONSOLIDADO AÑO 2026'!$A$3:$A$25)</f>
        <v>5</v>
      </c>
      <c r="C22" s="376">
        <f t="shared" si="0"/>
        <v>9.140767824497258E-3</v>
      </c>
    </row>
    <row r="23" spans="1:3" ht="15.3" customHeight="1" x14ac:dyDescent="0.2">
      <c r="A23" s="375" t="s">
        <v>163</v>
      </c>
      <c r="B23" s="246">
        <f>COUNTIF('2026'!$B:$B, 'CONSOLIDADO AÑO 2026'!$A$3:$A$25)</f>
        <v>1</v>
      </c>
      <c r="C23" s="376">
        <f t="shared" si="0"/>
        <v>1.8281535648994515E-3</v>
      </c>
    </row>
    <row r="24" spans="1:3" ht="15.3" customHeight="1" x14ac:dyDescent="0.2">
      <c r="A24" s="375" t="s">
        <v>188</v>
      </c>
      <c r="B24" s="246">
        <f>COUNTIF('2026'!$B:$B, 'CONSOLIDADO AÑO 2026'!$A$3:$A$25)</f>
        <v>16</v>
      </c>
      <c r="C24" s="376">
        <f t="shared" si="0"/>
        <v>2.9250457038391225E-2</v>
      </c>
    </row>
    <row r="25" spans="1:3" ht="15.3" customHeight="1" thickBot="1" x14ac:dyDescent="0.25">
      <c r="A25" s="377" t="s">
        <v>24</v>
      </c>
      <c r="B25" s="383">
        <f>COUNTIF('2026'!$B:$B, 'CONSOLIDADO AÑO 2026'!$A$3:$A$25)</f>
        <v>5</v>
      </c>
      <c r="C25" s="378">
        <f t="shared" si="0"/>
        <v>9.140767824497258E-3</v>
      </c>
    </row>
    <row r="26" spans="1:3" ht="15.3" customHeight="1" thickTop="1" thickBot="1" x14ac:dyDescent="0.25">
      <c r="A26" s="379" t="s">
        <v>2152</v>
      </c>
      <c r="B26" s="380">
        <f>SUM(B3:B25)</f>
        <v>547</v>
      </c>
      <c r="C26" s="381">
        <f t="shared" si="0"/>
        <v>1</v>
      </c>
    </row>
    <row r="43" spans="4:58" ht="15.3" customHeight="1" x14ac:dyDescent="0.2">
      <c r="D43"/>
      <c r="E43"/>
      <c r="F43"/>
      <c r="G43"/>
      <c r="H43"/>
      <c r="I43"/>
    </row>
    <row r="44" spans="4:58" ht="15.3" customHeight="1" x14ac:dyDescent="0.2">
      <c r="D44"/>
      <c r="E44"/>
      <c r="F44"/>
      <c r="G44"/>
      <c r="H44"/>
      <c r="I44"/>
    </row>
    <row r="45" spans="4:58" ht="15.3" customHeight="1" x14ac:dyDescent="0.2">
      <c r="D45"/>
      <c r="E45"/>
      <c r="F45"/>
      <c r="G45"/>
      <c r="H45"/>
      <c r="I45"/>
    </row>
    <row r="47" spans="4:58" s="37" customFormat="1" ht="15.65" x14ac:dyDescent="0.2">
      <c r="AB47" s="366"/>
      <c r="AC47" s="368"/>
      <c r="AD47" s="368"/>
      <c r="AE47" s="368"/>
      <c r="AF47" s="368"/>
      <c r="AG47" s="368"/>
      <c r="AH47" s="368"/>
      <c r="AI47" s="368"/>
      <c r="AJ47" s="368"/>
      <c r="AK47" s="368"/>
      <c r="AL47" s="368"/>
      <c r="AM47" s="368"/>
      <c r="AN47" s="368"/>
      <c r="AO47" s="368"/>
      <c r="AP47" s="368"/>
      <c r="AQ47" s="368"/>
      <c r="AR47" s="368"/>
      <c r="AS47" s="368"/>
      <c r="AT47" s="368"/>
      <c r="AU47" s="368"/>
      <c r="AV47" s="368"/>
      <c r="AW47" s="368"/>
      <c r="AX47" s="368"/>
      <c r="AY47" s="368"/>
      <c r="AZ47" s="368"/>
      <c r="BA47" s="368"/>
      <c r="BB47" s="369"/>
      <c r="BC47" s="369"/>
      <c r="BD47" s="370"/>
      <c r="BE47" s="370"/>
      <c r="BF47" s="370"/>
    </row>
    <row r="48" spans="4:58" s="37" customFormat="1" ht="15.65" x14ac:dyDescent="0.2">
      <c r="AB48" s="366"/>
      <c r="AC48" s="368"/>
      <c r="AD48" s="368"/>
      <c r="AE48" s="368"/>
      <c r="AF48" s="368"/>
      <c r="AG48" s="368"/>
      <c r="AH48" s="368"/>
      <c r="AI48" s="368"/>
      <c r="AJ48" s="368"/>
      <c r="AK48" s="368"/>
      <c r="AL48" s="368"/>
      <c r="AM48" s="368"/>
      <c r="AN48" s="368"/>
      <c r="AO48" s="368"/>
      <c r="AP48" s="368"/>
      <c r="AQ48" s="368"/>
      <c r="AR48" s="368"/>
      <c r="AS48" s="368"/>
      <c r="AT48" s="368"/>
      <c r="AU48" s="368"/>
      <c r="AV48" s="368"/>
      <c r="AW48" s="368"/>
      <c r="AX48" s="368"/>
      <c r="AY48" s="368"/>
      <c r="AZ48" s="368"/>
      <c r="BA48" s="368"/>
      <c r="BB48" s="369"/>
      <c r="BC48" s="369"/>
      <c r="BD48" s="370"/>
      <c r="BE48" s="370"/>
      <c r="BF48" s="370"/>
    </row>
    <row r="49" spans="28:58" s="37" customFormat="1" ht="15.65" x14ac:dyDescent="0.2">
      <c r="AB49" s="366"/>
      <c r="AC49" s="368"/>
      <c r="AD49" s="368"/>
      <c r="AE49" s="368"/>
      <c r="AF49" s="368"/>
      <c r="AG49" s="368"/>
      <c r="AH49" s="368"/>
      <c r="AI49" s="368"/>
      <c r="AJ49" s="368"/>
      <c r="AK49" s="368"/>
      <c r="AL49" s="368"/>
      <c r="AM49" s="368"/>
      <c r="AN49" s="368"/>
      <c r="AO49" s="368"/>
      <c r="AP49" s="368"/>
      <c r="AQ49" s="368"/>
      <c r="AR49" s="368"/>
      <c r="AS49" s="368"/>
      <c r="AT49" s="368"/>
      <c r="AU49" s="368"/>
      <c r="AV49" s="368"/>
      <c r="AW49" s="368"/>
      <c r="AX49" s="368"/>
      <c r="AY49" s="368"/>
      <c r="AZ49" s="368"/>
      <c r="BA49" s="368"/>
      <c r="BB49" s="369"/>
      <c r="BC49" s="369"/>
      <c r="BD49" s="370"/>
      <c r="BE49" s="370"/>
      <c r="BF49" s="370"/>
    </row>
    <row r="50" spans="28:58" s="37" customFormat="1" ht="15.65" x14ac:dyDescent="0.2">
      <c r="AB50" s="366"/>
      <c r="AC50" s="368"/>
      <c r="AD50" s="368"/>
      <c r="AE50" s="368"/>
      <c r="AF50" s="368"/>
      <c r="AG50" s="368"/>
      <c r="AH50" s="368"/>
      <c r="AI50" s="368"/>
      <c r="AJ50" s="368"/>
      <c r="AK50" s="368"/>
      <c r="AL50" s="368"/>
      <c r="AM50" s="368"/>
      <c r="AN50" s="368"/>
      <c r="AO50" s="368"/>
      <c r="AP50" s="368"/>
      <c r="AQ50" s="368"/>
      <c r="AR50" s="368"/>
      <c r="AS50" s="368"/>
      <c r="AT50" s="368"/>
      <c r="AU50" s="368"/>
      <c r="AV50" s="368"/>
      <c r="AW50" s="368"/>
      <c r="AX50" s="368"/>
      <c r="AY50" s="368"/>
      <c r="AZ50" s="368"/>
      <c r="BA50" s="368"/>
      <c r="BB50" s="369"/>
      <c r="BC50" s="369"/>
      <c r="BD50" s="370"/>
      <c r="BE50" s="370"/>
      <c r="BF50" s="370"/>
    </row>
    <row r="51" spans="28:58" s="37" customFormat="1" ht="15.65" x14ac:dyDescent="0.2">
      <c r="AB51" s="366"/>
      <c r="AC51" s="368"/>
      <c r="AD51" s="368"/>
      <c r="AE51" s="368"/>
      <c r="AF51" s="368"/>
      <c r="AG51" s="368"/>
      <c r="AH51" s="368"/>
      <c r="AI51" s="368"/>
      <c r="AJ51" s="368"/>
      <c r="AK51" s="368"/>
      <c r="AL51" s="368"/>
      <c r="AM51" s="368"/>
      <c r="AN51" s="368"/>
      <c r="AO51" s="368"/>
      <c r="AP51" s="368"/>
      <c r="AQ51" s="368"/>
      <c r="AR51" s="368"/>
      <c r="AS51" s="368"/>
      <c r="AT51" s="368"/>
      <c r="AU51" s="368"/>
      <c r="AV51" s="368"/>
      <c r="AW51" s="368"/>
      <c r="AX51" s="368"/>
      <c r="AY51" s="368"/>
      <c r="AZ51" s="368"/>
      <c r="BA51" s="368"/>
      <c r="BB51" s="369"/>
      <c r="BC51" s="369"/>
      <c r="BD51" s="370"/>
      <c r="BE51" s="370"/>
      <c r="BF51" s="370"/>
    </row>
    <row r="52" spans="28:58" s="37" customFormat="1" ht="15.65" x14ac:dyDescent="0.2">
      <c r="AB52" s="366"/>
      <c r="AC52" s="368"/>
      <c r="AD52" s="368"/>
      <c r="AE52" s="368"/>
      <c r="AF52" s="368"/>
      <c r="AG52" s="368"/>
      <c r="AH52" s="368"/>
      <c r="AI52" s="368"/>
      <c r="AJ52" s="368"/>
      <c r="AK52" s="368"/>
      <c r="AL52" s="368"/>
      <c r="AM52" s="368"/>
      <c r="AN52" s="368"/>
      <c r="AO52" s="368"/>
      <c r="AP52" s="368"/>
      <c r="AQ52" s="368"/>
      <c r="AR52" s="368"/>
      <c r="AS52" s="368"/>
      <c r="AT52" s="368"/>
      <c r="AU52" s="368"/>
      <c r="AV52" s="368"/>
      <c r="AW52" s="368"/>
      <c r="AX52" s="368"/>
      <c r="AY52" s="368"/>
      <c r="AZ52" s="368"/>
      <c r="BA52" s="368"/>
      <c r="BB52" s="369"/>
      <c r="BC52" s="369"/>
      <c r="BD52" s="370"/>
      <c r="BE52" s="370"/>
      <c r="BF52" s="370"/>
    </row>
    <row r="53" spans="28:58" s="37" customFormat="1" ht="15.65" x14ac:dyDescent="0.2">
      <c r="AB53" s="366"/>
      <c r="AC53" s="368"/>
      <c r="AD53" s="368"/>
      <c r="AE53" s="368"/>
      <c r="AF53" s="368"/>
      <c r="AG53" s="368"/>
      <c r="AH53" s="368"/>
      <c r="AI53" s="368"/>
      <c r="AJ53" s="368"/>
      <c r="AK53" s="368"/>
      <c r="AL53" s="368"/>
      <c r="AM53" s="368"/>
      <c r="AN53" s="368"/>
      <c r="AO53" s="368"/>
      <c r="AP53" s="368"/>
      <c r="AQ53" s="368"/>
      <c r="AR53" s="368"/>
      <c r="AS53" s="368"/>
      <c r="AT53" s="368"/>
      <c r="AU53" s="368"/>
      <c r="AV53" s="368"/>
      <c r="AW53" s="368"/>
      <c r="AX53" s="368"/>
      <c r="AY53" s="368"/>
      <c r="AZ53" s="368"/>
      <c r="BA53" s="368"/>
      <c r="BB53" s="369"/>
      <c r="BC53" s="369"/>
      <c r="BD53" s="370"/>
      <c r="BE53" s="370"/>
      <c r="BF53" s="370"/>
    </row>
    <row r="54" spans="28:58" s="37" customFormat="1" ht="15.65" x14ac:dyDescent="0.2">
      <c r="AB54" s="366"/>
      <c r="AC54" s="368"/>
      <c r="AD54" s="368"/>
      <c r="AE54" s="368"/>
      <c r="AF54" s="368"/>
      <c r="AG54" s="368"/>
      <c r="AH54" s="368"/>
      <c r="AI54" s="368"/>
      <c r="AJ54" s="368"/>
      <c r="AK54" s="368"/>
      <c r="AL54" s="368"/>
      <c r="AM54" s="368"/>
      <c r="AN54" s="368"/>
      <c r="AO54" s="368"/>
      <c r="AP54" s="368"/>
      <c r="AQ54" s="368"/>
      <c r="AR54" s="368"/>
      <c r="AS54" s="368"/>
      <c r="AT54" s="368"/>
      <c r="AU54" s="368"/>
      <c r="AV54" s="368"/>
      <c r="AW54" s="368"/>
      <c r="AX54" s="368"/>
      <c r="AY54" s="368"/>
      <c r="AZ54" s="368"/>
      <c r="BA54" s="368"/>
      <c r="BB54" s="369"/>
      <c r="BC54" s="369"/>
      <c r="BD54" s="370"/>
      <c r="BE54" s="370"/>
      <c r="BF54" s="370"/>
    </row>
    <row r="55" spans="28:58" s="37" customFormat="1" ht="15.65" x14ac:dyDescent="0.2">
      <c r="AB55" s="366"/>
      <c r="AC55" s="368"/>
      <c r="AD55" s="368"/>
      <c r="AE55" s="368"/>
      <c r="AF55" s="368"/>
      <c r="AG55" s="368"/>
      <c r="AH55" s="368"/>
      <c r="AI55" s="368"/>
      <c r="AJ55" s="368"/>
      <c r="AK55" s="368"/>
      <c r="AL55" s="368"/>
      <c r="AM55" s="368"/>
      <c r="AN55" s="368"/>
      <c r="AO55" s="368"/>
      <c r="AP55" s="368"/>
      <c r="AQ55" s="368"/>
      <c r="AR55" s="368"/>
      <c r="AS55" s="368"/>
      <c r="AT55" s="368"/>
      <c r="AU55" s="368"/>
      <c r="AV55" s="368"/>
      <c r="AW55" s="368"/>
      <c r="AX55" s="368"/>
      <c r="AY55" s="368"/>
      <c r="AZ55" s="368"/>
      <c r="BA55" s="368"/>
      <c r="BB55" s="369"/>
      <c r="BC55" s="369"/>
      <c r="BD55" s="370"/>
      <c r="BE55" s="370"/>
      <c r="BF55" s="370"/>
    </row>
    <row r="56" spans="28:58" s="37" customFormat="1" ht="15.65" x14ac:dyDescent="0.2">
      <c r="AB56" s="366"/>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9"/>
      <c r="BC56" s="369"/>
      <c r="BD56" s="370"/>
      <c r="BE56" s="370"/>
      <c r="BF56" s="370"/>
    </row>
    <row r="57" spans="28:58" s="37" customFormat="1" ht="15.65" x14ac:dyDescent="0.2">
      <c r="AB57" s="366"/>
      <c r="AC57" s="368"/>
      <c r="AD57" s="368"/>
      <c r="AE57" s="368"/>
      <c r="AF57" s="368"/>
      <c r="AG57" s="368"/>
      <c r="AH57" s="368"/>
      <c r="AI57" s="368"/>
      <c r="AJ57" s="368"/>
      <c r="AK57" s="368"/>
      <c r="AL57" s="368"/>
      <c r="AM57" s="368"/>
      <c r="AN57" s="368"/>
      <c r="AO57" s="368"/>
      <c r="AP57" s="368"/>
      <c r="AQ57" s="368"/>
      <c r="AR57" s="368"/>
      <c r="AS57" s="368"/>
      <c r="AT57" s="368"/>
      <c r="AU57" s="368"/>
      <c r="AV57" s="368"/>
      <c r="AW57" s="368"/>
      <c r="AX57" s="368"/>
      <c r="AY57" s="368"/>
      <c r="AZ57" s="368"/>
      <c r="BA57" s="368"/>
      <c r="BB57" s="369"/>
      <c r="BC57" s="369"/>
      <c r="BD57" s="370"/>
      <c r="BE57" s="370"/>
      <c r="BF57" s="370"/>
    </row>
    <row r="58" spans="28:58" s="37" customFormat="1" ht="15.65" x14ac:dyDescent="0.2">
      <c r="AB58" s="366"/>
      <c r="AC58" s="368"/>
      <c r="AD58" s="368"/>
      <c r="AE58" s="368"/>
      <c r="AF58" s="368"/>
      <c r="AG58" s="368"/>
      <c r="AH58" s="368"/>
      <c r="AI58" s="368"/>
      <c r="AJ58" s="368"/>
      <c r="AK58" s="368"/>
      <c r="AL58" s="368"/>
      <c r="AM58" s="368"/>
      <c r="AN58" s="368"/>
      <c r="AO58" s="368"/>
      <c r="AP58" s="368"/>
      <c r="AQ58" s="368"/>
      <c r="AR58" s="368"/>
      <c r="AS58" s="368"/>
      <c r="AT58" s="368"/>
      <c r="AU58" s="368"/>
      <c r="AV58" s="368"/>
      <c r="AW58" s="368"/>
      <c r="AX58" s="368"/>
      <c r="AY58" s="368"/>
      <c r="AZ58" s="368"/>
      <c r="BA58" s="368"/>
      <c r="BB58" s="369"/>
      <c r="BC58" s="369"/>
      <c r="BD58" s="370"/>
      <c r="BE58" s="370"/>
      <c r="BF58" s="370"/>
    </row>
    <row r="59" spans="28:58" s="37" customFormat="1" ht="15.65" x14ac:dyDescent="0.2">
      <c r="AB59" s="366"/>
      <c r="AC59" s="368"/>
      <c r="AD59" s="368"/>
      <c r="AE59" s="368"/>
      <c r="AF59" s="368"/>
      <c r="AG59" s="368"/>
      <c r="AH59" s="368"/>
      <c r="AI59" s="368"/>
      <c r="AJ59" s="368"/>
      <c r="AK59" s="368"/>
      <c r="AL59" s="368"/>
      <c r="AM59" s="368"/>
      <c r="AN59" s="368"/>
      <c r="AO59" s="368"/>
      <c r="AP59" s="368"/>
      <c r="AQ59" s="368"/>
      <c r="AR59" s="368"/>
      <c r="AS59" s="368"/>
      <c r="AT59" s="368"/>
      <c r="AU59" s="368"/>
      <c r="AV59" s="368"/>
      <c r="AW59" s="368"/>
      <c r="AX59" s="368"/>
      <c r="AY59" s="368"/>
      <c r="AZ59" s="368"/>
      <c r="BA59" s="368"/>
      <c r="BB59" s="369"/>
      <c r="BC59" s="369"/>
      <c r="BD59" s="370"/>
      <c r="BE59" s="370"/>
      <c r="BF59" s="370"/>
    </row>
    <row r="60" spans="28:58" s="37" customFormat="1" ht="15.65" x14ac:dyDescent="0.2">
      <c r="AB60" s="366"/>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9"/>
      <c r="BC60" s="369"/>
      <c r="BD60" s="370"/>
      <c r="BE60" s="370"/>
      <c r="BF60" s="370"/>
    </row>
    <row r="61" spans="28:58" s="37" customFormat="1" ht="15.65" x14ac:dyDescent="0.2">
      <c r="AB61" s="366"/>
      <c r="AC61" s="368"/>
      <c r="AD61" s="368"/>
      <c r="AE61" s="368"/>
      <c r="AF61" s="368"/>
      <c r="AG61" s="368"/>
      <c r="AH61" s="368"/>
      <c r="AI61" s="368"/>
      <c r="AJ61" s="368"/>
      <c r="AK61" s="368"/>
      <c r="AL61" s="368"/>
      <c r="AM61" s="368"/>
      <c r="AN61" s="368"/>
      <c r="AO61" s="368"/>
      <c r="AP61" s="368"/>
      <c r="AQ61" s="368"/>
      <c r="AR61" s="368"/>
      <c r="AS61" s="368"/>
      <c r="AT61" s="368"/>
      <c r="AU61" s="368"/>
      <c r="AV61" s="368"/>
      <c r="AW61" s="368"/>
      <c r="AX61" s="368"/>
      <c r="AY61" s="368"/>
      <c r="AZ61" s="368"/>
      <c r="BA61" s="368"/>
      <c r="BB61" s="369"/>
      <c r="BC61" s="369"/>
      <c r="BD61" s="370"/>
      <c r="BE61" s="370"/>
      <c r="BF61" s="370"/>
    </row>
    <row r="62" spans="28:58" s="37" customFormat="1" ht="15.65" x14ac:dyDescent="0.2">
      <c r="AB62" s="366"/>
      <c r="AC62" s="368"/>
      <c r="AD62" s="368"/>
      <c r="AE62" s="368"/>
      <c r="AF62" s="368"/>
      <c r="AG62" s="368"/>
      <c r="AH62" s="368"/>
      <c r="AI62" s="368"/>
      <c r="AJ62" s="368"/>
      <c r="AK62" s="368"/>
      <c r="AL62" s="368"/>
      <c r="AM62" s="368"/>
      <c r="AN62" s="368"/>
      <c r="AO62" s="368"/>
      <c r="AP62" s="368"/>
      <c r="AQ62" s="368"/>
      <c r="AR62" s="368"/>
      <c r="AS62" s="368"/>
      <c r="AT62" s="368"/>
      <c r="AU62" s="368"/>
      <c r="AV62" s="368"/>
      <c r="AW62" s="368"/>
      <c r="AX62" s="368"/>
      <c r="AY62" s="368"/>
      <c r="AZ62" s="368"/>
      <c r="BA62" s="368"/>
      <c r="BB62" s="369"/>
      <c r="BC62" s="369"/>
      <c r="BD62" s="370"/>
      <c r="BE62" s="370"/>
      <c r="BF62" s="370"/>
    </row>
    <row r="63" spans="28:58" s="37" customFormat="1" ht="15.65" x14ac:dyDescent="0.2">
      <c r="AB63" s="366"/>
      <c r="AC63" s="368"/>
      <c r="AD63" s="368"/>
      <c r="AE63" s="368"/>
      <c r="AF63" s="368"/>
      <c r="AG63" s="368"/>
      <c r="AH63" s="368"/>
      <c r="AI63" s="368"/>
      <c r="AJ63" s="368"/>
      <c r="AK63" s="368"/>
      <c r="AL63" s="368"/>
      <c r="AM63" s="368"/>
      <c r="AN63" s="368"/>
      <c r="AO63" s="368"/>
      <c r="AP63" s="368"/>
      <c r="AQ63" s="368"/>
      <c r="AR63" s="368"/>
      <c r="AS63" s="368"/>
      <c r="AT63" s="368"/>
      <c r="AU63" s="368"/>
      <c r="AV63" s="368"/>
      <c r="AW63" s="368"/>
      <c r="AX63" s="368"/>
      <c r="AY63" s="368"/>
      <c r="AZ63" s="368"/>
      <c r="BA63" s="368"/>
      <c r="BB63" s="369"/>
      <c r="BC63" s="369"/>
      <c r="BD63" s="370"/>
      <c r="BE63" s="370"/>
      <c r="BF63" s="370"/>
    </row>
    <row r="64" spans="28:58" s="37" customFormat="1" ht="15.65" x14ac:dyDescent="0.2">
      <c r="AB64" s="366"/>
      <c r="AC64" s="368"/>
      <c r="AD64" s="368"/>
      <c r="AE64" s="368"/>
      <c r="AF64" s="368"/>
      <c r="AG64" s="368"/>
      <c r="AH64" s="368"/>
      <c r="AI64" s="368"/>
      <c r="AJ64" s="368"/>
      <c r="AK64" s="368"/>
      <c r="AL64" s="368"/>
      <c r="AM64" s="368"/>
      <c r="AN64" s="368"/>
      <c r="AO64" s="368"/>
      <c r="AP64" s="368"/>
      <c r="AQ64" s="368"/>
      <c r="AR64" s="368"/>
      <c r="AS64" s="368"/>
      <c r="AT64" s="368"/>
      <c r="AU64" s="368"/>
      <c r="AV64" s="368"/>
      <c r="AW64" s="368"/>
      <c r="AX64" s="368"/>
      <c r="AY64" s="368"/>
      <c r="AZ64" s="368"/>
      <c r="BA64" s="368"/>
      <c r="BB64" s="369"/>
      <c r="BC64" s="369"/>
      <c r="BD64" s="370"/>
      <c r="BE64" s="370"/>
      <c r="BF64" s="370"/>
    </row>
    <row r="65" spans="28:58" s="37" customFormat="1" ht="15.65" x14ac:dyDescent="0.2">
      <c r="AB65" s="366"/>
      <c r="AC65" s="368"/>
      <c r="AD65" s="368"/>
      <c r="AE65" s="368"/>
      <c r="AF65" s="368"/>
      <c r="AG65" s="368"/>
      <c r="AH65" s="368"/>
      <c r="AI65" s="368"/>
      <c r="AJ65" s="368"/>
      <c r="AK65" s="368"/>
      <c r="AL65" s="368"/>
      <c r="AM65" s="368"/>
      <c r="AN65" s="368"/>
      <c r="AO65" s="368"/>
      <c r="AP65" s="368"/>
      <c r="AQ65" s="368"/>
      <c r="AR65" s="368"/>
      <c r="AS65" s="368"/>
      <c r="AT65" s="368"/>
      <c r="AU65" s="368"/>
      <c r="AV65" s="368"/>
      <c r="AW65" s="368"/>
      <c r="AX65" s="368"/>
      <c r="AY65" s="368"/>
      <c r="AZ65" s="368"/>
      <c r="BA65" s="368"/>
      <c r="BB65" s="369"/>
      <c r="BC65" s="369"/>
      <c r="BD65" s="370"/>
      <c r="BE65" s="370"/>
      <c r="BF65" s="370"/>
    </row>
    <row r="66" spans="28:58" s="37" customFormat="1" ht="15.65" x14ac:dyDescent="0.2">
      <c r="AB66" s="366"/>
      <c r="AC66" s="368"/>
      <c r="AD66" s="368"/>
      <c r="AE66" s="368"/>
      <c r="AF66" s="368"/>
      <c r="AG66" s="368"/>
      <c r="AH66" s="368"/>
      <c r="AI66" s="368"/>
      <c r="AJ66" s="368"/>
      <c r="AK66" s="368"/>
      <c r="AL66" s="368"/>
      <c r="AM66" s="368"/>
      <c r="AN66" s="368"/>
      <c r="AO66" s="368"/>
      <c r="AP66" s="368"/>
      <c r="AQ66" s="368"/>
      <c r="AR66" s="368"/>
      <c r="AS66" s="368"/>
      <c r="AT66" s="368"/>
      <c r="AU66" s="368"/>
      <c r="AV66" s="368"/>
      <c r="AW66" s="368"/>
      <c r="AX66" s="368"/>
      <c r="AY66" s="368"/>
      <c r="AZ66" s="368"/>
      <c r="BA66" s="368"/>
      <c r="BB66" s="369"/>
      <c r="BC66" s="369"/>
      <c r="BD66" s="370"/>
      <c r="BE66" s="370"/>
      <c r="BF66" s="370"/>
    </row>
    <row r="67" spans="28:58" s="37" customFormat="1" ht="15.65" x14ac:dyDescent="0.2">
      <c r="AB67" s="366"/>
      <c r="AC67" s="368"/>
      <c r="AD67" s="368"/>
      <c r="AE67" s="368"/>
      <c r="AF67" s="368"/>
      <c r="AG67" s="368"/>
      <c r="AH67" s="368"/>
      <c r="AI67" s="368"/>
      <c r="AJ67" s="368"/>
      <c r="AK67" s="368"/>
      <c r="AL67" s="368"/>
      <c r="AM67" s="368"/>
      <c r="AN67" s="368"/>
      <c r="AO67" s="368"/>
      <c r="AP67" s="368"/>
      <c r="AQ67" s="368"/>
      <c r="AR67" s="368"/>
      <c r="AS67" s="368"/>
      <c r="AT67" s="368"/>
      <c r="AU67" s="368"/>
      <c r="AV67" s="368"/>
      <c r="AW67" s="368"/>
      <c r="AX67" s="368"/>
      <c r="AY67" s="368"/>
      <c r="AZ67" s="368"/>
      <c r="BA67" s="368"/>
      <c r="BB67" s="369"/>
      <c r="BC67" s="369"/>
      <c r="BD67" s="370"/>
      <c r="BE67" s="370"/>
      <c r="BF67" s="370"/>
    </row>
    <row r="68" spans="28:58" s="37" customFormat="1" ht="15.65" x14ac:dyDescent="0.2">
      <c r="AB68" s="366"/>
      <c r="AC68" s="368"/>
      <c r="AD68" s="368"/>
      <c r="AE68" s="368"/>
      <c r="AF68" s="368"/>
      <c r="AG68" s="368"/>
      <c r="AH68" s="368"/>
      <c r="AI68" s="368"/>
      <c r="AJ68" s="368"/>
      <c r="AK68" s="368"/>
      <c r="AL68" s="368"/>
      <c r="AM68" s="368"/>
      <c r="AN68" s="368"/>
      <c r="AO68" s="368"/>
      <c r="AP68" s="368"/>
      <c r="AQ68" s="368"/>
      <c r="AR68" s="368"/>
      <c r="AS68" s="368"/>
      <c r="AT68" s="368"/>
      <c r="AU68" s="368"/>
      <c r="AV68" s="368"/>
      <c r="AW68" s="368"/>
      <c r="AX68" s="368"/>
      <c r="AY68" s="368"/>
      <c r="AZ68" s="368"/>
      <c r="BA68" s="368"/>
      <c r="BB68" s="369"/>
      <c r="BC68" s="369"/>
      <c r="BD68" s="370"/>
      <c r="BE68" s="370"/>
      <c r="BF68" s="370"/>
    </row>
    <row r="69" spans="28:58" s="37" customFormat="1" ht="15.65" x14ac:dyDescent="0.2">
      <c r="AB69" s="366"/>
      <c r="AC69" s="368"/>
      <c r="AD69" s="368"/>
      <c r="AE69" s="368"/>
      <c r="AF69" s="368"/>
      <c r="AG69" s="368"/>
      <c r="AH69" s="368"/>
      <c r="AI69" s="368"/>
      <c r="AJ69" s="368"/>
      <c r="AK69" s="368"/>
      <c r="AL69" s="368"/>
      <c r="AM69" s="368"/>
      <c r="AN69" s="368"/>
      <c r="AO69" s="368"/>
      <c r="AP69" s="368"/>
      <c r="AQ69" s="368"/>
      <c r="AR69" s="368"/>
      <c r="AS69" s="368"/>
      <c r="AT69" s="368"/>
      <c r="AU69" s="368"/>
      <c r="AV69" s="368"/>
      <c r="AW69" s="368"/>
      <c r="AX69" s="368"/>
      <c r="AY69" s="368"/>
      <c r="AZ69" s="368"/>
      <c r="BA69" s="368"/>
      <c r="BB69" s="369"/>
      <c r="BC69" s="369"/>
      <c r="BD69" s="370"/>
      <c r="BE69" s="370"/>
      <c r="BF69" s="370"/>
    </row>
    <row r="70" spans="28:58" s="37" customFormat="1" ht="15.65" x14ac:dyDescent="0.2">
      <c r="AB70" s="366"/>
      <c r="AC70" s="368"/>
      <c r="AD70" s="368"/>
      <c r="AE70" s="368"/>
      <c r="AF70" s="368"/>
      <c r="AG70" s="368"/>
      <c r="AH70" s="368"/>
      <c r="AI70" s="368"/>
      <c r="AJ70" s="368"/>
      <c r="AK70" s="368"/>
      <c r="AL70" s="368"/>
      <c r="AM70" s="368"/>
      <c r="AN70" s="368"/>
      <c r="AO70" s="368"/>
      <c r="AP70" s="368"/>
      <c r="AQ70" s="368"/>
      <c r="AR70" s="368"/>
      <c r="AS70" s="368"/>
      <c r="AT70" s="368"/>
      <c r="AU70" s="368"/>
      <c r="AV70" s="368"/>
      <c r="AW70" s="368"/>
      <c r="AX70" s="368"/>
      <c r="AY70" s="368"/>
      <c r="AZ70" s="368"/>
      <c r="BA70" s="368"/>
      <c r="BB70" s="369"/>
      <c r="BC70" s="369"/>
      <c r="BD70" s="370"/>
      <c r="BE70" s="370"/>
      <c r="BF70" s="370"/>
    </row>
    <row r="71" spans="28:58" s="37" customFormat="1" ht="15.65" x14ac:dyDescent="0.2">
      <c r="AB71" s="366"/>
      <c r="AC71" s="368"/>
      <c r="AD71" s="368"/>
      <c r="AE71" s="368"/>
      <c r="AF71" s="368"/>
      <c r="AG71" s="368"/>
      <c r="AH71" s="368"/>
      <c r="AI71" s="368"/>
      <c r="AJ71" s="368"/>
      <c r="AK71" s="368"/>
      <c r="AL71" s="368"/>
      <c r="AM71" s="368"/>
      <c r="AN71" s="368"/>
      <c r="AO71" s="368"/>
      <c r="AP71" s="368"/>
      <c r="AQ71" s="368"/>
      <c r="AR71" s="368"/>
      <c r="AS71" s="368"/>
      <c r="AT71" s="368"/>
      <c r="AU71" s="368"/>
      <c r="AV71" s="368"/>
      <c r="AW71" s="368"/>
      <c r="AX71" s="368"/>
      <c r="AY71" s="368"/>
      <c r="AZ71" s="368"/>
      <c r="BA71" s="368"/>
      <c r="BB71" s="369"/>
      <c r="BC71" s="369"/>
      <c r="BD71" s="370"/>
      <c r="BE71" s="370"/>
      <c r="BF71" s="370"/>
    </row>
    <row r="72" spans="28:58" s="37" customFormat="1" ht="15.65" x14ac:dyDescent="0.2">
      <c r="AB72" s="366"/>
      <c r="AC72" s="368"/>
      <c r="AD72" s="368"/>
      <c r="AE72" s="368"/>
      <c r="AF72" s="368"/>
      <c r="AG72" s="368"/>
      <c r="AH72" s="368"/>
      <c r="AI72" s="368"/>
      <c r="AJ72" s="368"/>
      <c r="AK72" s="368"/>
      <c r="AL72" s="368"/>
      <c r="AM72" s="368"/>
      <c r="AN72" s="368"/>
      <c r="AO72" s="368"/>
      <c r="AP72" s="368"/>
      <c r="AQ72" s="368"/>
      <c r="AR72" s="368"/>
      <c r="AS72" s="368"/>
      <c r="AT72" s="368"/>
      <c r="AU72" s="368"/>
      <c r="AV72" s="368"/>
      <c r="AW72" s="368"/>
      <c r="AX72" s="368"/>
      <c r="AY72" s="368"/>
      <c r="AZ72" s="368"/>
      <c r="BA72" s="368"/>
      <c r="BB72" s="369"/>
      <c r="BC72" s="369"/>
      <c r="BD72" s="370"/>
      <c r="BE72" s="370"/>
      <c r="BF72" s="370"/>
    </row>
    <row r="73" spans="28:58" s="37" customFormat="1" ht="15.65" x14ac:dyDescent="0.2">
      <c r="AB73" s="366"/>
      <c r="AC73" s="368"/>
      <c r="AD73" s="368"/>
      <c r="AE73" s="368"/>
      <c r="AF73" s="368"/>
      <c r="AG73" s="368"/>
      <c r="AH73" s="368"/>
      <c r="AI73" s="368"/>
      <c r="AJ73" s="368"/>
      <c r="AK73" s="368"/>
      <c r="AL73" s="368"/>
      <c r="AM73" s="368"/>
      <c r="AN73" s="368"/>
      <c r="AO73" s="368"/>
      <c r="AP73" s="368"/>
      <c r="AQ73" s="368"/>
      <c r="AR73" s="368"/>
      <c r="AS73" s="368"/>
      <c r="AT73" s="368"/>
      <c r="AU73" s="368"/>
      <c r="AV73" s="368"/>
      <c r="AW73" s="368"/>
      <c r="AX73" s="368"/>
      <c r="AY73" s="368"/>
      <c r="AZ73" s="368"/>
      <c r="BA73" s="368"/>
      <c r="BB73" s="369"/>
      <c r="BC73" s="369"/>
      <c r="BD73" s="370"/>
      <c r="BE73" s="370"/>
      <c r="BF73" s="370"/>
    </row>
    <row r="74" spans="28:58" s="37" customFormat="1" ht="15.65" x14ac:dyDescent="0.2">
      <c r="AB74" s="366"/>
      <c r="AC74" s="368"/>
      <c r="AD74" s="368"/>
      <c r="AE74" s="368"/>
      <c r="AF74" s="368"/>
      <c r="AG74" s="368"/>
      <c r="AH74" s="368"/>
      <c r="AI74" s="368"/>
      <c r="AJ74" s="368"/>
      <c r="AK74" s="368"/>
      <c r="AL74" s="368"/>
      <c r="AM74" s="368"/>
      <c r="AN74" s="368"/>
      <c r="AO74" s="368"/>
      <c r="AP74" s="368"/>
      <c r="AQ74" s="368"/>
      <c r="AR74" s="368"/>
      <c r="AS74" s="368"/>
      <c r="AT74" s="368"/>
      <c r="AU74" s="368"/>
      <c r="AV74" s="368"/>
      <c r="AW74" s="368"/>
      <c r="AX74" s="368"/>
      <c r="AY74" s="368"/>
      <c r="AZ74" s="368"/>
      <c r="BA74" s="368"/>
      <c r="BB74" s="369"/>
      <c r="BC74" s="369"/>
      <c r="BD74" s="370"/>
      <c r="BE74" s="370"/>
      <c r="BF74" s="370"/>
    </row>
  </sheetData>
  <dataConsolidate function="count">
    <dataRefs count="4">
      <dataRef ref="B1:B1048576" sheet="2021"/>
      <dataRef ref="B1:B1048576" sheet="2022"/>
      <dataRef ref="B1:B1048576" sheet="2023"/>
      <dataRef ref="B1:B1048576" sheet="2024"/>
    </dataRefs>
  </dataConsolidate>
  <mergeCells count="1">
    <mergeCell ref="A1:C1"/>
  </mergeCells>
  <conditionalFormatting sqref="C3:C25">
    <cfRule type="colorScale" priority="1">
      <colorScale>
        <cfvo type="min"/>
        <cfvo type="percentile" val="50"/>
        <cfvo type="max"/>
        <color rgb="FF63BE7B"/>
        <color rgb="FFFFEB84"/>
        <color rgb="FFF8696B"/>
      </colorScale>
    </cfRule>
  </conditionalFormatting>
  <pageMargins left="0.59055118110236227" right="0" top="0" bottom="0" header="0.31496062992125984" footer="0.31496062992125984"/>
  <pageSetup paperSize="9" scale="85"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22"/>
  <sheetViews>
    <sheetView zoomScale="70" zoomScaleNormal="70" workbookViewId="0">
      <pane xSplit="18" ySplit="2" topLeftCell="S66" activePane="bottomRight" state="frozen"/>
      <selection pane="topRight" activeCell="S1" sqref="S1"/>
      <selection pane="bottomLeft" activeCell="A3" sqref="A3"/>
      <selection pane="bottomRight" activeCell="J2" sqref="J2:R2"/>
    </sheetView>
  </sheetViews>
  <sheetFormatPr baseColWidth="10" defaultColWidth="9.375" defaultRowHeight="15.65" x14ac:dyDescent="0.2"/>
  <cols>
    <col min="1" max="1" width="6.25" style="37" bestFit="1" customWidth="1"/>
    <col min="2" max="2" width="8.25" style="37" bestFit="1" customWidth="1"/>
    <col min="3" max="3" width="11.875" style="37" bestFit="1" customWidth="1"/>
    <col min="4" max="4" width="10.75" style="37" customWidth="1"/>
    <col min="5" max="5" width="9.125" style="37" bestFit="1" customWidth="1"/>
    <col min="6" max="6" width="8" style="37" bestFit="1" customWidth="1"/>
    <col min="7" max="7" width="7.875" style="37" bestFit="1" customWidth="1"/>
    <col min="8" max="8" width="7.25" style="37" bestFit="1" customWidth="1"/>
    <col min="9" max="9" width="10.5" style="37" bestFit="1" customWidth="1"/>
    <col min="10" max="10" width="13" style="37" bestFit="1" customWidth="1"/>
    <col min="11" max="11" width="10.875" style="37" bestFit="1" customWidth="1"/>
    <col min="12" max="12" width="13.5" style="37" bestFit="1" customWidth="1"/>
    <col min="13" max="13" width="12.5" style="37" bestFit="1" customWidth="1"/>
    <col min="14" max="14" width="12.625" style="37" bestFit="1" customWidth="1"/>
    <col min="15" max="15" width="14.125" style="37" bestFit="1" customWidth="1"/>
    <col min="16" max="17" width="8.625" style="37" customWidth="1"/>
    <col min="18" max="18" width="14.875" style="37" customWidth="1"/>
    <col min="19" max="19" width="17.125" style="37" customWidth="1"/>
    <col min="20" max="20" width="10.25" style="37" bestFit="1" customWidth="1"/>
    <col min="21" max="21" width="14.125" style="37" bestFit="1" customWidth="1"/>
    <col min="22" max="22" width="6.875" style="37" bestFit="1" customWidth="1"/>
    <col min="23" max="23" width="8" style="37" bestFit="1" customWidth="1"/>
    <col min="24" max="24" width="7.875" style="37" bestFit="1" customWidth="1"/>
    <col min="25" max="25" width="7.25" style="37" bestFit="1" customWidth="1"/>
    <col min="26" max="26" width="14.125" style="37" bestFit="1" customWidth="1"/>
    <col min="27" max="27" width="13.125" style="37" bestFit="1" customWidth="1"/>
    <col min="28" max="28" width="14.125" style="366" bestFit="1" customWidth="1"/>
    <col min="29" max="53" width="9.125" style="368" customWidth="1"/>
    <col min="54" max="55" width="9.125" style="369" customWidth="1"/>
    <col min="56" max="56" width="9.125" style="370" customWidth="1"/>
    <col min="57" max="58" width="9.375" style="370"/>
    <col min="59" max="16384" width="9.375" style="37"/>
  </cols>
  <sheetData>
    <row r="1" spans="1:61" s="526" customFormat="1" ht="23.1" customHeight="1" x14ac:dyDescent="0.2">
      <c r="A1" s="539" t="s">
        <v>2159</v>
      </c>
      <c r="B1" s="540"/>
      <c r="C1" s="540"/>
      <c r="D1" s="540"/>
      <c r="E1" s="540"/>
      <c r="F1" s="540"/>
      <c r="G1" s="540"/>
      <c r="H1" s="540"/>
      <c r="I1" s="540"/>
      <c r="J1" s="540"/>
      <c r="K1" s="540"/>
      <c r="L1" s="540"/>
      <c r="M1" s="540"/>
      <c r="N1" s="540"/>
      <c r="O1" s="540"/>
      <c r="P1" s="540"/>
      <c r="Q1" s="540"/>
      <c r="R1" s="541"/>
      <c r="Z1" s="526" t="str">
        <f>"TOTAL DE EMERGENCIAS POR MES DE 
"&amp;J2&amp;" (2021-2025)"</f>
        <v>TOTAL DE EMERGENCIAS POR MES DE 
INCENDIO FORESTAL (2021-2025)</v>
      </c>
      <c r="AA1" s="526" t="str">
        <f>"VARIACIÓN ANUAL DE 
"&amp;J2&amp;" (2021-2025)"</f>
        <v>VARIACIÓN ANUAL DE 
INCENDIO FORESTAL (2021-2025)</v>
      </c>
      <c r="AB1" s="526" t="str">
        <f>"TOTAL DE "&amp;J2&amp;" POR AÑO (2021-2025)"</f>
        <v>TOTAL DE INCENDIO FORESTAL POR AÑO (2021-2025)</v>
      </c>
      <c r="AC1" s="442" t="s">
        <v>2158</v>
      </c>
      <c r="AD1" s="442" t="s">
        <v>2161</v>
      </c>
      <c r="AE1" s="442" t="s">
        <v>29</v>
      </c>
      <c r="AF1" s="442" t="s">
        <v>64</v>
      </c>
      <c r="AG1" s="442" t="s">
        <v>451</v>
      </c>
      <c r="AH1" s="442" t="s">
        <v>244</v>
      </c>
      <c r="AI1" s="442" t="s">
        <v>888</v>
      </c>
      <c r="AJ1" s="442" t="s">
        <v>656</v>
      </c>
      <c r="AK1" s="442" t="s">
        <v>2401</v>
      </c>
      <c r="AL1" s="442" t="s">
        <v>11</v>
      </c>
      <c r="AM1" s="442" t="s">
        <v>147</v>
      </c>
      <c r="AN1" s="442" t="s">
        <v>52</v>
      </c>
      <c r="AO1" s="442" t="s">
        <v>481</v>
      </c>
      <c r="AP1" s="442" t="s">
        <v>397</v>
      </c>
      <c r="AQ1" s="442" t="s">
        <v>324</v>
      </c>
      <c r="AR1" s="442" t="s">
        <v>2162</v>
      </c>
      <c r="AS1" s="442" t="s">
        <v>2163</v>
      </c>
      <c r="AT1" s="442" t="s">
        <v>152</v>
      </c>
      <c r="AU1" s="442" t="s">
        <v>2164</v>
      </c>
      <c r="AV1" s="442" t="s">
        <v>137</v>
      </c>
      <c r="AW1" s="442" t="s">
        <v>312</v>
      </c>
      <c r="AX1" s="442" t="s">
        <v>163</v>
      </c>
      <c r="AY1" s="442" t="s">
        <v>188</v>
      </c>
      <c r="AZ1" s="442" t="s">
        <v>24</v>
      </c>
      <c r="BA1" s="528"/>
      <c r="BB1" s="442"/>
      <c r="BC1" s="442"/>
      <c r="BD1" s="442"/>
      <c r="BE1" s="442"/>
      <c r="BF1" s="442"/>
      <c r="BG1" s="529"/>
      <c r="BH1" s="529"/>
      <c r="BI1" s="529"/>
    </row>
    <row r="2" spans="1:61" ht="23.45" customHeight="1" x14ac:dyDescent="0.2">
      <c r="A2" s="551" t="s">
        <v>2160</v>
      </c>
      <c r="B2" s="552"/>
      <c r="C2" s="552"/>
      <c r="D2" s="552"/>
      <c r="E2" s="552"/>
      <c r="F2" s="552"/>
      <c r="G2" s="552"/>
      <c r="H2" s="552"/>
      <c r="I2" s="552"/>
      <c r="J2" s="542" t="s">
        <v>52</v>
      </c>
      <c r="K2" s="543"/>
      <c r="L2" s="543"/>
      <c r="M2" s="543"/>
      <c r="N2" s="543"/>
      <c r="O2" s="543"/>
      <c r="P2" s="543"/>
      <c r="Q2" s="543"/>
      <c r="R2" s="544"/>
      <c r="S2" s="527"/>
      <c r="Z2" s="526" t="str">
        <f>"TOTAL DE EMERGENCIAS POR MES DE 
"&amp;A87&amp;" HASTA ABRIL (2021-2026)"</f>
        <v>TOTAL DE EMERGENCIAS POR MES DE 
INCENDIO FORESTAL HASTA ABRIL (2021-2026)</v>
      </c>
      <c r="AA2" s="526" t="str">
        <f>"VARIACIÓN ANUAL DE 
"&amp;A87&amp;" HASTA ENERO (2021-2026)"</f>
        <v>VARIACIÓN ANUAL DE 
INCENDIO FORESTAL HASTA ENERO (2021-2026)</v>
      </c>
      <c r="AB2" s="526" t="str">
        <f>"TOTAL ANUAL DE "&amp;A87&amp;" 
HASTA ENERO (2021-2026)"</f>
        <v>TOTAL ANUAL DE INCENDIO FORESTAL 
HASTA ENERO (2021-2026)</v>
      </c>
    </row>
    <row r="3" spans="1:61" ht="15.3" customHeight="1" x14ac:dyDescent="0.2">
      <c r="A3" s="556" t="s">
        <v>2153</v>
      </c>
      <c r="B3" s="558" t="s">
        <v>4626</v>
      </c>
      <c r="C3" s="558"/>
      <c r="D3" s="558"/>
      <c r="E3" s="558"/>
      <c r="F3" s="558"/>
      <c r="G3" s="558"/>
      <c r="H3" s="558"/>
      <c r="I3" s="558"/>
      <c r="J3" s="558"/>
      <c r="K3" s="558"/>
      <c r="L3" s="558"/>
      <c r="M3" s="558"/>
      <c r="N3" s="558" t="s">
        <v>2152</v>
      </c>
      <c r="O3" s="545" t="s">
        <v>3954</v>
      </c>
      <c r="P3" s="545" t="s">
        <v>2165</v>
      </c>
      <c r="Q3" s="545" t="s">
        <v>2167</v>
      </c>
      <c r="R3" s="566" t="s">
        <v>2675</v>
      </c>
    </row>
    <row r="4" spans="1:61" ht="15.3" customHeight="1" thickBot="1" x14ac:dyDescent="0.25">
      <c r="A4" s="557"/>
      <c r="B4" s="160" t="s">
        <v>9</v>
      </c>
      <c r="C4" s="160" t="s">
        <v>130</v>
      </c>
      <c r="D4" s="160" t="s">
        <v>321</v>
      </c>
      <c r="E4" s="160" t="s">
        <v>403</v>
      </c>
      <c r="F4" s="160" t="s">
        <v>2145</v>
      </c>
      <c r="G4" s="160" t="s">
        <v>835</v>
      </c>
      <c r="H4" s="160" t="s">
        <v>2146</v>
      </c>
      <c r="I4" s="160" t="s">
        <v>2147</v>
      </c>
      <c r="J4" s="160" t="s">
        <v>2148</v>
      </c>
      <c r="K4" s="160" t="s">
        <v>2149</v>
      </c>
      <c r="L4" s="160" t="s">
        <v>2150</v>
      </c>
      <c r="M4" s="160" t="s">
        <v>2151</v>
      </c>
      <c r="N4" s="555"/>
      <c r="O4" s="555"/>
      <c r="P4" s="546"/>
      <c r="Q4" s="546"/>
      <c r="R4" s="567"/>
      <c r="S4"/>
      <c r="T4"/>
      <c r="U4"/>
      <c r="V4"/>
      <c r="W4"/>
      <c r="X4"/>
      <c r="Y4"/>
      <c r="Z4"/>
      <c r="AA4"/>
      <c r="AB4" s="367"/>
      <c r="AC4" s="371"/>
      <c r="AD4" s="371"/>
      <c r="AE4" s="371"/>
    </row>
    <row r="5" spans="1:61" ht="16.3" thickTop="1" x14ac:dyDescent="0.2">
      <c r="A5" s="467">
        <v>2021</v>
      </c>
      <c r="B5" s="468">
        <f>SUM('2021'!C4:C27)</f>
        <v>4</v>
      </c>
      <c r="C5" s="468">
        <f>SUM('2021'!C29:C65)</f>
        <v>4</v>
      </c>
      <c r="D5" s="468">
        <f>SUM('2021'!C67:C95)</f>
        <v>0</v>
      </c>
      <c r="E5" s="468">
        <f>SUM('2021'!C97:C114)</f>
        <v>0</v>
      </c>
      <c r="F5" s="468">
        <f>SUM('2021'!C116:C138)</f>
        <v>1</v>
      </c>
      <c r="G5" s="468">
        <f>SUM('2021'!C140:C158)</f>
        <v>1</v>
      </c>
      <c r="H5" s="468">
        <f>SUM('2021'!C160:C190)</f>
        <v>2</v>
      </c>
      <c r="I5" s="468">
        <f>SUM('2021'!C192:C236)</f>
        <v>0</v>
      </c>
      <c r="J5" s="468">
        <f>SUM('2021'!C238:C267)</f>
        <v>0</v>
      </c>
      <c r="K5" s="468">
        <f>SUM('2021'!C269:C294)</f>
        <v>0</v>
      </c>
      <c r="L5" s="468">
        <f>SUM('2021'!C296:C319)</f>
        <v>0</v>
      </c>
      <c r="M5" s="468">
        <f>SUM('2021'!C321:C330)</f>
        <v>0</v>
      </c>
      <c r="N5" s="469">
        <f>SUM(B5:M5)</f>
        <v>12</v>
      </c>
      <c r="O5" s="470">
        <f>N5/$N$11</f>
        <v>6.5934065934065936E-2</v>
      </c>
      <c r="P5" s="471">
        <f>AVERAGE(B5:M5)</f>
        <v>1</v>
      </c>
      <c r="Q5" s="547">
        <f>AVERAGE(N5:N9)</f>
        <v>36.4</v>
      </c>
      <c r="R5" s="472">
        <v>0</v>
      </c>
      <c r="S5"/>
      <c r="T5"/>
      <c r="U5"/>
      <c r="V5"/>
      <c r="W5"/>
      <c r="X5"/>
      <c r="Y5"/>
      <c r="Z5"/>
      <c r="AA5"/>
      <c r="AB5" s="367"/>
      <c r="AC5" s="371"/>
      <c r="AD5" s="371"/>
      <c r="AE5" s="371"/>
    </row>
    <row r="6" spans="1:61" x14ac:dyDescent="0.2">
      <c r="A6" s="455">
        <v>2022</v>
      </c>
      <c r="B6" s="38">
        <f>SUM('2022'!C4:C22)</f>
        <v>3</v>
      </c>
      <c r="C6" s="38">
        <f>SUM('2022'!C24:C54)</f>
        <v>3</v>
      </c>
      <c r="D6" s="38">
        <f>SUM('2022'!C56:C87)</f>
        <v>1</v>
      </c>
      <c r="E6" s="38">
        <f>SUM('2022'!C89:C128)</f>
        <v>0</v>
      </c>
      <c r="F6" s="38">
        <f>SUM('2022'!C130:C167)</f>
        <v>2</v>
      </c>
      <c r="G6" s="38">
        <f>SUM('2022'!C169:C210)</f>
        <v>0</v>
      </c>
      <c r="H6" s="38">
        <f>SUM('2022'!C212:C270)</f>
        <v>1</v>
      </c>
      <c r="I6" s="38">
        <f>SUM('2022'!C272:C324)</f>
        <v>3</v>
      </c>
      <c r="J6" s="38">
        <f>SUM('2022'!C326:C364)</f>
        <v>1</v>
      </c>
      <c r="K6" s="38">
        <f>SUM('2022'!C366:C408)</f>
        <v>2</v>
      </c>
      <c r="L6" s="38">
        <f>SUM('2022'!C410:C452)</f>
        <v>2</v>
      </c>
      <c r="M6" s="38">
        <f>SUM('2022'!C454:C484)</f>
        <v>4</v>
      </c>
      <c r="N6" s="39">
        <f>SUM(B6:M6)</f>
        <v>22</v>
      </c>
      <c r="O6" s="43">
        <f>N6/$N$11</f>
        <v>0.12087912087912088</v>
      </c>
      <c r="P6" s="454">
        <f>AVERAGE(B6:M6)</f>
        <v>1.8333333333333333</v>
      </c>
      <c r="Q6" s="548"/>
      <c r="R6" s="169">
        <f>IF(N5=0,IF(N6=0,"0%","100%"),(N6-N5)/N5)</f>
        <v>0.83333333333333337</v>
      </c>
      <c r="S6"/>
      <c r="T6"/>
      <c r="U6"/>
      <c r="V6"/>
      <c r="W6"/>
      <c r="X6"/>
      <c r="Y6"/>
      <c r="Z6"/>
      <c r="AA6"/>
      <c r="AB6" s="367"/>
      <c r="AC6" s="371"/>
      <c r="AD6" s="371"/>
      <c r="AE6" s="371"/>
    </row>
    <row r="7" spans="1:61" x14ac:dyDescent="0.2">
      <c r="A7" s="455">
        <v>2023</v>
      </c>
      <c r="B7" s="38">
        <f>SUM('2023'!C4:C38)</f>
        <v>6</v>
      </c>
      <c r="C7" s="38">
        <f>SUM('2023'!C40:C99)</f>
        <v>4</v>
      </c>
      <c r="D7" s="38">
        <f>SUM('2023'!C101:C133)</f>
        <v>1</v>
      </c>
      <c r="E7" s="38">
        <f>SUM('2023'!C135:C177)</f>
        <v>1</v>
      </c>
      <c r="F7" s="38">
        <f>SUM('2023'!C179:C202)</f>
        <v>1</v>
      </c>
      <c r="G7" s="38">
        <f>SUM('2023'!C204:C225)</f>
        <v>6</v>
      </c>
      <c r="H7" s="38">
        <f>SUM('2023'!C227:C255)</f>
        <v>8</v>
      </c>
      <c r="I7" s="38">
        <f>SUM('2023'!C257:C274)</f>
        <v>8</v>
      </c>
      <c r="J7" s="38">
        <f>SUM('2023'!C285:C328)</f>
        <v>14</v>
      </c>
      <c r="K7" s="38">
        <f>SUM('2023'!C330:C349)</f>
        <v>1</v>
      </c>
      <c r="L7" s="38">
        <f>SUM('2023'!C351:C381)</f>
        <v>3</v>
      </c>
      <c r="M7" s="38">
        <f>SUM('2023'!C383:C403)</f>
        <v>9</v>
      </c>
      <c r="N7" s="39">
        <f>SUM(B7:M7)</f>
        <v>62</v>
      </c>
      <c r="O7" s="43">
        <f>N7/$N$11</f>
        <v>0.34065934065934067</v>
      </c>
      <c r="P7" s="454">
        <f>AVERAGE(B7:M7)</f>
        <v>5.166666666666667</v>
      </c>
      <c r="Q7" s="548"/>
      <c r="R7" s="169">
        <f t="shared" ref="R7:R9" si="0">IF(N6=0,IF(N7=0,"0%","100%"),(N7-N6)/N6)</f>
        <v>1.8181818181818181</v>
      </c>
      <c r="S7"/>
      <c r="T7"/>
      <c r="U7"/>
      <c r="V7"/>
      <c r="W7"/>
      <c r="X7"/>
      <c r="Y7"/>
      <c r="Z7"/>
      <c r="AA7"/>
      <c r="AB7" s="367"/>
      <c r="AC7" s="371"/>
      <c r="AD7" s="371"/>
      <c r="AE7" s="371"/>
    </row>
    <row r="8" spans="1:61" x14ac:dyDescent="0.2">
      <c r="A8" s="514">
        <v>2024</v>
      </c>
      <c r="B8" s="38">
        <f>SUM('2024'!C4:C12)</f>
        <v>15</v>
      </c>
      <c r="C8" s="38">
        <f>SUM('2024'!C51:C105)</f>
        <v>6</v>
      </c>
      <c r="D8" s="38">
        <f>SUM('2024'!C107:C166)</f>
        <v>11</v>
      </c>
      <c r="E8" s="38">
        <f>SUM('2024'!C168:C207)</f>
        <v>3</v>
      </c>
      <c r="F8" s="38">
        <f>SUM('2024'!C209:C212)</f>
        <v>0</v>
      </c>
      <c r="G8" s="38">
        <f>SUM('2024'!C239:C263)</f>
        <v>0</v>
      </c>
      <c r="H8" s="38">
        <f>SUM('2024'!C265:C290)</f>
        <v>2</v>
      </c>
      <c r="I8" s="38">
        <f>SUM('2024'!C292:C324)</f>
        <v>7</v>
      </c>
      <c r="J8" s="38">
        <f>SUM('2024'!C326:C342)</f>
        <v>4</v>
      </c>
      <c r="K8" s="38">
        <f>SUM('2024'!C344:C370)</f>
        <v>0</v>
      </c>
      <c r="L8" s="38">
        <f>SUM('2024'!C372:C390)</f>
        <v>1</v>
      </c>
      <c r="M8" s="38">
        <f>SUM('2024'!C392:C412)</f>
        <v>6</v>
      </c>
      <c r="N8" s="516">
        <f>SUM(B8:M8)</f>
        <v>55</v>
      </c>
      <c r="O8" s="43">
        <f>N8/$N$11</f>
        <v>0.30219780219780218</v>
      </c>
      <c r="P8" s="513">
        <f>AVERAGE(B8:M8)</f>
        <v>4.583333333333333</v>
      </c>
      <c r="Q8" s="548"/>
      <c r="R8" s="169">
        <f t="shared" si="0"/>
        <v>-0.11290322580645161</v>
      </c>
      <c r="S8"/>
      <c r="T8"/>
      <c r="U8"/>
      <c r="V8"/>
      <c r="W8"/>
      <c r="X8"/>
      <c r="Y8"/>
      <c r="Z8"/>
      <c r="AA8"/>
      <c r="AB8" s="367"/>
      <c r="AC8" s="371"/>
      <c r="AD8" s="371"/>
      <c r="AE8" s="371"/>
    </row>
    <row r="9" spans="1:61" x14ac:dyDescent="0.2">
      <c r="A9" s="514">
        <v>2025</v>
      </c>
      <c r="B9" s="38">
        <f>SUM('2025'!C4:C32)</f>
        <v>7</v>
      </c>
      <c r="C9" s="38">
        <f>SUM('2025'!C34:C55)</f>
        <v>0</v>
      </c>
      <c r="D9" s="38">
        <f>SUM('2025'!C57:C75)</f>
        <v>1</v>
      </c>
      <c r="E9" s="38">
        <f>SUM('2025'!C77:C103)</f>
        <v>2</v>
      </c>
      <c r="F9" s="38">
        <f>SUM('2025'!C105:C127)</f>
        <v>1</v>
      </c>
      <c r="G9" s="38">
        <f>SUM('2025'!C129:C142)</f>
        <v>0</v>
      </c>
      <c r="H9" s="38">
        <f>SUM('2025'!C144:C169)</f>
        <v>5</v>
      </c>
      <c r="I9" s="38">
        <f>SUM('2025'!C171:C182)</f>
        <v>6</v>
      </c>
      <c r="J9" s="38">
        <f>SUM('2025'!C184:C204)</f>
        <v>5</v>
      </c>
      <c r="K9" s="38">
        <f>SUM('2025'!C206:C223)</f>
        <v>1</v>
      </c>
      <c r="L9" s="38">
        <f>SUM('2025'!C225:C238)</f>
        <v>0</v>
      </c>
      <c r="M9" s="38">
        <f>SUM('2025'!C240:C250)</f>
        <v>3</v>
      </c>
      <c r="N9" s="516">
        <f>SUM(B9:M9)</f>
        <v>31</v>
      </c>
      <c r="O9" s="43">
        <f>N9/$N$11</f>
        <v>0.17032967032967034</v>
      </c>
      <c r="P9" s="513">
        <f>AVERAGE(B9:M9)</f>
        <v>2.5833333333333335</v>
      </c>
      <c r="Q9" s="549"/>
      <c r="R9" s="169">
        <f t="shared" si="0"/>
        <v>-0.43636363636363634</v>
      </c>
      <c r="S9"/>
      <c r="T9"/>
      <c r="U9"/>
      <c r="V9"/>
      <c r="W9"/>
      <c r="X9"/>
      <c r="Y9"/>
      <c r="Z9"/>
      <c r="AA9"/>
      <c r="AB9" s="367"/>
      <c r="AC9" s="371"/>
      <c r="AD9" s="371"/>
      <c r="AE9" s="371"/>
    </row>
    <row r="10" spans="1:61" hidden="1" x14ac:dyDescent="0.2">
      <c r="A10" s="460">
        <v>2026</v>
      </c>
      <c r="B10" s="461">
        <f>SUM('2026'!C4:C18)</f>
        <v>2</v>
      </c>
      <c r="C10" s="461">
        <f>SUM('2026'!C20:C53)</f>
        <v>3</v>
      </c>
      <c r="D10" s="461">
        <f>SUM('2026'!C55:C78)</f>
        <v>8</v>
      </c>
      <c r="E10" s="461">
        <f>SUM('2026'!C80:C101)</f>
        <v>2</v>
      </c>
      <c r="F10" s="461">
        <f>SUM('2026'!C103:C127)</f>
        <v>1</v>
      </c>
      <c r="G10" s="461">
        <f>SUM('2026'!C129:C151)</f>
        <v>2</v>
      </c>
      <c r="H10" s="461">
        <f>SUM('2026'!C153:C171)</f>
        <v>8</v>
      </c>
      <c r="I10" s="461">
        <f>SUM('2026'!C173:C527)</f>
        <v>7</v>
      </c>
      <c r="J10" s="461"/>
      <c r="K10" s="461"/>
      <c r="L10" s="461"/>
      <c r="M10" s="461"/>
      <c r="N10" s="462"/>
      <c r="O10" s="463"/>
      <c r="P10" s="464"/>
      <c r="Q10" s="549"/>
      <c r="R10" s="465"/>
      <c r="S10"/>
      <c r="T10"/>
      <c r="U10"/>
      <c r="V10"/>
      <c r="W10"/>
      <c r="X10"/>
      <c r="Y10"/>
      <c r="Z10"/>
      <c r="AA10"/>
      <c r="AB10" s="367"/>
      <c r="AC10" s="371"/>
      <c r="AD10" s="371"/>
      <c r="AE10" s="371"/>
    </row>
    <row r="11" spans="1:61" ht="16.3" thickBot="1" x14ac:dyDescent="0.25">
      <c r="A11" s="553" t="s">
        <v>2166</v>
      </c>
      <c r="B11" s="554"/>
      <c r="C11" s="554"/>
      <c r="D11" s="554"/>
      <c r="E11" s="554"/>
      <c r="F11" s="554"/>
      <c r="G11" s="554"/>
      <c r="H11" s="554"/>
      <c r="I11" s="554"/>
      <c r="J11" s="554"/>
      <c r="K11" s="554"/>
      <c r="L11" s="554"/>
      <c r="M11" s="554"/>
      <c r="N11" s="161">
        <f>SUM(N5:N9)</f>
        <v>182</v>
      </c>
      <c r="O11" s="170">
        <f>SUM(O5:O9)</f>
        <v>1</v>
      </c>
      <c r="P11" s="171"/>
      <c r="Q11" s="550"/>
      <c r="R11" s="172"/>
    </row>
    <row r="16" spans="1:61" x14ac:dyDescent="0.2">
      <c r="Y16" s="168"/>
    </row>
    <row r="39" spans="25:25" x14ac:dyDescent="0.2">
      <c r="Y39" s="168"/>
    </row>
    <row r="86" spans="1:20" ht="41.45" customHeight="1" x14ac:dyDescent="0.2">
      <c r="A86" s="559" t="s">
        <v>4625</v>
      </c>
      <c r="B86" s="560"/>
      <c r="C86" s="560"/>
      <c r="D86" s="560"/>
      <c r="E86" s="560"/>
      <c r="F86" s="560"/>
      <c r="G86" s="560"/>
      <c r="H86" s="560"/>
      <c r="I86" s="560"/>
      <c r="J86" s="560"/>
      <c r="K86" s="560"/>
      <c r="L86" s="560"/>
      <c r="M86" s="560"/>
      <c r="N86" s="560"/>
      <c r="O86" s="560"/>
      <c r="P86" s="560"/>
      <c r="Q86" s="560"/>
      <c r="R86" s="560"/>
    </row>
    <row r="87" spans="1:20" ht="19.399999999999999" customHeight="1" x14ac:dyDescent="0.2">
      <c r="A87" s="561" t="str">
        <f>J2</f>
        <v>INCENDIO FORESTAL</v>
      </c>
      <c r="B87" s="562"/>
      <c r="C87" s="562"/>
      <c r="D87" s="562"/>
      <c r="E87" s="562"/>
      <c r="F87" s="562"/>
      <c r="G87" s="562"/>
      <c r="H87" s="562"/>
      <c r="I87" s="562"/>
      <c r="J87" s="562"/>
      <c r="K87" s="562"/>
      <c r="L87" s="562"/>
      <c r="M87" s="562"/>
      <c r="N87" s="562"/>
      <c r="O87" s="562"/>
      <c r="P87" s="562"/>
      <c r="Q87" s="562"/>
      <c r="R87" s="562"/>
    </row>
    <row r="88" spans="1:20" ht="33.299999999999997" customHeight="1" thickBot="1" x14ac:dyDescent="0.25">
      <c r="A88" s="41" t="s">
        <v>2153</v>
      </c>
      <c r="B88" s="160" t="s">
        <v>9</v>
      </c>
      <c r="C88" s="160" t="s">
        <v>130</v>
      </c>
      <c r="D88" s="160" t="s">
        <v>321</v>
      </c>
      <c r="E88" s="160" t="s">
        <v>403</v>
      </c>
      <c r="F88" s="160" t="s">
        <v>2145</v>
      </c>
      <c r="G88" s="160" t="s">
        <v>835</v>
      </c>
      <c r="H88" s="160" t="s">
        <v>2146</v>
      </c>
      <c r="I88" s="506" t="s">
        <v>2147</v>
      </c>
      <c r="J88" s="506" t="s">
        <v>2148</v>
      </c>
      <c r="K88" s="506" t="s">
        <v>2149</v>
      </c>
      <c r="L88" s="506" t="s">
        <v>2150</v>
      </c>
      <c r="M88" s="506" t="s">
        <v>2151</v>
      </c>
      <c r="N88" s="506" t="s">
        <v>2152</v>
      </c>
      <c r="O88" s="505" t="s">
        <v>3954</v>
      </c>
      <c r="P88" s="505" t="s">
        <v>2168</v>
      </c>
      <c r="Q88" s="507" t="s">
        <v>2169</v>
      </c>
      <c r="R88" s="507" t="s">
        <v>2675</v>
      </c>
    </row>
    <row r="89" spans="1:20" ht="16.3" thickTop="1" x14ac:dyDescent="0.2">
      <c r="A89" s="448">
        <v>2021</v>
      </c>
      <c r="B89" s="449">
        <f>B5</f>
        <v>4</v>
      </c>
      <c r="C89" s="449">
        <f>C5</f>
        <v>4</v>
      </c>
      <c r="D89" s="449">
        <f>D5</f>
        <v>0</v>
      </c>
      <c r="E89" s="449">
        <f>E5</f>
        <v>0</v>
      </c>
      <c r="F89" s="449">
        <f t="shared" ref="F89:H89" si="1">F5</f>
        <v>1</v>
      </c>
      <c r="G89" s="449">
        <f t="shared" si="1"/>
        <v>1</v>
      </c>
      <c r="H89" s="449">
        <f t="shared" si="1"/>
        <v>2</v>
      </c>
      <c r="I89" s="449">
        <f t="shared" ref="I89" si="2">I5</f>
        <v>0</v>
      </c>
      <c r="J89" s="449"/>
      <c r="K89" s="449"/>
      <c r="L89" s="449"/>
      <c r="M89" s="449"/>
      <c r="N89" s="450">
        <f t="shared" ref="N89:N94" si="3">SUM(B89:M89)</f>
        <v>12</v>
      </c>
      <c r="O89" s="451">
        <f t="shared" ref="O89:O91" si="4">N89/$N$95</f>
        <v>7.5471698113207544E-2</v>
      </c>
      <c r="P89" s="452">
        <f t="shared" ref="P89:P94" si="5">AVERAGE(B89:M89)</f>
        <v>1.5</v>
      </c>
      <c r="Q89" s="568">
        <f>AVERAGE(N89:N94)</f>
        <v>26.5</v>
      </c>
      <c r="R89" s="466">
        <v>0</v>
      </c>
    </row>
    <row r="90" spans="1:20" x14ac:dyDescent="0.2">
      <c r="A90" s="514">
        <v>2022</v>
      </c>
      <c r="B90" s="38">
        <f t="shared" ref="B90:C92" si="6">B6</f>
        <v>3</v>
      </c>
      <c r="C90" s="38">
        <f t="shared" si="6"/>
        <v>3</v>
      </c>
      <c r="D90" s="38">
        <f t="shared" ref="D90:E90" si="7">D6</f>
        <v>1</v>
      </c>
      <c r="E90" s="38">
        <f t="shared" si="7"/>
        <v>0</v>
      </c>
      <c r="F90" s="38">
        <f t="shared" ref="F90:H90" si="8">F6</f>
        <v>2</v>
      </c>
      <c r="G90" s="38">
        <f t="shared" si="8"/>
        <v>0</v>
      </c>
      <c r="H90" s="38">
        <f t="shared" si="8"/>
        <v>1</v>
      </c>
      <c r="I90" s="38">
        <f t="shared" ref="I90" si="9">I6</f>
        <v>3</v>
      </c>
      <c r="J90" s="38"/>
      <c r="K90" s="38"/>
      <c r="L90" s="38"/>
      <c r="M90" s="38"/>
      <c r="N90" s="39">
        <f t="shared" si="3"/>
        <v>13</v>
      </c>
      <c r="O90" s="177">
        <f t="shared" si="4"/>
        <v>8.1761006289308172E-2</v>
      </c>
      <c r="P90" s="513">
        <f t="shared" si="5"/>
        <v>1.625</v>
      </c>
      <c r="Q90" s="569"/>
      <c r="R90" s="169">
        <f>IF(N89=0,IF(N90=0,"0%","100%"),(N90-N89)/N89)</f>
        <v>8.3333333333333329E-2</v>
      </c>
      <c r="T90" s="173"/>
    </row>
    <row r="91" spans="1:20" x14ac:dyDescent="0.2">
      <c r="A91" s="514">
        <v>2023</v>
      </c>
      <c r="B91" s="38">
        <f t="shared" si="6"/>
        <v>6</v>
      </c>
      <c r="C91" s="38">
        <f t="shared" si="6"/>
        <v>4</v>
      </c>
      <c r="D91" s="38">
        <f t="shared" ref="D91:E91" si="10">D7</f>
        <v>1</v>
      </c>
      <c r="E91" s="38">
        <f t="shared" si="10"/>
        <v>1</v>
      </c>
      <c r="F91" s="38">
        <f t="shared" ref="F91:H91" si="11">F7</f>
        <v>1</v>
      </c>
      <c r="G91" s="38">
        <f t="shared" si="11"/>
        <v>6</v>
      </c>
      <c r="H91" s="38">
        <f t="shared" si="11"/>
        <v>8</v>
      </c>
      <c r="I91" s="38">
        <f t="shared" ref="I91" si="12">I7</f>
        <v>8</v>
      </c>
      <c r="J91" s="38"/>
      <c r="K91" s="38"/>
      <c r="L91" s="38"/>
      <c r="M91" s="38"/>
      <c r="N91" s="39">
        <f t="shared" si="3"/>
        <v>35</v>
      </c>
      <c r="O91" s="177">
        <f t="shared" si="4"/>
        <v>0.22012578616352202</v>
      </c>
      <c r="P91" s="513">
        <f t="shared" si="5"/>
        <v>4.375</v>
      </c>
      <c r="Q91" s="569"/>
      <c r="R91" s="169">
        <f>IF(N90=0,IF(N91=0,"0%","100%"),(N91-N90)/N90)</f>
        <v>1.6923076923076923</v>
      </c>
    </row>
    <row r="92" spans="1:20" x14ac:dyDescent="0.2">
      <c r="A92" s="514">
        <v>2024</v>
      </c>
      <c r="B92" s="38">
        <f t="shared" si="6"/>
        <v>15</v>
      </c>
      <c r="C92" s="38">
        <f t="shared" si="6"/>
        <v>6</v>
      </c>
      <c r="D92" s="38">
        <f t="shared" ref="D92:E92" si="13">D8</f>
        <v>11</v>
      </c>
      <c r="E92" s="38">
        <f t="shared" si="13"/>
        <v>3</v>
      </c>
      <c r="F92" s="38">
        <f t="shared" ref="F92:H92" si="14">F8</f>
        <v>0</v>
      </c>
      <c r="G92" s="38">
        <f t="shared" si="14"/>
        <v>0</v>
      </c>
      <c r="H92" s="38">
        <f t="shared" si="14"/>
        <v>2</v>
      </c>
      <c r="I92" s="38">
        <f t="shared" ref="I92" si="15">I8</f>
        <v>7</v>
      </c>
      <c r="J92" s="38"/>
      <c r="K92" s="38"/>
      <c r="L92" s="38"/>
      <c r="M92" s="38"/>
      <c r="N92" s="39">
        <f t="shared" si="3"/>
        <v>44</v>
      </c>
      <c r="O92" s="177">
        <f>N92/$N$95</f>
        <v>0.27672955974842767</v>
      </c>
      <c r="P92" s="513">
        <f t="shared" si="5"/>
        <v>5.5</v>
      </c>
      <c r="Q92" s="569"/>
      <c r="R92" s="169">
        <f>IF(N91=0,IF(N92=0,"0%","100%"),(N92-N91)/N91)</f>
        <v>0.25714285714285712</v>
      </c>
    </row>
    <row r="93" spans="1:20" x14ac:dyDescent="0.2">
      <c r="A93" s="521">
        <v>2025</v>
      </c>
      <c r="B93" s="468">
        <f t="shared" ref="B93:D94" si="16">B9</f>
        <v>7</v>
      </c>
      <c r="C93" s="468">
        <f t="shared" si="16"/>
        <v>0</v>
      </c>
      <c r="D93" s="468">
        <f t="shared" si="16"/>
        <v>1</v>
      </c>
      <c r="E93" s="468">
        <f t="shared" ref="E93:H93" si="17">E9</f>
        <v>2</v>
      </c>
      <c r="F93" s="468">
        <f t="shared" si="17"/>
        <v>1</v>
      </c>
      <c r="G93" s="468">
        <f t="shared" si="17"/>
        <v>0</v>
      </c>
      <c r="H93" s="468">
        <f t="shared" si="17"/>
        <v>5</v>
      </c>
      <c r="I93" s="468">
        <f t="shared" ref="I93" si="18">I9</f>
        <v>6</v>
      </c>
      <c r="J93" s="468"/>
      <c r="K93" s="468"/>
      <c r="L93" s="468"/>
      <c r="M93" s="468"/>
      <c r="N93" s="39">
        <f t="shared" si="3"/>
        <v>22</v>
      </c>
      <c r="O93" s="177">
        <f>N93/$N$95</f>
        <v>0.13836477987421383</v>
      </c>
      <c r="P93" s="513">
        <f t="shared" si="5"/>
        <v>2.75</v>
      </c>
      <c r="Q93" s="569"/>
      <c r="R93" s="169">
        <f>IF(N92=0,IF(N93=0,"0%","100%"),(N93-N92)/N92)</f>
        <v>-0.5</v>
      </c>
    </row>
    <row r="94" spans="1:20" ht="16.3" thickBot="1" x14ac:dyDescent="0.25">
      <c r="A94" s="453">
        <v>2026</v>
      </c>
      <c r="B94" s="447">
        <f t="shared" si="16"/>
        <v>2</v>
      </c>
      <c r="C94" s="447">
        <f t="shared" si="16"/>
        <v>3</v>
      </c>
      <c r="D94" s="447">
        <f t="shared" si="16"/>
        <v>8</v>
      </c>
      <c r="E94" s="447">
        <f t="shared" ref="E94:H94" si="19">E10</f>
        <v>2</v>
      </c>
      <c r="F94" s="447">
        <f t="shared" si="19"/>
        <v>1</v>
      </c>
      <c r="G94" s="447">
        <f t="shared" si="19"/>
        <v>2</v>
      </c>
      <c r="H94" s="447">
        <f t="shared" si="19"/>
        <v>8</v>
      </c>
      <c r="I94" s="447">
        <f t="shared" ref="I94" si="20">I10</f>
        <v>7</v>
      </c>
      <c r="J94" s="447"/>
      <c r="K94" s="447"/>
      <c r="L94" s="447"/>
      <c r="M94" s="447"/>
      <c r="N94" s="517">
        <f t="shared" si="3"/>
        <v>33</v>
      </c>
      <c r="O94" s="518">
        <f>N94/$N$95</f>
        <v>0.20754716981132076</v>
      </c>
      <c r="P94" s="519">
        <f t="shared" si="5"/>
        <v>4.125</v>
      </c>
      <c r="Q94" s="569"/>
      <c r="R94" s="520">
        <f>IF(N93=0,IF(N94=0,"0%","100%"),(N94-N93)/N93)</f>
        <v>0.5</v>
      </c>
    </row>
    <row r="95" spans="1:20" ht="17" thickTop="1" thickBot="1" x14ac:dyDescent="0.25">
      <c r="A95" s="563" t="s">
        <v>2166</v>
      </c>
      <c r="B95" s="564"/>
      <c r="C95" s="564"/>
      <c r="D95" s="564"/>
      <c r="E95" s="564"/>
      <c r="F95" s="564"/>
      <c r="G95" s="564"/>
      <c r="H95" s="564"/>
      <c r="I95" s="564"/>
      <c r="J95" s="564"/>
      <c r="K95" s="564"/>
      <c r="L95" s="564"/>
      <c r="M95" s="565"/>
      <c r="N95" s="40">
        <f>SUM(N89:N94)</f>
        <v>159</v>
      </c>
      <c r="O95" s="174">
        <f>SUM(O89:O94)</f>
        <v>1</v>
      </c>
      <c r="P95" s="175"/>
      <c r="Q95" s="360"/>
      <c r="R95" s="176"/>
    </row>
    <row r="104" ht="30.9" customHeight="1" x14ac:dyDescent="0.2"/>
    <row r="122" spans="25:25" x14ac:dyDescent="0.2">
      <c r="Y122" s="168"/>
    </row>
  </sheetData>
  <mergeCells count="16">
    <mergeCell ref="A86:R86"/>
    <mergeCell ref="A87:R87"/>
    <mergeCell ref="A95:M95"/>
    <mergeCell ref="R3:R4"/>
    <mergeCell ref="Q89:Q94"/>
    <mergeCell ref="A1:R1"/>
    <mergeCell ref="J2:R2"/>
    <mergeCell ref="Q3:Q4"/>
    <mergeCell ref="Q5:Q11"/>
    <mergeCell ref="A2:I2"/>
    <mergeCell ref="P3:P4"/>
    <mergeCell ref="A11:M11"/>
    <mergeCell ref="O3:O4"/>
    <mergeCell ref="A3:A4"/>
    <mergeCell ref="B3:M3"/>
    <mergeCell ref="N3:N4"/>
  </mergeCells>
  <phoneticPr fontId="14" type="noConversion"/>
  <conditionalFormatting sqref="B5:M5">
    <cfRule type="colorScale" priority="12">
      <colorScale>
        <cfvo type="min"/>
        <cfvo type="max"/>
        <color rgb="FFFCFCFF"/>
        <color rgb="FFF8696B"/>
      </colorScale>
    </cfRule>
  </conditionalFormatting>
  <conditionalFormatting sqref="B6:M6">
    <cfRule type="colorScale" priority="10">
      <colorScale>
        <cfvo type="min"/>
        <cfvo type="max"/>
        <color rgb="FFFCFCFF"/>
        <color rgb="FFF8696B"/>
      </colorScale>
    </cfRule>
  </conditionalFormatting>
  <conditionalFormatting sqref="B7:M7">
    <cfRule type="colorScale" priority="8">
      <colorScale>
        <cfvo type="min"/>
        <cfvo type="max"/>
        <color rgb="FFFCFCFF"/>
        <color rgb="FFF8696B"/>
      </colorScale>
    </cfRule>
  </conditionalFormatting>
  <conditionalFormatting sqref="B8:M8">
    <cfRule type="colorScale" priority="6">
      <colorScale>
        <cfvo type="min"/>
        <cfvo type="max"/>
        <color rgb="FFFCFCFF"/>
        <color rgb="FFF8696B"/>
      </colorScale>
    </cfRule>
  </conditionalFormatting>
  <conditionalFormatting sqref="B89:I93">
    <cfRule type="colorScale" priority="3">
      <colorScale>
        <cfvo type="min"/>
        <cfvo type="max"/>
        <color rgb="FFFCFCFF"/>
        <color rgb="FFF8696B"/>
      </colorScale>
    </cfRule>
  </conditionalFormatting>
  <conditionalFormatting sqref="B94:I94">
    <cfRule type="colorScale" priority="1">
      <colorScale>
        <cfvo type="min"/>
        <cfvo type="max"/>
        <color rgb="FFFCFCFF"/>
        <color rgb="FFF8696B"/>
      </colorScale>
    </cfRule>
  </conditionalFormatting>
  <dataValidations count="1">
    <dataValidation type="list" allowBlank="1" showInputMessage="1" showErrorMessage="1" sqref="J2:R2" xr:uid="{00000000-0002-0000-0200-000000000000}">
      <formula1>$AC$1:$AZ$1</formula1>
    </dataValidation>
  </dataValidations>
  <pageMargins left="0.59055118110236227" right="0" top="0" bottom="0" header="0.31496062992125984" footer="0.31496062992125984"/>
  <pageSetup paperSize="9" scale="85" orientation="landscape" r:id="rId1"/>
  <ignoredErrors>
    <ignoredError sqref="N5:N6" formulaRange="1"/>
  </ignoredErrors>
  <drawing r:id="rId2"/>
  <legacyDrawing r:id="rId3"/>
  <extLst>
    <ext xmlns:x14="http://schemas.microsoft.com/office/spreadsheetml/2009/9/main" uri="{78C0D931-6437-407d-A8EE-F0AAD7539E65}">
      <x14:conditionalFormattings>
        <x14:conditionalFormatting xmlns:xm="http://schemas.microsoft.com/office/excel/2006/main">
          <x14:cfRule type="iconSet" priority="11" id="{7E0A4F64-3C70-4E20-885B-586CFDA63B22}">
            <x14:iconSet iconSet="3Triangles">
              <x14:cfvo type="percent">
                <xm:f>0</xm:f>
              </x14:cfvo>
              <x14:cfvo type="percent">
                <xm:f>33</xm:f>
              </x14:cfvo>
              <x14:cfvo type="percent">
                <xm:f>67</xm:f>
              </x14:cfvo>
            </x14:iconSet>
          </x14:cfRule>
          <xm:sqref>B5:M5</xm:sqref>
        </x14:conditionalFormatting>
        <x14:conditionalFormatting xmlns:xm="http://schemas.microsoft.com/office/excel/2006/main">
          <x14:cfRule type="iconSet" priority="9" id="{4DDAB3F5-6CBD-479A-9DF9-0BAA687A3AE9}">
            <x14:iconSet iconSet="3Triangles">
              <x14:cfvo type="percent">
                <xm:f>0</xm:f>
              </x14:cfvo>
              <x14:cfvo type="percent">
                <xm:f>33</xm:f>
              </x14:cfvo>
              <x14:cfvo type="percent">
                <xm:f>67</xm:f>
              </x14:cfvo>
            </x14:iconSet>
          </x14:cfRule>
          <xm:sqref>B6:M6</xm:sqref>
        </x14:conditionalFormatting>
        <x14:conditionalFormatting xmlns:xm="http://schemas.microsoft.com/office/excel/2006/main">
          <x14:cfRule type="iconSet" priority="7" id="{290BD41E-7CC3-47B5-9A04-29BC9848DE96}">
            <x14:iconSet iconSet="3Triangles">
              <x14:cfvo type="percent">
                <xm:f>0</xm:f>
              </x14:cfvo>
              <x14:cfvo type="percent">
                <xm:f>33</xm:f>
              </x14:cfvo>
              <x14:cfvo type="percent">
                <xm:f>67</xm:f>
              </x14:cfvo>
            </x14:iconSet>
          </x14:cfRule>
          <xm:sqref>B7:M7</xm:sqref>
        </x14:conditionalFormatting>
        <x14:conditionalFormatting xmlns:xm="http://schemas.microsoft.com/office/excel/2006/main">
          <x14:cfRule type="iconSet" priority="5" id="{60F060FB-7F99-4F11-94F1-EFE01A9D770A}">
            <x14:iconSet iconSet="3Triangles">
              <x14:cfvo type="percent">
                <xm:f>0</xm:f>
              </x14:cfvo>
              <x14:cfvo type="percent">
                <xm:f>33</xm:f>
              </x14:cfvo>
              <x14:cfvo type="percent">
                <xm:f>67</xm:f>
              </x14:cfvo>
            </x14:iconSet>
          </x14:cfRule>
          <xm:sqref>B8:M8</xm:sqref>
        </x14:conditionalFormatting>
        <x14:conditionalFormatting xmlns:xm="http://schemas.microsoft.com/office/excel/2006/main">
          <x14:cfRule type="iconSet" priority="4" id="{97F5A365-E98E-4696-831E-473A12E15F9B}">
            <x14:iconSet iconSet="3Triangles">
              <x14:cfvo type="percent">
                <xm:f>0</xm:f>
              </x14:cfvo>
              <x14:cfvo type="percent">
                <xm:f>33</xm:f>
              </x14:cfvo>
              <x14:cfvo type="percent">
                <xm:f>67</xm:f>
              </x14:cfvo>
            </x14:iconSet>
          </x14:cfRule>
          <xm:sqref>B89:I93</xm:sqref>
        </x14:conditionalFormatting>
        <x14:conditionalFormatting xmlns:xm="http://schemas.microsoft.com/office/excel/2006/main">
          <x14:cfRule type="iconSet" priority="2" id="{817A4731-5D6A-4EFD-86C2-D9F9800A644C}">
            <x14:iconSet iconSet="3Triangles">
              <x14:cfvo type="percent">
                <xm:f>0</xm:f>
              </x14:cfvo>
              <x14:cfvo type="percent">
                <xm:f>33</xm:f>
              </x14:cfvo>
              <x14:cfvo type="percent">
                <xm:f>67</xm:f>
              </x14:cfvo>
            </x14:iconSet>
          </x14:cfRule>
          <xm:sqref>B94:I94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560"/>
  <sheetViews>
    <sheetView tabSelected="1" zoomScaleNormal="100" workbookViewId="0">
      <pane ySplit="2" topLeftCell="A520" activePane="bottomLeft" state="frozen"/>
      <selection pane="bottomLeft" activeCell="A558" sqref="A529:XFD558"/>
    </sheetView>
  </sheetViews>
  <sheetFormatPr baseColWidth="10" defaultColWidth="12.625" defaultRowHeight="15.8" customHeight="1" x14ac:dyDescent="0.2"/>
  <cols>
    <col min="1" max="1" width="29.375" style="15" bestFit="1" customWidth="1"/>
    <col min="2" max="2" width="71.25" style="58" customWidth="1"/>
    <col min="3" max="3" width="44" style="90" bestFit="1" customWidth="1"/>
    <col min="4" max="4" width="21" style="16" bestFit="1" customWidth="1"/>
    <col min="5" max="5" width="36" style="15" bestFit="1" customWidth="1"/>
    <col min="6" max="6" width="41.25" style="15" bestFit="1" customWidth="1"/>
    <col min="7" max="7" width="40" style="180" bestFit="1" customWidth="1"/>
    <col min="8" max="8" width="147.125" style="15" bestFit="1" customWidth="1"/>
    <col min="9" max="9" width="37.75" style="15" bestFit="1" customWidth="1"/>
    <col min="10" max="11" width="18.875" style="531" customWidth="1"/>
    <col min="12" max="18" width="18.875" customWidth="1"/>
    <col min="20" max="20" width="29.875" bestFit="1" customWidth="1"/>
    <col min="21" max="21" width="23.75" bestFit="1" customWidth="1"/>
    <col min="22" max="22" width="19.125" bestFit="1" customWidth="1"/>
    <col min="23" max="23" width="39.75" bestFit="1" customWidth="1"/>
    <col min="24" max="24" width="13.375" bestFit="1" customWidth="1"/>
    <col min="25" max="25" width="24.375" bestFit="1" customWidth="1"/>
    <col min="26" max="26" width="19.625" bestFit="1" customWidth="1"/>
    <col min="27" max="27" width="22.25" bestFit="1" customWidth="1"/>
    <col min="28" max="28" width="26.125" bestFit="1" customWidth="1"/>
    <col min="29" max="29" width="22.625" bestFit="1" customWidth="1"/>
    <col min="30" max="30" width="14.25" bestFit="1" customWidth="1"/>
    <col min="31" max="31" width="27.75" bestFit="1" customWidth="1"/>
    <col min="32" max="32" width="27.25" bestFit="1" customWidth="1"/>
    <col min="33" max="33" width="21.5" bestFit="1" customWidth="1"/>
    <col min="34" max="34" width="24.75" bestFit="1" customWidth="1"/>
    <col min="35" max="35" width="25.5" bestFit="1" customWidth="1"/>
    <col min="36" max="36" width="21.875" bestFit="1" customWidth="1"/>
    <col min="37" max="37" width="26.25" bestFit="1" customWidth="1"/>
    <col min="38" max="38" width="22" bestFit="1" customWidth="1"/>
    <col min="39" max="39" width="24.625" bestFit="1" customWidth="1"/>
    <col min="40" max="40" width="33.75" bestFit="1" customWidth="1"/>
    <col min="41" max="41" width="24.25" bestFit="1" customWidth="1"/>
    <col min="42" max="42" width="43.5" bestFit="1" customWidth="1"/>
    <col min="43" max="43" width="33.625" bestFit="1" customWidth="1"/>
    <col min="44" max="44" width="24.375" bestFit="1" customWidth="1"/>
  </cols>
  <sheetData>
    <row r="1" spans="1:12" ht="13.6" x14ac:dyDescent="0.2">
      <c r="A1" s="570" t="s">
        <v>0</v>
      </c>
      <c r="B1" s="570" t="s">
        <v>1</v>
      </c>
      <c r="C1" s="532" t="s">
        <v>2651</v>
      </c>
      <c r="D1" s="575" t="s">
        <v>2</v>
      </c>
      <c r="E1" s="570" t="s">
        <v>3</v>
      </c>
      <c r="F1" s="570" t="s">
        <v>4</v>
      </c>
      <c r="G1" s="570" t="s">
        <v>5</v>
      </c>
      <c r="H1" s="571" t="s">
        <v>6</v>
      </c>
      <c r="I1" s="571" t="s">
        <v>2673</v>
      </c>
      <c r="J1" s="570" t="s">
        <v>7</v>
      </c>
      <c r="K1" s="571" t="s">
        <v>8</v>
      </c>
      <c r="L1" s="571" t="s">
        <v>4029</v>
      </c>
    </row>
    <row r="2" spans="1:12" ht="28.05" customHeight="1" x14ac:dyDescent="0.2">
      <c r="A2" s="570"/>
      <c r="B2" s="570"/>
      <c r="C2" s="532" t="str">
        <f>'DETALLADO X MES 2026'!J2</f>
        <v>INCENDIO FORESTAL</v>
      </c>
      <c r="D2" s="575"/>
      <c r="E2" s="570"/>
      <c r="F2" s="570"/>
      <c r="G2" s="570"/>
      <c r="H2" s="571"/>
      <c r="I2" s="571"/>
      <c r="J2" s="570"/>
      <c r="K2" s="571"/>
      <c r="L2" s="571"/>
    </row>
    <row r="3" spans="1:12" ht="15.8" customHeight="1" x14ac:dyDescent="0.2">
      <c r="A3" s="473" t="s">
        <v>9</v>
      </c>
      <c r="B3" s="474"/>
      <c r="C3" s="475"/>
      <c r="D3" s="476"/>
      <c r="E3" s="474"/>
      <c r="F3" s="474"/>
      <c r="G3" s="474"/>
      <c r="H3" s="477"/>
      <c r="I3" s="474"/>
      <c r="J3" s="478"/>
      <c r="K3" s="478"/>
      <c r="L3" s="498"/>
    </row>
    <row r="4" spans="1:12" ht="15.8" customHeight="1" x14ac:dyDescent="0.2">
      <c r="A4" s="456" t="s">
        <v>51</v>
      </c>
      <c r="B4" s="479" t="s">
        <v>52</v>
      </c>
      <c r="C4" s="576">
        <f>COUNTIF(B4:B18,C2)</f>
        <v>2</v>
      </c>
      <c r="D4" s="522">
        <v>46024</v>
      </c>
      <c r="E4" s="456" t="s">
        <v>4054</v>
      </c>
      <c r="F4" s="456" t="s">
        <v>5060</v>
      </c>
      <c r="G4" s="503"/>
      <c r="H4" s="456" t="s">
        <v>5061</v>
      </c>
      <c r="I4" s="456" t="s">
        <v>5062</v>
      </c>
      <c r="J4" s="456">
        <v>9</v>
      </c>
      <c r="K4" s="456" t="s">
        <v>2431</v>
      </c>
      <c r="L4" s="502"/>
    </row>
    <row r="5" spans="1:12" ht="15.8" customHeight="1" x14ac:dyDescent="0.2">
      <c r="A5" s="458" t="s">
        <v>10</v>
      </c>
      <c r="B5" s="482" t="s">
        <v>2161</v>
      </c>
      <c r="C5" s="576"/>
      <c r="D5" s="523">
        <v>46028</v>
      </c>
      <c r="E5" s="458" t="s">
        <v>4602</v>
      </c>
      <c r="F5" s="458" t="s">
        <v>5063</v>
      </c>
      <c r="G5" s="458" t="s">
        <v>217</v>
      </c>
      <c r="H5" s="458" t="s">
        <v>5064</v>
      </c>
      <c r="I5" s="458" t="s">
        <v>5065</v>
      </c>
      <c r="J5" s="458">
        <v>3</v>
      </c>
      <c r="K5" s="458" t="s">
        <v>78</v>
      </c>
      <c r="L5" s="503"/>
    </row>
    <row r="6" spans="1:12" ht="15.8" customHeight="1" x14ac:dyDescent="0.2">
      <c r="A6" s="456" t="s">
        <v>10</v>
      </c>
      <c r="B6" s="479" t="s">
        <v>64</v>
      </c>
      <c r="C6" s="576"/>
      <c r="D6" s="522">
        <v>46029</v>
      </c>
      <c r="E6" s="456" t="s">
        <v>57</v>
      </c>
      <c r="F6" s="456" t="s">
        <v>5066</v>
      </c>
      <c r="G6" s="456" t="s">
        <v>355</v>
      </c>
      <c r="H6" s="456" t="s">
        <v>5067</v>
      </c>
      <c r="I6" s="456" t="s">
        <v>5068</v>
      </c>
      <c r="J6" s="456">
        <v>3</v>
      </c>
      <c r="K6" s="456" t="s">
        <v>50</v>
      </c>
      <c r="L6" s="502"/>
    </row>
    <row r="7" spans="1:12" ht="15.8" customHeight="1" x14ac:dyDescent="0.2">
      <c r="A7" s="458" t="s">
        <v>51</v>
      </c>
      <c r="B7" s="482" t="s">
        <v>481</v>
      </c>
      <c r="C7" s="576"/>
      <c r="D7" s="523">
        <v>46030</v>
      </c>
      <c r="E7" s="458" t="s">
        <v>5069</v>
      </c>
      <c r="F7" s="458" t="s">
        <v>5070</v>
      </c>
      <c r="G7" s="458" t="s">
        <v>76</v>
      </c>
      <c r="H7" s="458" t="s">
        <v>5071</v>
      </c>
      <c r="I7" s="458" t="s">
        <v>5068</v>
      </c>
      <c r="J7" s="458">
        <v>3</v>
      </c>
      <c r="K7" s="458" t="s">
        <v>192</v>
      </c>
      <c r="L7" s="503"/>
    </row>
    <row r="8" spans="1:12" ht="15.8" customHeight="1" x14ac:dyDescent="0.2">
      <c r="A8" s="456" t="s">
        <v>35</v>
      </c>
      <c r="B8" s="479" t="s">
        <v>2164</v>
      </c>
      <c r="C8" s="576"/>
      <c r="D8" s="522">
        <v>46035</v>
      </c>
      <c r="E8" s="456" t="s">
        <v>57</v>
      </c>
      <c r="F8" s="456" t="s">
        <v>5072</v>
      </c>
      <c r="G8" s="456" t="s">
        <v>5073</v>
      </c>
      <c r="H8" s="456" t="s">
        <v>5074</v>
      </c>
      <c r="I8" s="456" t="s">
        <v>3937</v>
      </c>
      <c r="J8" s="456">
        <v>4</v>
      </c>
      <c r="K8" s="456" t="s">
        <v>34</v>
      </c>
      <c r="L8" s="502"/>
    </row>
    <row r="9" spans="1:12" ht="15.8" customHeight="1" x14ac:dyDescent="0.2">
      <c r="A9" s="458" t="s">
        <v>51</v>
      </c>
      <c r="B9" s="482" t="s">
        <v>481</v>
      </c>
      <c r="C9" s="576"/>
      <c r="D9" s="523">
        <v>46038</v>
      </c>
      <c r="E9" s="458" t="s">
        <v>72</v>
      </c>
      <c r="F9" s="458" t="s">
        <v>5075</v>
      </c>
      <c r="G9" s="458" t="s">
        <v>27</v>
      </c>
      <c r="H9" s="458" t="s">
        <v>5076</v>
      </c>
      <c r="I9" s="458" t="s">
        <v>3937</v>
      </c>
      <c r="J9" s="458">
        <v>8</v>
      </c>
      <c r="K9" s="458" t="s">
        <v>60</v>
      </c>
      <c r="L9" s="503"/>
    </row>
    <row r="10" spans="1:12" ht="15.8" customHeight="1" x14ac:dyDescent="0.2">
      <c r="A10" s="456" t="s">
        <v>35</v>
      </c>
      <c r="B10" s="479" t="s">
        <v>2164</v>
      </c>
      <c r="C10" s="576"/>
      <c r="D10" s="522">
        <v>46042</v>
      </c>
      <c r="E10" s="456" t="s">
        <v>72</v>
      </c>
      <c r="F10" s="456" t="s">
        <v>5077</v>
      </c>
      <c r="G10" s="456" t="s">
        <v>5078</v>
      </c>
      <c r="H10" s="456" t="s">
        <v>5079</v>
      </c>
      <c r="I10" s="456" t="s">
        <v>3721</v>
      </c>
      <c r="J10" s="456">
        <v>8</v>
      </c>
      <c r="K10" s="456" t="s">
        <v>99</v>
      </c>
      <c r="L10" s="502"/>
    </row>
    <row r="11" spans="1:12" ht="15.8" customHeight="1" x14ac:dyDescent="0.2">
      <c r="A11" s="458" t="s">
        <v>387</v>
      </c>
      <c r="B11" s="482" t="s">
        <v>52</v>
      </c>
      <c r="C11" s="576"/>
      <c r="D11" s="523">
        <v>46043</v>
      </c>
      <c r="E11" s="458" t="s">
        <v>4946</v>
      </c>
      <c r="F11" s="458" t="s">
        <v>5060</v>
      </c>
      <c r="G11" s="458" t="s">
        <v>2645</v>
      </c>
      <c r="H11" s="458" t="s">
        <v>5080</v>
      </c>
      <c r="I11" s="458" t="s">
        <v>3721</v>
      </c>
      <c r="J11" s="458">
        <v>6</v>
      </c>
      <c r="K11" s="458" t="s">
        <v>56</v>
      </c>
      <c r="L11" s="503"/>
    </row>
    <row r="12" spans="1:12" ht="15.8" customHeight="1" x14ac:dyDescent="0.2">
      <c r="A12" s="456" t="s">
        <v>35</v>
      </c>
      <c r="B12" s="479" t="s">
        <v>2164</v>
      </c>
      <c r="C12" s="576"/>
      <c r="D12" s="508" t="s">
        <v>5081</v>
      </c>
      <c r="E12" s="456" t="s">
        <v>131</v>
      </c>
      <c r="F12" s="456" t="s">
        <v>5082</v>
      </c>
      <c r="G12" s="456" t="s">
        <v>54</v>
      </c>
      <c r="H12" s="456" t="s">
        <v>5083</v>
      </c>
      <c r="I12" s="456" t="s">
        <v>3721</v>
      </c>
      <c r="J12" s="456">
        <v>10</v>
      </c>
      <c r="K12" s="456" t="s">
        <v>41</v>
      </c>
      <c r="L12" s="502"/>
    </row>
    <row r="13" spans="1:12" ht="15.8" customHeight="1" x14ac:dyDescent="0.2">
      <c r="A13" s="458" t="s">
        <v>10</v>
      </c>
      <c r="B13" s="482" t="s">
        <v>29</v>
      </c>
      <c r="C13" s="576"/>
      <c r="D13" s="524" t="s">
        <v>5081</v>
      </c>
      <c r="E13" s="458" t="s">
        <v>118</v>
      </c>
      <c r="F13" s="458" t="s">
        <v>5084</v>
      </c>
      <c r="G13" s="458" t="s">
        <v>139</v>
      </c>
      <c r="H13" s="458" t="s">
        <v>5085</v>
      </c>
      <c r="I13" s="458" t="s">
        <v>3721</v>
      </c>
      <c r="J13" s="458">
        <v>2</v>
      </c>
      <c r="K13" s="458" t="s">
        <v>50</v>
      </c>
      <c r="L13" s="503"/>
    </row>
    <row r="14" spans="1:12" ht="15.8" customHeight="1" x14ac:dyDescent="0.2">
      <c r="A14" s="456" t="s">
        <v>146</v>
      </c>
      <c r="B14" s="479" t="s">
        <v>11</v>
      </c>
      <c r="C14" s="576"/>
      <c r="D14" s="522">
        <v>46048</v>
      </c>
      <c r="E14" s="456" t="s">
        <v>171</v>
      </c>
      <c r="F14" s="456" t="s">
        <v>5086</v>
      </c>
      <c r="G14" s="456" t="s">
        <v>5087</v>
      </c>
      <c r="H14" s="456" t="s">
        <v>5088</v>
      </c>
      <c r="I14" s="456" t="s">
        <v>5089</v>
      </c>
      <c r="J14" s="456">
        <v>2</v>
      </c>
      <c r="K14" s="456" t="s">
        <v>78</v>
      </c>
      <c r="L14" s="502"/>
    </row>
    <row r="15" spans="1:12" ht="15.8" customHeight="1" x14ac:dyDescent="0.2">
      <c r="A15" s="458" t="s">
        <v>51</v>
      </c>
      <c r="B15" s="482" t="s">
        <v>481</v>
      </c>
      <c r="C15" s="576"/>
      <c r="D15" s="523">
        <v>46050</v>
      </c>
      <c r="E15" s="458" t="s">
        <v>5090</v>
      </c>
      <c r="F15" s="458" t="s">
        <v>5091</v>
      </c>
      <c r="G15" s="458" t="s">
        <v>95</v>
      </c>
      <c r="H15" s="458" t="s">
        <v>5092</v>
      </c>
      <c r="I15" s="458" t="s">
        <v>3721</v>
      </c>
      <c r="J15" s="458">
        <v>11</v>
      </c>
      <c r="K15" s="458" t="s">
        <v>5093</v>
      </c>
      <c r="L15" s="503"/>
    </row>
    <row r="16" spans="1:12" ht="15.8" customHeight="1" x14ac:dyDescent="0.2">
      <c r="A16" s="456" t="s">
        <v>146</v>
      </c>
      <c r="B16" s="479" t="s">
        <v>11</v>
      </c>
      <c r="C16" s="576"/>
      <c r="D16" s="522">
        <v>46050</v>
      </c>
      <c r="E16" s="456" t="s">
        <v>4481</v>
      </c>
      <c r="F16" s="456" t="s">
        <v>5094</v>
      </c>
      <c r="G16" s="456" t="s">
        <v>4143</v>
      </c>
      <c r="H16" s="456" t="s">
        <v>5095</v>
      </c>
      <c r="I16" s="456" t="s">
        <v>3721</v>
      </c>
      <c r="J16" s="456">
        <v>6</v>
      </c>
      <c r="K16" s="456" t="s">
        <v>192</v>
      </c>
      <c r="L16" s="502"/>
    </row>
    <row r="17" spans="1:12" ht="15.8" customHeight="1" x14ac:dyDescent="0.2">
      <c r="A17" s="458" t="s">
        <v>35</v>
      </c>
      <c r="B17" s="482" t="s">
        <v>137</v>
      </c>
      <c r="C17" s="576"/>
      <c r="D17" s="523">
        <v>46052</v>
      </c>
      <c r="E17" s="458" t="s">
        <v>57</v>
      </c>
      <c r="F17" s="458" t="s">
        <v>5096</v>
      </c>
      <c r="G17" s="458" t="s">
        <v>2194</v>
      </c>
      <c r="H17" s="458" t="s">
        <v>5097</v>
      </c>
      <c r="I17" s="458" t="s">
        <v>3937</v>
      </c>
      <c r="J17" s="458">
        <v>4</v>
      </c>
      <c r="K17" s="458" t="s">
        <v>34</v>
      </c>
      <c r="L17" s="503"/>
    </row>
    <row r="18" spans="1:12" ht="15.8" customHeight="1" x14ac:dyDescent="0.2">
      <c r="A18" s="456" t="s">
        <v>35</v>
      </c>
      <c r="B18" s="479" t="s">
        <v>2164</v>
      </c>
      <c r="C18" s="576"/>
      <c r="D18" s="522">
        <v>46052</v>
      </c>
      <c r="E18" s="456" t="s">
        <v>72</v>
      </c>
      <c r="F18" s="456" t="s">
        <v>5098</v>
      </c>
      <c r="G18" s="456" t="s">
        <v>747</v>
      </c>
      <c r="H18" s="456" t="s">
        <v>5099</v>
      </c>
      <c r="I18" s="456" t="s">
        <v>3721</v>
      </c>
      <c r="J18" s="456">
        <v>5</v>
      </c>
      <c r="K18" s="456" t="s">
        <v>50</v>
      </c>
      <c r="L18" s="502"/>
    </row>
    <row r="19" spans="1:12" ht="15.8" customHeight="1" x14ac:dyDescent="0.2">
      <c r="A19" s="511" t="s">
        <v>130</v>
      </c>
      <c r="B19" s="498"/>
      <c r="C19" s="498"/>
      <c r="D19" s="498"/>
      <c r="E19" s="498"/>
      <c r="F19" s="498"/>
      <c r="G19" s="498"/>
      <c r="H19" s="498"/>
      <c r="I19" s="498"/>
      <c r="J19" s="498"/>
      <c r="K19" s="498"/>
      <c r="L19" s="498"/>
    </row>
    <row r="20" spans="1:12" ht="15.8" customHeight="1" x14ac:dyDescent="0.2">
      <c r="A20" s="456" t="s">
        <v>10</v>
      </c>
      <c r="B20" s="456" t="s">
        <v>29</v>
      </c>
      <c r="C20" s="576">
        <f>COUNTIF(B20:B53,C2)</f>
        <v>3</v>
      </c>
      <c r="D20" s="457">
        <v>46056</v>
      </c>
      <c r="E20" s="456" t="s">
        <v>91</v>
      </c>
      <c r="F20" s="456" t="s">
        <v>115</v>
      </c>
      <c r="G20" s="456" t="s">
        <v>1027</v>
      </c>
      <c r="H20" s="456" t="s">
        <v>5101</v>
      </c>
      <c r="I20" s="456" t="s">
        <v>167</v>
      </c>
      <c r="J20" s="456">
        <v>2</v>
      </c>
      <c r="K20" s="456" t="s">
        <v>50</v>
      </c>
      <c r="L20" s="502"/>
    </row>
    <row r="21" spans="1:12" ht="15.8" customHeight="1" x14ac:dyDescent="0.2">
      <c r="A21" s="458" t="s">
        <v>146</v>
      </c>
      <c r="B21" s="458" t="s">
        <v>147</v>
      </c>
      <c r="C21" s="576"/>
      <c r="D21" s="459">
        <v>46056</v>
      </c>
      <c r="E21" s="458" t="s">
        <v>91</v>
      </c>
      <c r="F21" s="458" t="s">
        <v>5102</v>
      </c>
      <c r="G21" s="458" t="s">
        <v>128</v>
      </c>
      <c r="H21" s="458" t="s">
        <v>5103</v>
      </c>
      <c r="I21" s="458" t="s">
        <v>167</v>
      </c>
      <c r="J21" s="458">
        <v>1</v>
      </c>
      <c r="K21" s="458" t="s">
        <v>50</v>
      </c>
      <c r="L21" s="503"/>
    </row>
    <row r="22" spans="1:12" ht="15.8" customHeight="1" x14ac:dyDescent="0.2">
      <c r="A22" s="456" t="s">
        <v>35</v>
      </c>
      <c r="B22" s="456" t="s">
        <v>137</v>
      </c>
      <c r="C22" s="576"/>
      <c r="D22" s="457">
        <v>46057</v>
      </c>
      <c r="E22" s="456" t="s">
        <v>94</v>
      </c>
      <c r="F22" s="456" t="s">
        <v>5104</v>
      </c>
      <c r="G22" s="503"/>
      <c r="H22" s="456" t="s">
        <v>5105</v>
      </c>
      <c r="I22" s="456" t="s">
        <v>167</v>
      </c>
      <c r="J22" s="456">
        <v>6</v>
      </c>
      <c r="K22" s="456" t="s">
        <v>34</v>
      </c>
      <c r="L22" s="502"/>
    </row>
    <row r="23" spans="1:12" ht="15.8" customHeight="1" x14ac:dyDescent="0.2">
      <c r="A23" s="458" t="s">
        <v>51</v>
      </c>
      <c r="B23" s="458" t="s">
        <v>52</v>
      </c>
      <c r="C23" s="576"/>
      <c r="D23" s="459">
        <v>46055</v>
      </c>
      <c r="E23" s="458" t="s">
        <v>118</v>
      </c>
      <c r="F23" s="458" t="s">
        <v>5106</v>
      </c>
      <c r="G23" s="458" t="s">
        <v>189</v>
      </c>
      <c r="H23" s="458" t="s">
        <v>5107</v>
      </c>
      <c r="I23" s="458" t="s">
        <v>5068</v>
      </c>
      <c r="J23" s="458">
        <v>2</v>
      </c>
      <c r="K23" s="458" t="s">
        <v>192</v>
      </c>
      <c r="L23" s="503"/>
    </row>
    <row r="24" spans="1:12" ht="15.8" customHeight="1" x14ac:dyDescent="0.2">
      <c r="A24" s="456" t="s">
        <v>51</v>
      </c>
      <c r="B24" s="456" t="s">
        <v>52</v>
      </c>
      <c r="C24" s="576"/>
      <c r="D24" s="457">
        <v>46058</v>
      </c>
      <c r="E24" s="456" t="s">
        <v>180</v>
      </c>
      <c r="F24" s="456" t="s">
        <v>190</v>
      </c>
      <c r="G24" s="456" t="s">
        <v>189</v>
      </c>
      <c r="H24" s="456" t="s">
        <v>5108</v>
      </c>
      <c r="I24" s="456" t="s">
        <v>3721</v>
      </c>
      <c r="J24" s="456">
        <v>6</v>
      </c>
      <c r="K24" s="456" t="s">
        <v>1075</v>
      </c>
      <c r="L24" s="502"/>
    </row>
    <row r="25" spans="1:12" ht="15.8" customHeight="1" x14ac:dyDescent="0.2">
      <c r="A25" s="458" t="s">
        <v>17</v>
      </c>
      <c r="B25" s="458" t="s">
        <v>24</v>
      </c>
      <c r="C25" s="576"/>
      <c r="D25" s="459">
        <v>46059</v>
      </c>
      <c r="E25" s="458" t="s">
        <v>164</v>
      </c>
      <c r="F25" s="458" t="s">
        <v>5109</v>
      </c>
      <c r="G25" s="458" t="s">
        <v>5110</v>
      </c>
      <c r="H25" s="458" t="s">
        <v>5111</v>
      </c>
      <c r="I25" s="458" t="s">
        <v>3937</v>
      </c>
      <c r="J25" s="458">
        <v>1</v>
      </c>
      <c r="K25" s="458" t="s">
        <v>78</v>
      </c>
      <c r="L25" s="503"/>
    </row>
    <row r="26" spans="1:12" ht="15.8" customHeight="1" x14ac:dyDescent="0.2">
      <c r="A26" s="456" t="s">
        <v>146</v>
      </c>
      <c r="B26" s="456" t="s">
        <v>2163</v>
      </c>
      <c r="C26" s="576"/>
      <c r="D26" s="457">
        <v>46062</v>
      </c>
      <c r="E26" s="456" t="s">
        <v>72</v>
      </c>
      <c r="F26" s="456" t="s">
        <v>5112</v>
      </c>
      <c r="G26" s="456" t="s">
        <v>85</v>
      </c>
      <c r="H26" s="456" t="s">
        <v>5113</v>
      </c>
      <c r="I26" s="456" t="s">
        <v>3937</v>
      </c>
      <c r="J26" s="456">
        <v>5</v>
      </c>
      <c r="K26" s="456" t="s">
        <v>1075</v>
      </c>
      <c r="L26" s="502"/>
    </row>
    <row r="27" spans="1:12" ht="15.8" customHeight="1" x14ac:dyDescent="0.2">
      <c r="A27" s="458" t="s">
        <v>10</v>
      </c>
      <c r="B27" s="458" t="s">
        <v>2161</v>
      </c>
      <c r="C27" s="576"/>
      <c r="D27" s="459">
        <v>46062</v>
      </c>
      <c r="E27" s="458" t="s">
        <v>180</v>
      </c>
      <c r="F27" s="458" t="s">
        <v>5114</v>
      </c>
      <c r="G27" s="458" t="s">
        <v>70</v>
      </c>
      <c r="H27" s="458" t="s">
        <v>5115</v>
      </c>
      <c r="I27" s="458" t="s">
        <v>5116</v>
      </c>
      <c r="J27" s="458">
        <v>7</v>
      </c>
      <c r="K27" s="458" t="s">
        <v>34</v>
      </c>
      <c r="L27" s="503"/>
    </row>
    <row r="28" spans="1:12" ht="15.8" customHeight="1" x14ac:dyDescent="0.2">
      <c r="A28" s="456" t="s">
        <v>146</v>
      </c>
      <c r="B28" s="456" t="s">
        <v>11</v>
      </c>
      <c r="C28" s="576"/>
      <c r="D28" s="457">
        <v>46063</v>
      </c>
      <c r="E28" s="456" t="s">
        <v>91</v>
      </c>
      <c r="F28" s="456" t="s">
        <v>173</v>
      </c>
      <c r="G28" s="456" t="s">
        <v>173</v>
      </c>
      <c r="H28" s="456" t="s">
        <v>11</v>
      </c>
      <c r="I28" s="456" t="s">
        <v>167</v>
      </c>
      <c r="J28" s="456">
        <v>5</v>
      </c>
      <c r="K28" s="456" t="s">
        <v>56</v>
      </c>
      <c r="L28" s="502"/>
    </row>
    <row r="29" spans="1:12" ht="15.8" customHeight="1" x14ac:dyDescent="0.2">
      <c r="A29" s="458" t="s">
        <v>146</v>
      </c>
      <c r="B29" s="458" t="s">
        <v>11</v>
      </c>
      <c r="C29" s="576"/>
      <c r="D29" s="459">
        <v>46065</v>
      </c>
      <c r="E29" s="458" t="s">
        <v>57</v>
      </c>
      <c r="F29" s="458" t="s">
        <v>5117</v>
      </c>
      <c r="G29" s="458" t="s">
        <v>1206</v>
      </c>
      <c r="H29" s="458" t="s">
        <v>5118</v>
      </c>
      <c r="I29" s="458" t="s">
        <v>3937</v>
      </c>
      <c r="J29" s="458">
        <v>5</v>
      </c>
      <c r="K29" s="458" t="s">
        <v>1075</v>
      </c>
      <c r="L29" s="503"/>
    </row>
    <row r="30" spans="1:12" ht="15.8" customHeight="1" x14ac:dyDescent="0.2">
      <c r="A30" s="456" t="s">
        <v>146</v>
      </c>
      <c r="B30" s="456" t="s">
        <v>11</v>
      </c>
      <c r="C30" s="576"/>
      <c r="D30" s="457">
        <v>46066</v>
      </c>
      <c r="E30" s="456" t="s">
        <v>91</v>
      </c>
      <c r="F30" s="456" t="s">
        <v>5119</v>
      </c>
      <c r="G30" s="503"/>
      <c r="H30" s="456" t="s">
        <v>5120</v>
      </c>
      <c r="I30" s="456" t="s">
        <v>167</v>
      </c>
      <c r="J30" s="456">
        <v>7</v>
      </c>
      <c r="K30" s="456" t="s">
        <v>56</v>
      </c>
      <c r="L30" s="502"/>
    </row>
    <row r="31" spans="1:12" ht="15.8" customHeight="1" x14ac:dyDescent="0.2">
      <c r="A31" s="458" t="s">
        <v>51</v>
      </c>
      <c r="B31" s="458" t="s">
        <v>52</v>
      </c>
      <c r="C31" s="576"/>
      <c r="D31" s="459">
        <v>46065</v>
      </c>
      <c r="E31" s="458" t="s">
        <v>5121</v>
      </c>
      <c r="F31" s="458" t="s">
        <v>5122</v>
      </c>
      <c r="G31" s="458" t="s">
        <v>5123</v>
      </c>
      <c r="H31" s="458" t="s">
        <v>5124</v>
      </c>
      <c r="I31" s="458" t="s">
        <v>5125</v>
      </c>
      <c r="J31" s="458">
        <v>11</v>
      </c>
      <c r="K31" s="458" t="s">
        <v>5126</v>
      </c>
      <c r="L31" s="503"/>
    </row>
    <row r="32" spans="1:12" ht="15.8" customHeight="1" x14ac:dyDescent="0.2">
      <c r="A32" s="456" t="s">
        <v>51</v>
      </c>
      <c r="B32" s="456" t="s">
        <v>244</v>
      </c>
      <c r="C32" s="576"/>
      <c r="D32" s="457">
        <v>46068</v>
      </c>
      <c r="E32" s="456" t="s">
        <v>57</v>
      </c>
      <c r="F32" s="456" t="s">
        <v>5127</v>
      </c>
      <c r="G32" s="456" t="s">
        <v>139</v>
      </c>
      <c r="H32" s="456" t="s">
        <v>5128</v>
      </c>
      <c r="I32" s="456" t="s">
        <v>3937</v>
      </c>
      <c r="J32" s="456">
        <v>3</v>
      </c>
      <c r="K32" s="456" t="s">
        <v>192</v>
      </c>
      <c r="L32" s="502"/>
    </row>
    <row r="33" spans="1:12" ht="15.8" customHeight="1" x14ac:dyDescent="0.2">
      <c r="A33" s="458" t="s">
        <v>146</v>
      </c>
      <c r="B33" s="458" t="s">
        <v>11</v>
      </c>
      <c r="C33" s="576"/>
      <c r="D33" s="459">
        <v>46070</v>
      </c>
      <c r="E33" s="458" t="s">
        <v>5129</v>
      </c>
      <c r="F33" s="458" t="s">
        <v>5130</v>
      </c>
      <c r="G33" s="458" t="s">
        <v>95</v>
      </c>
      <c r="H33" s="458" t="s">
        <v>5131</v>
      </c>
      <c r="I33" s="458" t="s">
        <v>5132</v>
      </c>
      <c r="J33" s="458">
        <v>5</v>
      </c>
      <c r="K33" s="458" t="s">
        <v>56</v>
      </c>
      <c r="L33" s="503"/>
    </row>
    <row r="34" spans="1:12" ht="15.8" customHeight="1" x14ac:dyDescent="0.2">
      <c r="A34" s="456" t="s">
        <v>35</v>
      </c>
      <c r="B34" s="456" t="s">
        <v>137</v>
      </c>
      <c r="C34" s="576"/>
      <c r="D34" s="457">
        <v>46071</v>
      </c>
      <c r="E34" s="456" t="s">
        <v>57</v>
      </c>
      <c r="F34" s="456" t="s">
        <v>5133</v>
      </c>
      <c r="G34" s="456" t="s">
        <v>85</v>
      </c>
      <c r="H34" s="456" t="s">
        <v>5134</v>
      </c>
      <c r="I34" s="456" t="s">
        <v>3937</v>
      </c>
      <c r="J34" s="456">
        <v>3</v>
      </c>
      <c r="K34" s="456" t="s">
        <v>16</v>
      </c>
      <c r="L34" s="502"/>
    </row>
    <row r="35" spans="1:12" ht="15.8" customHeight="1" x14ac:dyDescent="0.2">
      <c r="A35" s="458" t="s">
        <v>10</v>
      </c>
      <c r="B35" s="458" t="s">
        <v>2161</v>
      </c>
      <c r="C35" s="576"/>
      <c r="D35" s="459">
        <v>46074</v>
      </c>
      <c r="E35" s="458" t="s">
        <v>72</v>
      </c>
      <c r="F35" s="458" t="s">
        <v>5135</v>
      </c>
      <c r="G35" s="458" t="s">
        <v>85</v>
      </c>
      <c r="H35" s="458" t="s">
        <v>5136</v>
      </c>
      <c r="I35" s="458" t="s">
        <v>5137</v>
      </c>
      <c r="J35" s="458">
        <v>5</v>
      </c>
      <c r="K35" s="458" t="s">
        <v>50</v>
      </c>
      <c r="L35" s="503"/>
    </row>
    <row r="36" spans="1:12" ht="15.8" customHeight="1" x14ac:dyDescent="0.2">
      <c r="A36" s="456" t="s">
        <v>10</v>
      </c>
      <c r="B36" s="456" t="s">
        <v>888</v>
      </c>
      <c r="C36" s="576"/>
      <c r="D36" s="457">
        <v>46074</v>
      </c>
      <c r="E36" s="456" t="s">
        <v>57</v>
      </c>
      <c r="F36" s="456" t="s">
        <v>5138</v>
      </c>
      <c r="G36" s="456" t="s">
        <v>5138</v>
      </c>
      <c r="H36" s="456" t="s">
        <v>5139</v>
      </c>
      <c r="I36" s="456" t="s">
        <v>5140</v>
      </c>
      <c r="J36" s="456">
        <v>5</v>
      </c>
      <c r="K36" s="456" t="s">
        <v>50</v>
      </c>
      <c r="L36" s="502"/>
    </row>
    <row r="37" spans="1:12" ht="15.8" customHeight="1" x14ac:dyDescent="0.2">
      <c r="A37" s="458" t="s">
        <v>35</v>
      </c>
      <c r="B37" s="458" t="s">
        <v>29</v>
      </c>
      <c r="C37" s="576"/>
      <c r="D37" s="459">
        <v>46073</v>
      </c>
      <c r="E37" s="458" t="s">
        <v>417</v>
      </c>
      <c r="F37" s="458" t="s">
        <v>5141</v>
      </c>
      <c r="G37" s="458" t="s">
        <v>4101</v>
      </c>
      <c r="H37" s="458" t="s">
        <v>5142</v>
      </c>
      <c r="I37" s="458" t="s">
        <v>3721</v>
      </c>
      <c r="J37" s="458">
        <v>1</v>
      </c>
      <c r="K37" s="458" t="s">
        <v>78</v>
      </c>
      <c r="L37" s="503"/>
    </row>
    <row r="38" spans="1:12" ht="15.8" customHeight="1" x14ac:dyDescent="0.2">
      <c r="A38" s="456" t="s">
        <v>35</v>
      </c>
      <c r="B38" s="456" t="s">
        <v>29</v>
      </c>
      <c r="C38" s="576"/>
      <c r="D38" s="457">
        <v>46073</v>
      </c>
      <c r="E38" s="456" t="s">
        <v>126</v>
      </c>
      <c r="F38" s="456" t="s">
        <v>292</v>
      </c>
      <c r="G38" s="456" t="s">
        <v>144</v>
      </c>
      <c r="H38" s="456" t="s">
        <v>5143</v>
      </c>
      <c r="I38" s="456" t="s">
        <v>5144</v>
      </c>
      <c r="J38" s="456">
        <v>2</v>
      </c>
      <c r="K38" s="456" t="s">
        <v>78</v>
      </c>
      <c r="L38" s="502"/>
    </row>
    <row r="39" spans="1:12" ht="15.8" customHeight="1" x14ac:dyDescent="0.2">
      <c r="A39" s="458" t="s">
        <v>35</v>
      </c>
      <c r="B39" s="458" t="s">
        <v>29</v>
      </c>
      <c r="C39" s="576"/>
      <c r="D39" s="459">
        <v>46074</v>
      </c>
      <c r="E39" s="458" t="s">
        <v>118</v>
      </c>
      <c r="F39" s="458" t="s">
        <v>292</v>
      </c>
      <c r="G39" s="458" t="s">
        <v>144</v>
      </c>
      <c r="H39" s="458" t="s">
        <v>5145</v>
      </c>
      <c r="I39" s="458" t="s">
        <v>5146</v>
      </c>
      <c r="J39" s="458">
        <v>5</v>
      </c>
      <c r="K39" s="458" t="s">
        <v>50</v>
      </c>
      <c r="L39" s="503"/>
    </row>
    <row r="40" spans="1:12" ht="15.8" customHeight="1" x14ac:dyDescent="0.2">
      <c r="A40" s="456" t="s">
        <v>10</v>
      </c>
      <c r="B40" s="456" t="s">
        <v>2161</v>
      </c>
      <c r="C40" s="576"/>
      <c r="D40" s="457">
        <v>46076</v>
      </c>
      <c r="E40" s="456" t="s">
        <v>417</v>
      </c>
      <c r="F40" s="456" t="s">
        <v>5147</v>
      </c>
      <c r="G40" s="456" t="s">
        <v>446</v>
      </c>
      <c r="H40" s="456" t="s">
        <v>5148</v>
      </c>
      <c r="I40" s="456" t="s">
        <v>5149</v>
      </c>
      <c r="J40" s="456">
        <v>4</v>
      </c>
      <c r="K40" s="456" t="s">
        <v>78</v>
      </c>
      <c r="L40" s="502"/>
    </row>
    <row r="41" spans="1:12" ht="15.8" customHeight="1" x14ac:dyDescent="0.2">
      <c r="A41" s="458" t="s">
        <v>10</v>
      </c>
      <c r="B41" s="458" t="s">
        <v>2161</v>
      </c>
      <c r="C41" s="576"/>
      <c r="D41" s="459">
        <v>46076</v>
      </c>
      <c r="E41" s="458" t="s">
        <v>5150</v>
      </c>
      <c r="F41" s="458" t="s">
        <v>5151</v>
      </c>
      <c r="G41" s="458" t="s">
        <v>85</v>
      </c>
      <c r="H41" s="458" t="s">
        <v>5152</v>
      </c>
      <c r="I41" s="458" t="s">
        <v>5153</v>
      </c>
      <c r="J41" s="458">
        <v>5</v>
      </c>
      <c r="K41" s="458" t="s">
        <v>2313</v>
      </c>
      <c r="L41" s="503"/>
    </row>
    <row r="42" spans="1:12" ht="15.8" customHeight="1" x14ac:dyDescent="0.2">
      <c r="A42" s="456" t="s">
        <v>10</v>
      </c>
      <c r="B42" s="456" t="s">
        <v>2161</v>
      </c>
      <c r="C42" s="576"/>
      <c r="D42" s="457">
        <v>46076</v>
      </c>
      <c r="E42" s="456" t="s">
        <v>5154</v>
      </c>
      <c r="F42" s="456" t="s">
        <v>5155</v>
      </c>
      <c r="G42" s="456" t="s">
        <v>85</v>
      </c>
      <c r="H42" s="456" t="s">
        <v>5156</v>
      </c>
      <c r="I42" s="456" t="s">
        <v>5153</v>
      </c>
      <c r="J42" s="456">
        <v>5</v>
      </c>
      <c r="K42" s="456" t="s">
        <v>2313</v>
      </c>
      <c r="L42" s="502"/>
    </row>
    <row r="43" spans="1:12" ht="15.8" customHeight="1" x14ac:dyDescent="0.2">
      <c r="A43" s="458" t="s">
        <v>10</v>
      </c>
      <c r="B43" s="458" t="s">
        <v>2161</v>
      </c>
      <c r="C43" s="576"/>
      <c r="D43" s="459">
        <v>46078</v>
      </c>
      <c r="E43" s="458" t="s">
        <v>5157</v>
      </c>
      <c r="F43" s="458" t="s">
        <v>5158</v>
      </c>
      <c r="G43" s="458" t="s">
        <v>5159</v>
      </c>
      <c r="H43" s="458" t="s">
        <v>5160</v>
      </c>
      <c r="I43" s="458" t="s">
        <v>167</v>
      </c>
      <c r="J43" s="458">
        <v>6</v>
      </c>
      <c r="K43" s="458" t="s">
        <v>2313</v>
      </c>
      <c r="L43" s="503"/>
    </row>
    <row r="44" spans="1:12" ht="15.8" customHeight="1" x14ac:dyDescent="0.2">
      <c r="A44" s="456" t="s">
        <v>35</v>
      </c>
      <c r="B44" s="456" t="s">
        <v>137</v>
      </c>
      <c r="C44" s="576"/>
      <c r="D44" s="457">
        <v>46080</v>
      </c>
      <c r="E44" s="456" t="s">
        <v>57</v>
      </c>
      <c r="F44" s="456" t="s">
        <v>5161</v>
      </c>
      <c r="G44" s="456" t="s">
        <v>95</v>
      </c>
      <c r="H44" s="456" t="s">
        <v>5162</v>
      </c>
      <c r="I44" s="456" t="s">
        <v>3937</v>
      </c>
      <c r="J44" s="456">
        <v>3</v>
      </c>
      <c r="K44" s="456" t="s">
        <v>34</v>
      </c>
      <c r="L44" s="502"/>
    </row>
    <row r="45" spans="1:12" ht="15.8" customHeight="1" x14ac:dyDescent="0.2">
      <c r="A45" s="458" t="s">
        <v>10</v>
      </c>
      <c r="B45" s="458" t="s">
        <v>2161</v>
      </c>
      <c r="C45" s="576"/>
      <c r="D45" s="459">
        <v>46079</v>
      </c>
      <c r="E45" s="458" t="s">
        <v>72</v>
      </c>
      <c r="F45" s="458" t="s">
        <v>2435</v>
      </c>
      <c r="G45" s="458" t="s">
        <v>167</v>
      </c>
      <c r="H45" s="458" t="s">
        <v>5163</v>
      </c>
      <c r="I45" s="458" t="s">
        <v>167</v>
      </c>
      <c r="J45" s="458">
        <v>5</v>
      </c>
      <c r="K45" s="458" t="s">
        <v>34</v>
      </c>
      <c r="L45" s="503"/>
    </row>
    <row r="46" spans="1:12" ht="15.8" customHeight="1" x14ac:dyDescent="0.2">
      <c r="A46" s="456" t="s">
        <v>10</v>
      </c>
      <c r="B46" s="456" t="s">
        <v>2161</v>
      </c>
      <c r="C46" s="576"/>
      <c r="D46" s="457">
        <v>46079</v>
      </c>
      <c r="E46" s="456" t="s">
        <v>72</v>
      </c>
      <c r="F46" s="456" t="s">
        <v>2435</v>
      </c>
      <c r="G46" s="456" t="s">
        <v>167</v>
      </c>
      <c r="H46" s="456" t="s">
        <v>5164</v>
      </c>
      <c r="I46" s="456" t="s">
        <v>167</v>
      </c>
      <c r="J46" s="456">
        <v>5</v>
      </c>
      <c r="K46" s="456" t="s">
        <v>34</v>
      </c>
      <c r="L46" s="502"/>
    </row>
    <row r="47" spans="1:12" ht="15.8" customHeight="1" x14ac:dyDescent="0.2">
      <c r="A47" s="458" t="s">
        <v>10</v>
      </c>
      <c r="B47" s="458" t="s">
        <v>2162</v>
      </c>
      <c r="C47" s="576"/>
      <c r="D47" s="459">
        <v>46079</v>
      </c>
      <c r="E47" s="458" t="s">
        <v>57</v>
      </c>
      <c r="F47" s="458" t="s">
        <v>5165</v>
      </c>
      <c r="G47" s="458" t="s">
        <v>97</v>
      </c>
      <c r="H47" s="458" t="s">
        <v>5166</v>
      </c>
      <c r="I47" s="458" t="s">
        <v>167</v>
      </c>
      <c r="J47" s="458">
        <v>4</v>
      </c>
      <c r="K47" s="458" t="s">
        <v>50</v>
      </c>
      <c r="L47" s="503"/>
    </row>
    <row r="48" spans="1:12" ht="15.8" customHeight="1" x14ac:dyDescent="0.2">
      <c r="A48" s="456" t="s">
        <v>10</v>
      </c>
      <c r="B48" s="456" t="s">
        <v>2162</v>
      </c>
      <c r="C48" s="576"/>
      <c r="D48" s="457">
        <v>46079</v>
      </c>
      <c r="E48" s="456" t="s">
        <v>57</v>
      </c>
      <c r="F48" s="456" t="s">
        <v>1254</v>
      </c>
      <c r="G48" s="456" t="s">
        <v>95</v>
      </c>
      <c r="H48" s="456" t="s">
        <v>5167</v>
      </c>
      <c r="I48" s="456" t="s">
        <v>167</v>
      </c>
      <c r="J48" s="456">
        <v>4</v>
      </c>
      <c r="K48" s="456" t="s">
        <v>50</v>
      </c>
      <c r="L48" s="502"/>
    </row>
    <row r="49" spans="1:12" ht="15.8" customHeight="1" x14ac:dyDescent="0.2">
      <c r="A49" s="458" t="s">
        <v>10</v>
      </c>
      <c r="B49" s="458" t="s">
        <v>2162</v>
      </c>
      <c r="C49" s="576"/>
      <c r="D49" s="459">
        <v>46079</v>
      </c>
      <c r="E49" s="458" t="s">
        <v>57</v>
      </c>
      <c r="F49" s="458" t="s">
        <v>722</v>
      </c>
      <c r="G49" s="458" t="s">
        <v>5138</v>
      </c>
      <c r="H49" s="458" t="s">
        <v>5168</v>
      </c>
      <c r="I49" s="458" t="s">
        <v>167</v>
      </c>
      <c r="J49" s="458">
        <v>4</v>
      </c>
      <c r="K49" s="458" t="s">
        <v>50</v>
      </c>
      <c r="L49" s="503"/>
    </row>
    <row r="50" spans="1:12" ht="15.8" customHeight="1" x14ac:dyDescent="0.2">
      <c r="A50" s="456" t="s">
        <v>10</v>
      </c>
      <c r="B50" s="456" t="s">
        <v>29</v>
      </c>
      <c r="C50" s="576"/>
      <c r="D50" s="457">
        <v>46080</v>
      </c>
      <c r="E50" s="504">
        <v>6.25E-2</v>
      </c>
      <c r="F50" s="456" t="s">
        <v>5169</v>
      </c>
      <c r="G50" s="456" t="s">
        <v>973</v>
      </c>
      <c r="H50" s="456" t="s">
        <v>5170</v>
      </c>
      <c r="I50" s="456" t="s">
        <v>167</v>
      </c>
      <c r="J50" s="456">
        <v>6</v>
      </c>
      <c r="K50" s="456" t="s">
        <v>34</v>
      </c>
      <c r="L50" s="502"/>
    </row>
    <row r="51" spans="1:12" ht="15.8" customHeight="1" x14ac:dyDescent="0.2">
      <c r="A51" s="458" t="s">
        <v>35</v>
      </c>
      <c r="B51" s="458" t="s">
        <v>137</v>
      </c>
      <c r="C51" s="576"/>
      <c r="D51" s="459">
        <v>46081</v>
      </c>
      <c r="E51" s="458" t="s">
        <v>1520</v>
      </c>
      <c r="F51" s="458" t="s">
        <v>5171</v>
      </c>
      <c r="G51" s="458" t="s">
        <v>95</v>
      </c>
      <c r="H51" s="458" t="s">
        <v>5172</v>
      </c>
      <c r="I51" s="458" t="s">
        <v>167</v>
      </c>
      <c r="J51" s="458">
        <v>2</v>
      </c>
      <c r="K51" s="458" t="s">
        <v>34</v>
      </c>
      <c r="L51" s="503"/>
    </row>
    <row r="52" spans="1:12" ht="15.8" customHeight="1" x14ac:dyDescent="0.2">
      <c r="A52" s="456" t="s">
        <v>10</v>
      </c>
      <c r="B52" s="456" t="s">
        <v>2161</v>
      </c>
      <c r="C52" s="576"/>
      <c r="D52" s="457">
        <v>46081</v>
      </c>
      <c r="E52" s="456" t="s">
        <v>164</v>
      </c>
      <c r="F52" s="456" t="s">
        <v>5173</v>
      </c>
      <c r="G52" s="503"/>
      <c r="H52" s="456" t="s">
        <v>439</v>
      </c>
      <c r="I52" s="456" t="s">
        <v>167</v>
      </c>
      <c r="J52" s="456">
        <v>3</v>
      </c>
      <c r="K52" s="456" t="s">
        <v>78</v>
      </c>
      <c r="L52" s="502"/>
    </row>
    <row r="53" spans="1:12" ht="15.8" customHeight="1" x14ac:dyDescent="0.2">
      <c r="A53" s="458" t="s">
        <v>10</v>
      </c>
      <c r="B53" s="458" t="s">
        <v>2161</v>
      </c>
      <c r="C53" s="576"/>
      <c r="D53" s="459">
        <v>46081</v>
      </c>
      <c r="E53" s="458" t="s">
        <v>164</v>
      </c>
      <c r="F53" s="458" t="s">
        <v>274</v>
      </c>
      <c r="G53" s="458" t="s">
        <v>167</v>
      </c>
      <c r="H53" s="458" t="s">
        <v>3984</v>
      </c>
      <c r="I53" s="458" t="s">
        <v>167</v>
      </c>
      <c r="J53" s="458">
        <v>3</v>
      </c>
      <c r="K53" s="458" t="s">
        <v>78</v>
      </c>
      <c r="L53" s="503"/>
    </row>
    <row r="54" spans="1:12" ht="15.8" customHeight="1" x14ac:dyDescent="0.2">
      <c r="A54" s="511" t="s">
        <v>321</v>
      </c>
      <c r="B54" s="509"/>
      <c r="C54" s="391"/>
      <c r="D54" s="510"/>
      <c r="E54" s="509"/>
      <c r="F54" s="509"/>
      <c r="G54" s="509"/>
      <c r="H54" s="509"/>
      <c r="I54" s="509"/>
      <c r="J54" s="509"/>
      <c r="K54" s="509"/>
      <c r="L54" s="498"/>
    </row>
    <row r="55" spans="1:12" ht="15.8" customHeight="1" x14ac:dyDescent="0.2">
      <c r="A55" s="458" t="s">
        <v>10</v>
      </c>
      <c r="B55" s="458" t="s">
        <v>29</v>
      </c>
      <c r="C55" s="576">
        <f>COUNTIF(B55:B78,C2)</f>
        <v>8</v>
      </c>
      <c r="D55" s="459">
        <v>46083</v>
      </c>
      <c r="E55" s="458" t="s">
        <v>1089</v>
      </c>
      <c r="F55" s="458" t="s">
        <v>2609</v>
      </c>
      <c r="G55" s="458" t="s">
        <v>95</v>
      </c>
      <c r="H55" s="458" t="s">
        <v>5175</v>
      </c>
      <c r="I55" s="458" t="s">
        <v>5176</v>
      </c>
      <c r="J55" s="458">
        <v>5</v>
      </c>
      <c r="K55" s="458" t="s">
        <v>34</v>
      </c>
      <c r="L55" s="503"/>
    </row>
    <row r="56" spans="1:12" ht="15.8" customHeight="1" x14ac:dyDescent="0.2">
      <c r="A56" s="456" t="s">
        <v>51</v>
      </c>
      <c r="B56" s="456" t="s">
        <v>52</v>
      </c>
      <c r="C56" s="576"/>
      <c r="D56" s="457">
        <v>46085</v>
      </c>
      <c r="E56" s="456" t="s">
        <v>74</v>
      </c>
      <c r="F56" s="456" t="s">
        <v>4972</v>
      </c>
      <c r="G56" s="456" t="s">
        <v>217</v>
      </c>
      <c r="H56" s="456" t="s">
        <v>5177</v>
      </c>
      <c r="I56" s="456" t="s">
        <v>4898</v>
      </c>
      <c r="J56" s="456">
        <v>6</v>
      </c>
      <c r="K56" s="456" t="s">
        <v>1075</v>
      </c>
      <c r="L56" s="502"/>
    </row>
    <row r="57" spans="1:12" ht="15.8" customHeight="1" x14ac:dyDescent="0.2">
      <c r="A57" s="458" t="s">
        <v>51</v>
      </c>
      <c r="B57" s="458" t="s">
        <v>52</v>
      </c>
      <c r="C57" s="576"/>
      <c r="D57" s="459">
        <v>46086</v>
      </c>
      <c r="E57" s="458" t="s">
        <v>4585</v>
      </c>
      <c r="F57" s="458" t="s">
        <v>733</v>
      </c>
      <c r="G57" s="458" t="s">
        <v>135</v>
      </c>
      <c r="H57" s="458" t="s">
        <v>5178</v>
      </c>
      <c r="I57" s="458" t="s">
        <v>3721</v>
      </c>
      <c r="J57" s="458">
        <v>5</v>
      </c>
      <c r="K57" s="458" t="s">
        <v>2313</v>
      </c>
      <c r="L57" s="503"/>
    </row>
    <row r="58" spans="1:12" ht="15.8" customHeight="1" x14ac:dyDescent="0.2">
      <c r="A58" s="456" t="s">
        <v>10</v>
      </c>
      <c r="B58" s="456" t="s">
        <v>2161</v>
      </c>
      <c r="C58" s="576"/>
      <c r="D58" s="457">
        <v>46094</v>
      </c>
      <c r="E58" s="456" t="s">
        <v>215</v>
      </c>
      <c r="F58" s="456" t="s">
        <v>722</v>
      </c>
      <c r="G58" s="456" t="s">
        <v>5179</v>
      </c>
      <c r="H58" s="456" t="s">
        <v>5180</v>
      </c>
      <c r="I58" s="456" t="s">
        <v>5181</v>
      </c>
      <c r="J58" s="456">
        <v>4</v>
      </c>
      <c r="K58" s="456" t="s">
        <v>78</v>
      </c>
      <c r="L58" s="502"/>
    </row>
    <row r="59" spans="1:12" ht="15.8" customHeight="1" x14ac:dyDescent="0.2">
      <c r="A59" s="458" t="s">
        <v>146</v>
      </c>
      <c r="B59" s="458" t="s">
        <v>11</v>
      </c>
      <c r="C59" s="576"/>
      <c r="D59" s="459">
        <v>46094</v>
      </c>
      <c r="E59" s="458" t="s">
        <v>118</v>
      </c>
      <c r="F59" s="458" t="s">
        <v>5182</v>
      </c>
      <c r="G59" s="458" t="s">
        <v>95</v>
      </c>
      <c r="H59" s="458" t="s">
        <v>5183</v>
      </c>
      <c r="I59" s="458" t="s">
        <v>4988</v>
      </c>
      <c r="J59" s="458">
        <v>3</v>
      </c>
      <c r="K59" s="458" t="s">
        <v>192</v>
      </c>
      <c r="L59" s="503"/>
    </row>
    <row r="60" spans="1:12" ht="15.8" customHeight="1" x14ac:dyDescent="0.2">
      <c r="A60" s="456" t="s">
        <v>51</v>
      </c>
      <c r="B60" s="456" t="s">
        <v>481</v>
      </c>
      <c r="C60" s="576"/>
      <c r="D60" s="457">
        <v>46094</v>
      </c>
      <c r="E60" s="456" t="s">
        <v>108</v>
      </c>
      <c r="F60" s="456" t="s">
        <v>5184</v>
      </c>
      <c r="G60" s="456" t="s">
        <v>5185</v>
      </c>
      <c r="H60" s="456" t="s">
        <v>5186</v>
      </c>
      <c r="I60" s="456" t="s">
        <v>4658</v>
      </c>
      <c r="J60" s="456">
        <v>3</v>
      </c>
      <c r="K60" s="456" t="s">
        <v>192</v>
      </c>
      <c r="L60" s="502"/>
    </row>
    <row r="61" spans="1:12" ht="15.8" customHeight="1" x14ac:dyDescent="0.2">
      <c r="A61" s="458" t="s">
        <v>51</v>
      </c>
      <c r="B61" s="458" t="s">
        <v>52</v>
      </c>
      <c r="C61" s="576"/>
      <c r="D61" s="459">
        <v>46094</v>
      </c>
      <c r="E61" s="458" t="s">
        <v>5187</v>
      </c>
      <c r="F61" s="458" t="s">
        <v>5188</v>
      </c>
      <c r="G61" s="458" t="s">
        <v>441</v>
      </c>
      <c r="H61" s="458" t="s">
        <v>5189</v>
      </c>
      <c r="I61" s="458" t="s">
        <v>167</v>
      </c>
      <c r="J61" s="458">
        <v>3</v>
      </c>
      <c r="K61" s="458" t="s">
        <v>192</v>
      </c>
      <c r="L61" s="503"/>
    </row>
    <row r="62" spans="1:12" ht="15.8" customHeight="1" x14ac:dyDescent="0.2">
      <c r="A62" s="456" t="s">
        <v>51</v>
      </c>
      <c r="B62" s="456" t="s">
        <v>52</v>
      </c>
      <c r="C62" s="576"/>
      <c r="D62" s="457">
        <v>46097</v>
      </c>
      <c r="E62" s="456" t="s">
        <v>72</v>
      </c>
      <c r="F62" s="456" t="s">
        <v>733</v>
      </c>
      <c r="G62" s="503"/>
      <c r="H62" s="456" t="s">
        <v>5190</v>
      </c>
      <c r="I62" s="456" t="s">
        <v>5191</v>
      </c>
      <c r="J62" s="456">
        <v>7</v>
      </c>
      <c r="K62" s="456" t="s">
        <v>2607</v>
      </c>
      <c r="L62" s="502"/>
    </row>
    <row r="63" spans="1:12" ht="15.8" customHeight="1" x14ac:dyDescent="0.2">
      <c r="A63" s="458" t="s">
        <v>35</v>
      </c>
      <c r="B63" s="458" t="s">
        <v>29</v>
      </c>
      <c r="C63" s="576"/>
      <c r="D63" s="459">
        <v>46097</v>
      </c>
      <c r="E63" s="458" t="s">
        <v>291</v>
      </c>
      <c r="F63" s="458" t="s">
        <v>5192</v>
      </c>
      <c r="G63" s="458" t="s">
        <v>110</v>
      </c>
      <c r="H63" s="458" t="s">
        <v>5193</v>
      </c>
      <c r="I63" s="458" t="s">
        <v>5194</v>
      </c>
      <c r="J63" s="458">
        <v>2</v>
      </c>
      <c r="K63" s="458" t="s">
        <v>78</v>
      </c>
      <c r="L63" s="503"/>
    </row>
    <row r="64" spans="1:12" ht="15.8" customHeight="1" x14ac:dyDescent="0.2">
      <c r="A64" s="456" t="s">
        <v>35</v>
      </c>
      <c r="B64" s="456" t="s">
        <v>64</v>
      </c>
      <c r="C64" s="576"/>
      <c r="D64" s="457">
        <v>46097</v>
      </c>
      <c r="E64" s="456" t="s">
        <v>458</v>
      </c>
      <c r="F64" s="456" t="s">
        <v>5195</v>
      </c>
      <c r="G64" s="456" t="s">
        <v>355</v>
      </c>
      <c r="H64" s="456" t="s">
        <v>5196</v>
      </c>
      <c r="I64" s="456" t="s">
        <v>5153</v>
      </c>
      <c r="J64" s="456">
        <v>2</v>
      </c>
      <c r="K64" s="456" t="s">
        <v>78</v>
      </c>
      <c r="L64" s="502"/>
    </row>
    <row r="65" spans="1:12" ht="15.8" customHeight="1" x14ac:dyDescent="0.2">
      <c r="A65" s="458" t="s">
        <v>10</v>
      </c>
      <c r="B65" s="458" t="s">
        <v>2161</v>
      </c>
      <c r="C65" s="576"/>
      <c r="D65" s="459">
        <v>46098</v>
      </c>
      <c r="E65" s="458" t="s">
        <v>4946</v>
      </c>
      <c r="F65" s="458" t="s">
        <v>5197</v>
      </c>
      <c r="G65" s="458" t="s">
        <v>4251</v>
      </c>
      <c r="H65" s="458" t="s">
        <v>5198</v>
      </c>
      <c r="I65" s="458" t="s">
        <v>5199</v>
      </c>
      <c r="J65" s="458">
        <v>3</v>
      </c>
      <c r="K65" s="458" t="s">
        <v>192</v>
      </c>
      <c r="L65" s="503"/>
    </row>
    <row r="66" spans="1:12" ht="15.8" customHeight="1" x14ac:dyDescent="0.2">
      <c r="A66" s="456" t="s">
        <v>146</v>
      </c>
      <c r="B66" s="456" t="s">
        <v>11</v>
      </c>
      <c r="C66" s="576"/>
      <c r="D66" s="457">
        <v>46100</v>
      </c>
      <c r="E66" s="456" t="s">
        <v>3763</v>
      </c>
      <c r="F66" s="456" t="s">
        <v>987</v>
      </c>
      <c r="G66" s="456" t="s">
        <v>1153</v>
      </c>
      <c r="H66" s="456" t="s">
        <v>5200</v>
      </c>
      <c r="I66" s="456" t="s">
        <v>3768</v>
      </c>
      <c r="J66" s="456">
        <v>4</v>
      </c>
      <c r="K66" s="456" t="s">
        <v>16</v>
      </c>
      <c r="L66" s="502"/>
    </row>
    <row r="67" spans="1:12" ht="15.8" customHeight="1" x14ac:dyDescent="0.2">
      <c r="A67" s="458" t="s">
        <v>51</v>
      </c>
      <c r="B67" s="458" t="s">
        <v>397</v>
      </c>
      <c r="C67" s="576"/>
      <c r="D67" s="459">
        <v>46100</v>
      </c>
      <c r="E67" s="458" t="s">
        <v>91</v>
      </c>
      <c r="F67" s="458" t="s">
        <v>5201</v>
      </c>
      <c r="G67" s="502"/>
      <c r="H67" s="458" t="s">
        <v>5202</v>
      </c>
      <c r="I67" s="458" t="s">
        <v>167</v>
      </c>
      <c r="J67" s="458">
        <v>3</v>
      </c>
      <c r="K67" s="458" t="s">
        <v>192</v>
      </c>
      <c r="L67" s="503"/>
    </row>
    <row r="68" spans="1:12" ht="15.8" customHeight="1" x14ac:dyDescent="0.2">
      <c r="A68" s="456" t="s">
        <v>51</v>
      </c>
      <c r="B68" s="456" t="s">
        <v>52</v>
      </c>
      <c r="C68" s="576"/>
      <c r="D68" s="457">
        <v>46101</v>
      </c>
      <c r="E68" s="456" t="s">
        <v>5203</v>
      </c>
      <c r="F68" s="456" t="s">
        <v>5204</v>
      </c>
      <c r="G68" s="456" t="s">
        <v>217</v>
      </c>
      <c r="H68" s="456" t="s">
        <v>5205</v>
      </c>
      <c r="I68" s="456" t="s">
        <v>5206</v>
      </c>
      <c r="J68" s="456">
        <v>7</v>
      </c>
      <c r="K68" s="456" t="s">
        <v>1075</v>
      </c>
      <c r="L68" s="502"/>
    </row>
    <row r="69" spans="1:12" ht="15.8" customHeight="1" x14ac:dyDescent="0.2">
      <c r="A69" s="458" t="s">
        <v>51</v>
      </c>
      <c r="B69" s="458" t="s">
        <v>52</v>
      </c>
      <c r="C69" s="576"/>
      <c r="D69" s="459">
        <v>46101</v>
      </c>
      <c r="E69" s="458" t="s">
        <v>118</v>
      </c>
      <c r="F69" s="458" t="s">
        <v>5207</v>
      </c>
      <c r="G69" s="458" t="s">
        <v>5207</v>
      </c>
      <c r="H69" s="458" t="s">
        <v>5208</v>
      </c>
      <c r="I69" s="458" t="s">
        <v>5209</v>
      </c>
      <c r="J69" s="458">
        <v>7</v>
      </c>
      <c r="K69" s="458" t="s">
        <v>1075</v>
      </c>
      <c r="L69" s="503"/>
    </row>
    <row r="70" spans="1:12" ht="15.8" customHeight="1" x14ac:dyDescent="0.2">
      <c r="A70" s="456" t="s">
        <v>51</v>
      </c>
      <c r="B70" s="456" t="s">
        <v>52</v>
      </c>
      <c r="C70" s="576"/>
      <c r="D70" s="457">
        <v>46104</v>
      </c>
      <c r="E70" s="456" t="s">
        <v>57</v>
      </c>
      <c r="F70" s="456" t="s">
        <v>5210</v>
      </c>
      <c r="G70" s="456" t="s">
        <v>4713</v>
      </c>
      <c r="H70" s="456" t="s">
        <v>5211</v>
      </c>
      <c r="I70" s="456" t="s">
        <v>5212</v>
      </c>
      <c r="J70" s="456">
        <v>3</v>
      </c>
      <c r="K70" s="456" t="s">
        <v>16</v>
      </c>
      <c r="L70" s="502"/>
    </row>
    <row r="71" spans="1:12" ht="15.8" customHeight="1" x14ac:dyDescent="0.2">
      <c r="A71" s="458" t="s">
        <v>51</v>
      </c>
      <c r="B71" s="458" t="s">
        <v>52</v>
      </c>
      <c r="C71" s="576"/>
      <c r="D71" s="459">
        <v>46104</v>
      </c>
      <c r="E71" s="458" t="s">
        <v>91</v>
      </c>
      <c r="F71" s="458" t="s">
        <v>5213</v>
      </c>
      <c r="G71" s="458" t="s">
        <v>2211</v>
      </c>
      <c r="H71" s="458" t="s">
        <v>5214</v>
      </c>
      <c r="I71" s="458" t="s">
        <v>167</v>
      </c>
      <c r="J71" s="458">
        <v>2</v>
      </c>
      <c r="K71" s="458" t="s">
        <v>16</v>
      </c>
      <c r="L71" s="503"/>
    </row>
    <row r="72" spans="1:12" ht="15.8" customHeight="1" x14ac:dyDescent="0.2">
      <c r="A72" s="456" t="s">
        <v>10</v>
      </c>
      <c r="B72" s="456" t="s">
        <v>11</v>
      </c>
      <c r="C72" s="576"/>
      <c r="D72" s="457">
        <v>46105</v>
      </c>
      <c r="E72" s="456" t="s">
        <v>57</v>
      </c>
      <c r="F72" s="456" t="s">
        <v>5215</v>
      </c>
      <c r="G72" s="456" t="s">
        <v>139</v>
      </c>
      <c r="H72" s="456" t="s">
        <v>5216</v>
      </c>
      <c r="I72" s="456" t="s">
        <v>167</v>
      </c>
      <c r="J72" s="456">
        <v>3</v>
      </c>
      <c r="K72" s="456" t="s">
        <v>192</v>
      </c>
      <c r="L72" s="502"/>
    </row>
    <row r="73" spans="1:12" ht="15.8" customHeight="1" x14ac:dyDescent="0.2">
      <c r="A73" s="458" t="s">
        <v>10</v>
      </c>
      <c r="B73" s="458" t="s">
        <v>11</v>
      </c>
      <c r="C73" s="576"/>
      <c r="D73" s="459">
        <v>46108</v>
      </c>
      <c r="E73" s="458" t="s">
        <v>91</v>
      </c>
      <c r="F73" s="458" t="s">
        <v>5217</v>
      </c>
      <c r="G73" s="458" t="s">
        <v>5218</v>
      </c>
      <c r="H73" s="458" t="s">
        <v>5219</v>
      </c>
      <c r="I73" s="458" t="s">
        <v>167</v>
      </c>
      <c r="J73" s="458">
        <v>4</v>
      </c>
      <c r="K73" s="458" t="s">
        <v>192</v>
      </c>
      <c r="L73" s="503"/>
    </row>
    <row r="74" spans="1:12" ht="15.8" customHeight="1" x14ac:dyDescent="0.2">
      <c r="A74" s="456" t="s">
        <v>10</v>
      </c>
      <c r="B74" s="456" t="s">
        <v>2162</v>
      </c>
      <c r="C74" s="576"/>
      <c r="D74" s="457">
        <v>46110</v>
      </c>
      <c r="E74" s="456" t="s">
        <v>5220</v>
      </c>
      <c r="F74" s="456" t="s">
        <v>822</v>
      </c>
      <c r="G74" s="456" t="s">
        <v>822</v>
      </c>
      <c r="H74" s="456" t="s">
        <v>5221</v>
      </c>
      <c r="I74" s="456" t="s">
        <v>3721</v>
      </c>
      <c r="J74" s="456">
        <v>15</v>
      </c>
      <c r="K74" s="456" t="s">
        <v>5222</v>
      </c>
      <c r="L74" s="502"/>
    </row>
    <row r="75" spans="1:12" ht="15.8" customHeight="1" x14ac:dyDescent="0.2">
      <c r="A75" s="458" t="s">
        <v>35</v>
      </c>
      <c r="B75" s="458" t="s">
        <v>137</v>
      </c>
      <c r="C75" s="576"/>
      <c r="D75" s="459">
        <v>46111</v>
      </c>
      <c r="E75" s="458" t="s">
        <v>5223</v>
      </c>
      <c r="F75" s="458" t="s">
        <v>5224</v>
      </c>
      <c r="G75" s="502"/>
      <c r="H75" s="458" t="s">
        <v>5225</v>
      </c>
      <c r="I75" s="458" t="s">
        <v>167</v>
      </c>
      <c r="J75" s="458">
        <v>3</v>
      </c>
      <c r="K75" s="458" t="s">
        <v>78</v>
      </c>
      <c r="L75" s="503"/>
    </row>
    <row r="76" spans="1:12" ht="15.8" customHeight="1" x14ac:dyDescent="0.2">
      <c r="A76" s="456" t="s">
        <v>35</v>
      </c>
      <c r="B76" s="456" t="s">
        <v>137</v>
      </c>
      <c r="C76" s="576"/>
      <c r="D76" s="457">
        <v>46111</v>
      </c>
      <c r="E76" s="456" t="s">
        <v>57</v>
      </c>
      <c r="F76" s="456" t="s">
        <v>5226</v>
      </c>
      <c r="G76" s="456" t="s">
        <v>1343</v>
      </c>
      <c r="H76" s="456" t="s">
        <v>5227</v>
      </c>
      <c r="I76" s="456" t="s">
        <v>167</v>
      </c>
      <c r="J76" s="456">
        <v>3</v>
      </c>
      <c r="K76" s="456" t="s">
        <v>78</v>
      </c>
      <c r="L76" s="502"/>
    </row>
    <row r="77" spans="1:12" ht="15.8" customHeight="1" x14ac:dyDescent="0.2">
      <c r="A77" s="458" t="s">
        <v>35</v>
      </c>
      <c r="B77" s="458" t="s">
        <v>137</v>
      </c>
      <c r="C77" s="576"/>
      <c r="D77" s="459">
        <v>46112</v>
      </c>
      <c r="E77" s="458" t="s">
        <v>74</v>
      </c>
      <c r="F77" s="458" t="s">
        <v>5228</v>
      </c>
      <c r="G77" s="458" t="s">
        <v>110</v>
      </c>
      <c r="H77" s="458" t="s">
        <v>5229</v>
      </c>
      <c r="I77" s="458" t="s">
        <v>3721</v>
      </c>
      <c r="J77" s="458">
        <v>2</v>
      </c>
      <c r="K77" s="458" t="s">
        <v>78</v>
      </c>
      <c r="L77" s="503"/>
    </row>
    <row r="78" spans="1:12" ht="15.8" customHeight="1" x14ac:dyDescent="0.2">
      <c r="A78" s="456" t="s">
        <v>35</v>
      </c>
      <c r="B78" s="456" t="s">
        <v>64</v>
      </c>
      <c r="C78" s="576"/>
      <c r="D78" s="457">
        <v>46112</v>
      </c>
      <c r="E78" s="456" t="s">
        <v>1070</v>
      </c>
      <c r="F78" s="456" t="s">
        <v>5230</v>
      </c>
      <c r="G78" s="456" t="s">
        <v>157</v>
      </c>
      <c r="H78" s="456" t="s">
        <v>5231</v>
      </c>
      <c r="I78" s="456" t="s">
        <v>3721</v>
      </c>
      <c r="J78" s="456">
        <v>4</v>
      </c>
      <c r="K78" s="456" t="s">
        <v>78</v>
      </c>
      <c r="L78" s="502"/>
    </row>
    <row r="79" spans="1:12" ht="15.8" customHeight="1" x14ac:dyDescent="0.2">
      <c r="A79" s="511" t="s">
        <v>403</v>
      </c>
      <c r="B79" s="509"/>
      <c r="C79" s="391"/>
      <c r="D79" s="510"/>
      <c r="E79" s="509"/>
      <c r="F79" s="509"/>
      <c r="G79" s="509"/>
      <c r="H79" s="509"/>
      <c r="I79" s="509"/>
      <c r="J79" s="509"/>
      <c r="K79" s="509"/>
      <c r="L79" s="498"/>
    </row>
    <row r="80" spans="1:12" ht="15.8" customHeight="1" x14ac:dyDescent="0.2">
      <c r="A80" s="456" t="s">
        <v>10</v>
      </c>
      <c r="B80" s="456" t="s">
        <v>2161</v>
      </c>
      <c r="C80" s="576">
        <f>COUNTIF(B80:B101,C2)</f>
        <v>2</v>
      </c>
      <c r="D80" s="457">
        <v>46113</v>
      </c>
      <c r="E80" s="456" t="s">
        <v>57</v>
      </c>
      <c r="F80" s="456" t="s">
        <v>5232</v>
      </c>
      <c r="G80" s="456" t="s">
        <v>27</v>
      </c>
      <c r="H80" s="456" t="s">
        <v>5233</v>
      </c>
      <c r="I80" s="456" t="s">
        <v>3937</v>
      </c>
      <c r="J80" s="456">
        <v>3</v>
      </c>
      <c r="K80" s="456" t="s">
        <v>78</v>
      </c>
      <c r="L80" s="502"/>
    </row>
    <row r="81" spans="1:12" ht="15.8" customHeight="1" x14ac:dyDescent="0.2">
      <c r="A81" s="458" t="s">
        <v>10</v>
      </c>
      <c r="B81" s="458" t="s">
        <v>2162</v>
      </c>
      <c r="C81" s="576"/>
      <c r="D81" s="459">
        <v>46114</v>
      </c>
      <c r="E81" s="458" t="s">
        <v>215</v>
      </c>
      <c r="F81" s="458" t="s">
        <v>5234</v>
      </c>
      <c r="G81" s="458" t="s">
        <v>27</v>
      </c>
      <c r="H81" s="458" t="s">
        <v>5235</v>
      </c>
      <c r="I81" s="458" t="s">
        <v>3937</v>
      </c>
      <c r="J81" s="458">
        <v>26</v>
      </c>
      <c r="K81" s="458" t="s">
        <v>2277</v>
      </c>
      <c r="L81" s="503"/>
    </row>
    <row r="82" spans="1:12" ht="15.8" customHeight="1" x14ac:dyDescent="0.2">
      <c r="A82" s="456" t="s">
        <v>146</v>
      </c>
      <c r="B82" s="456" t="s">
        <v>11</v>
      </c>
      <c r="C82" s="576"/>
      <c r="D82" s="457">
        <v>46118</v>
      </c>
      <c r="E82" s="456" t="s">
        <v>477</v>
      </c>
      <c r="F82" s="456" t="s">
        <v>5236</v>
      </c>
      <c r="G82" s="456" t="s">
        <v>139</v>
      </c>
      <c r="H82" s="456" t="s">
        <v>5237</v>
      </c>
      <c r="I82" s="456" t="s">
        <v>5065</v>
      </c>
      <c r="J82" s="456">
        <v>3</v>
      </c>
      <c r="K82" s="456" t="s">
        <v>16</v>
      </c>
      <c r="L82" s="502"/>
    </row>
    <row r="83" spans="1:12" ht="15.8" customHeight="1" x14ac:dyDescent="0.2">
      <c r="A83" s="458" t="s">
        <v>10</v>
      </c>
      <c r="B83" s="458" t="s">
        <v>2162</v>
      </c>
      <c r="C83" s="576"/>
      <c r="D83" s="459">
        <v>46115</v>
      </c>
      <c r="E83" s="458" t="s">
        <v>5238</v>
      </c>
      <c r="F83" s="458" t="s">
        <v>822</v>
      </c>
      <c r="G83" s="458" t="s">
        <v>5239</v>
      </c>
      <c r="H83" s="458" t="s">
        <v>5240</v>
      </c>
      <c r="I83" s="458" t="s">
        <v>3721</v>
      </c>
      <c r="J83" s="458">
        <v>22</v>
      </c>
      <c r="K83" s="458" t="s">
        <v>2307</v>
      </c>
      <c r="L83" s="503"/>
    </row>
    <row r="84" spans="1:12" ht="15.8" customHeight="1" x14ac:dyDescent="0.2">
      <c r="A84" s="456" t="s">
        <v>10</v>
      </c>
      <c r="B84" s="456" t="s">
        <v>2162</v>
      </c>
      <c r="C84" s="576"/>
      <c r="D84" s="457">
        <v>46115</v>
      </c>
      <c r="E84" s="504">
        <v>0.10416666666666667</v>
      </c>
      <c r="F84" s="456" t="s">
        <v>5241</v>
      </c>
      <c r="G84" s="503"/>
      <c r="H84" s="456" t="s">
        <v>5242</v>
      </c>
      <c r="I84" s="456" t="s">
        <v>167</v>
      </c>
      <c r="J84" s="456">
        <v>20</v>
      </c>
      <c r="K84" s="456" t="s">
        <v>2277</v>
      </c>
      <c r="L84" s="502"/>
    </row>
    <row r="85" spans="1:12" ht="15.8" customHeight="1" x14ac:dyDescent="0.2">
      <c r="A85" s="458" t="s">
        <v>17</v>
      </c>
      <c r="B85" s="458" t="s">
        <v>24</v>
      </c>
      <c r="C85" s="576"/>
      <c r="D85" s="459">
        <v>46122</v>
      </c>
      <c r="E85" s="458" t="s">
        <v>72</v>
      </c>
      <c r="F85" s="458" t="s">
        <v>5243</v>
      </c>
      <c r="G85" s="458" t="s">
        <v>5110</v>
      </c>
      <c r="H85" s="458" t="s">
        <v>5244</v>
      </c>
      <c r="I85" s="458" t="s">
        <v>3937</v>
      </c>
      <c r="J85" s="458">
        <v>1</v>
      </c>
      <c r="K85" s="458" t="s">
        <v>23</v>
      </c>
      <c r="L85" s="503"/>
    </row>
    <row r="86" spans="1:12" ht="15.8" customHeight="1" x14ac:dyDescent="0.2">
      <c r="A86" s="456" t="s">
        <v>146</v>
      </c>
      <c r="B86" s="456" t="s">
        <v>11</v>
      </c>
      <c r="C86" s="576"/>
      <c r="D86" s="457">
        <v>46122</v>
      </c>
      <c r="E86" s="456" t="s">
        <v>91</v>
      </c>
      <c r="F86" s="456" t="s">
        <v>5245</v>
      </c>
      <c r="G86" s="456" t="s">
        <v>76</v>
      </c>
      <c r="H86" s="456" t="s">
        <v>5246</v>
      </c>
      <c r="I86" s="456" t="s">
        <v>3937</v>
      </c>
      <c r="J86" s="456">
        <v>3</v>
      </c>
      <c r="K86" s="456" t="s">
        <v>16</v>
      </c>
      <c r="L86" s="502"/>
    </row>
    <row r="87" spans="1:12" ht="15.8" customHeight="1" x14ac:dyDescent="0.2">
      <c r="A87" s="458" t="s">
        <v>10</v>
      </c>
      <c r="B87" s="458" t="s">
        <v>52</v>
      </c>
      <c r="C87" s="576"/>
      <c r="D87" s="459">
        <v>46122</v>
      </c>
      <c r="E87" s="458" t="s">
        <v>4602</v>
      </c>
      <c r="F87" s="458" t="s">
        <v>5247</v>
      </c>
      <c r="G87" s="458" t="s">
        <v>5248</v>
      </c>
      <c r="H87" s="458" t="s">
        <v>5249</v>
      </c>
      <c r="I87" s="458" t="s">
        <v>3721</v>
      </c>
      <c r="J87" s="458">
        <v>8</v>
      </c>
      <c r="K87" s="458" t="s">
        <v>2607</v>
      </c>
      <c r="L87" s="503"/>
    </row>
    <row r="88" spans="1:12" ht="15.8" customHeight="1" x14ac:dyDescent="0.2">
      <c r="A88" s="456" t="s">
        <v>10</v>
      </c>
      <c r="B88" s="456" t="s">
        <v>2162</v>
      </c>
      <c r="C88" s="576"/>
      <c r="D88" s="457">
        <v>46116</v>
      </c>
      <c r="E88" s="456" t="s">
        <v>4173</v>
      </c>
      <c r="F88" s="456" t="s">
        <v>5250</v>
      </c>
      <c r="G88" s="456" t="s">
        <v>27</v>
      </c>
      <c r="H88" s="456" t="s">
        <v>5240</v>
      </c>
      <c r="I88" s="456" t="s">
        <v>167</v>
      </c>
      <c r="J88" s="456">
        <v>10</v>
      </c>
      <c r="K88" s="456" t="s">
        <v>2277</v>
      </c>
      <c r="L88" s="502"/>
    </row>
    <row r="89" spans="1:12" ht="15.8" customHeight="1" x14ac:dyDescent="0.2">
      <c r="A89" s="458" t="s">
        <v>10</v>
      </c>
      <c r="B89" s="458" t="s">
        <v>29</v>
      </c>
      <c r="C89" s="576"/>
      <c r="D89" s="459">
        <v>46125</v>
      </c>
      <c r="E89" s="458" t="s">
        <v>215</v>
      </c>
      <c r="F89" s="458" t="s">
        <v>5251</v>
      </c>
      <c r="G89" s="458" t="s">
        <v>139</v>
      </c>
      <c r="H89" s="458" t="s">
        <v>5252</v>
      </c>
      <c r="I89" s="458" t="s">
        <v>3937</v>
      </c>
      <c r="J89" s="458">
        <v>4</v>
      </c>
      <c r="K89" s="458" t="s">
        <v>34</v>
      </c>
      <c r="L89" s="503"/>
    </row>
    <row r="90" spans="1:12" ht="15.8" customHeight="1" x14ac:dyDescent="0.2">
      <c r="A90" s="456" t="s">
        <v>17</v>
      </c>
      <c r="B90" s="456" t="s">
        <v>24</v>
      </c>
      <c r="C90" s="576"/>
      <c r="D90" s="457">
        <v>46125</v>
      </c>
      <c r="E90" s="456" t="s">
        <v>72</v>
      </c>
      <c r="F90" s="456" t="s">
        <v>5253</v>
      </c>
      <c r="G90" s="456" t="s">
        <v>27</v>
      </c>
      <c r="H90" s="456" t="s">
        <v>5254</v>
      </c>
      <c r="I90" s="456" t="s">
        <v>3937</v>
      </c>
      <c r="J90" s="456">
        <v>2</v>
      </c>
      <c r="K90" s="456" t="s">
        <v>23</v>
      </c>
      <c r="L90" s="502"/>
    </row>
    <row r="91" spans="1:12" ht="15.8" customHeight="1" x14ac:dyDescent="0.2">
      <c r="A91" s="458" t="s">
        <v>17</v>
      </c>
      <c r="B91" s="458" t="s">
        <v>24</v>
      </c>
      <c r="C91" s="576"/>
      <c r="D91" s="459">
        <v>46125</v>
      </c>
      <c r="E91" s="458" t="s">
        <v>72</v>
      </c>
      <c r="F91" s="458" t="s">
        <v>5255</v>
      </c>
      <c r="G91" s="458" t="s">
        <v>27</v>
      </c>
      <c r="H91" s="458" t="s">
        <v>5256</v>
      </c>
      <c r="I91" s="458" t="s">
        <v>3937</v>
      </c>
      <c r="J91" s="458">
        <v>1</v>
      </c>
      <c r="K91" s="458" t="s">
        <v>23</v>
      </c>
      <c r="L91" s="503"/>
    </row>
    <row r="92" spans="1:12" ht="15.8" customHeight="1" x14ac:dyDescent="0.2">
      <c r="A92" s="456" t="s">
        <v>10</v>
      </c>
      <c r="B92" s="456" t="s">
        <v>2162</v>
      </c>
      <c r="C92" s="576"/>
      <c r="D92" s="457">
        <v>46127</v>
      </c>
      <c r="E92" s="456" t="s">
        <v>87</v>
      </c>
      <c r="F92" s="456" t="s">
        <v>5257</v>
      </c>
      <c r="G92" s="456" t="s">
        <v>85</v>
      </c>
      <c r="H92" s="456" t="s">
        <v>5258</v>
      </c>
      <c r="I92" s="456" t="s">
        <v>3721</v>
      </c>
      <c r="J92" s="456">
        <v>1</v>
      </c>
      <c r="K92" s="456" t="s">
        <v>167</v>
      </c>
      <c r="L92" s="502"/>
    </row>
    <row r="93" spans="1:12" ht="15.8" customHeight="1" x14ac:dyDescent="0.2">
      <c r="A93" s="458" t="s">
        <v>146</v>
      </c>
      <c r="B93" s="458" t="s">
        <v>2163</v>
      </c>
      <c r="C93" s="576"/>
      <c r="D93" s="459">
        <v>46130</v>
      </c>
      <c r="E93" s="458" t="s">
        <v>5259</v>
      </c>
      <c r="F93" s="458" t="s">
        <v>5260</v>
      </c>
      <c r="G93" s="458" t="s">
        <v>85</v>
      </c>
      <c r="H93" s="458" t="s">
        <v>5261</v>
      </c>
      <c r="I93" s="458" t="s">
        <v>3721</v>
      </c>
      <c r="J93" s="458">
        <v>4</v>
      </c>
      <c r="K93" s="458" t="s">
        <v>16</v>
      </c>
      <c r="L93" s="503"/>
    </row>
    <row r="94" spans="1:12" ht="15.8" customHeight="1" x14ac:dyDescent="0.2">
      <c r="A94" s="456" t="s">
        <v>10</v>
      </c>
      <c r="B94" s="456" t="s">
        <v>29</v>
      </c>
      <c r="C94" s="576"/>
      <c r="D94" s="457">
        <v>46131</v>
      </c>
      <c r="E94" s="456" t="s">
        <v>72</v>
      </c>
      <c r="F94" s="456" t="s">
        <v>5262</v>
      </c>
      <c r="G94" s="456" t="s">
        <v>173</v>
      </c>
      <c r="H94" s="456" t="s">
        <v>5263</v>
      </c>
      <c r="I94" s="456" t="s">
        <v>3937</v>
      </c>
      <c r="J94" s="456">
        <v>3</v>
      </c>
      <c r="K94" s="456" t="s">
        <v>50</v>
      </c>
      <c r="L94" s="502"/>
    </row>
    <row r="95" spans="1:12" ht="15.8" customHeight="1" x14ac:dyDescent="0.2">
      <c r="A95" s="458" t="s">
        <v>10</v>
      </c>
      <c r="B95" s="458" t="s">
        <v>152</v>
      </c>
      <c r="C95" s="576"/>
      <c r="D95" s="459">
        <v>46131</v>
      </c>
      <c r="E95" s="458" t="s">
        <v>91</v>
      </c>
      <c r="F95" s="458" t="s">
        <v>222</v>
      </c>
      <c r="G95" s="458" t="s">
        <v>222</v>
      </c>
      <c r="H95" s="458" t="s">
        <v>5264</v>
      </c>
      <c r="I95" s="458" t="s">
        <v>3937</v>
      </c>
      <c r="J95" s="458">
        <v>3</v>
      </c>
      <c r="K95" s="458" t="s">
        <v>50</v>
      </c>
      <c r="L95" s="503"/>
    </row>
    <row r="96" spans="1:12" ht="15.8" customHeight="1" x14ac:dyDescent="0.2">
      <c r="A96" s="456" t="s">
        <v>35</v>
      </c>
      <c r="B96" s="456" t="s">
        <v>137</v>
      </c>
      <c r="C96" s="576"/>
      <c r="D96" s="457">
        <v>46133</v>
      </c>
      <c r="E96" s="456" t="s">
        <v>57</v>
      </c>
      <c r="F96" s="456" t="s">
        <v>4918</v>
      </c>
      <c r="G96" s="456" t="s">
        <v>139</v>
      </c>
      <c r="H96" s="456" t="s">
        <v>5265</v>
      </c>
      <c r="I96" s="456" t="s">
        <v>3937</v>
      </c>
      <c r="J96" s="456">
        <v>3</v>
      </c>
      <c r="K96" s="456" t="s">
        <v>50</v>
      </c>
      <c r="L96" s="502"/>
    </row>
    <row r="97" spans="1:12" ht="15.8" customHeight="1" x14ac:dyDescent="0.2">
      <c r="A97" s="458" t="s">
        <v>10</v>
      </c>
      <c r="B97" s="458" t="s">
        <v>2162</v>
      </c>
      <c r="C97" s="576"/>
      <c r="D97" s="459">
        <v>46133</v>
      </c>
      <c r="E97" s="458" t="s">
        <v>153</v>
      </c>
      <c r="F97" s="458" t="s">
        <v>5266</v>
      </c>
      <c r="G97" s="458" t="s">
        <v>441</v>
      </c>
      <c r="H97" s="458" t="s">
        <v>5267</v>
      </c>
      <c r="I97" s="458" t="s">
        <v>5268</v>
      </c>
      <c r="J97" s="458">
        <v>3</v>
      </c>
      <c r="K97" s="458" t="s">
        <v>34</v>
      </c>
      <c r="L97" s="503"/>
    </row>
    <row r="98" spans="1:12" ht="15.8" customHeight="1" x14ac:dyDescent="0.2">
      <c r="A98" s="456" t="s">
        <v>159</v>
      </c>
      <c r="B98" s="456" t="s">
        <v>137</v>
      </c>
      <c r="C98" s="576"/>
      <c r="D98" s="457">
        <v>46136</v>
      </c>
      <c r="E98" s="456" t="s">
        <v>57</v>
      </c>
      <c r="F98" s="456" t="s">
        <v>5269</v>
      </c>
      <c r="G98" s="456" t="s">
        <v>21</v>
      </c>
      <c r="H98" s="456" t="s">
        <v>5270</v>
      </c>
      <c r="I98" s="456" t="s">
        <v>3937</v>
      </c>
      <c r="J98" s="456">
        <v>4</v>
      </c>
      <c r="K98" s="456" t="s">
        <v>50</v>
      </c>
      <c r="L98" s="502"/>
    </row>
    <row r="99" spans="1:12" ht="15.8" customHeight="1" x14ac:dyDescent="0.2">
      <c r="A99" s="458" t="s">
        <v>51</v>
      </c>
      <c r="B99" s="458" t="s">
        <v>481</v>
      </c>
      <c r="C99" s="576"/>
      <c r="D99" s="459">
        <v>46139</v>
      </c>
      <c r="E99" s="458" t="s">
        <v>122</v>
      </c>
      <c r="F99" s="458" t="s">
        <v>2176</v>
      </c>
      <c r="G99" s="458" t="s">
        <v>2176</v>
      </c>
      <c r="H99" s="458" t="s">
        <v>5271</v>
      </c>
      <c r="I99" s="458" t="s">
        <v>5146</v>
      </c>
      <c r="J99" s="458">
        <v>7</v>
      </c>
      <c r="K99" s="458" t="s">
        <v>2607</v>
      </c>
      <c r="L99" s="503"/>
    </row>
    <row r="100" spans="1:12" ht="15.8" customHeight="1" x14ac:dyDescent="0.2">
      <c r="A100" s="456" t="s">
        <v>10</v>
      </c>
      <c r="B100" s="456" t="s">
        <v>29</v>
      </c>
      <c r="C100" s="576"/>
      <c r="D100" s="457">
        <v>46142</v>
      </c>
      <c r="E100" s="456" t="s">
        <v>57</v>
      </c>
      <c r="F100" s="456" t="s">
        <v>381</v>
      </c>
      <c r="G100" s="503"/>
      <c r="H100" s="456" t="s">
        <v>5272</v>
      </c>
      <c r="I100" s="456" t="s">
        <v>167</v>
      </c>
      <c r="J100" s="456">
        <v>3</v>
      </c>
      <c r="K100" s="456" t="s">
        <v>34</v>
      </c>
      <c r="L100" s="502"/>
    </row>
    <row r="101" spans="1:12" ht="15.8" customHeight="1" x14ac:dyDescent="0.2">
      <c r="A101" s="458" t="s">
        <v>51</v>
      </c>
      <c r="B101" s="458" t="s">
        <v>52</v>
      </c>
      <c r="C101" s="576"/>
      <c r="D101" s="459">
        <v>46142</v>
      </c>
      <c r="E101" s="458" t="s">
        <v>5273</v>
      </c>
      <c r="F101" s="458" t="s">
        <v>5274</v>
      </c>
      <c r="G101" s="458" t="s">
        <v>95</v>
      </c>
      <c r="H101" s="458" t="s">
        <v>5275</v>
      </c>
      <c r="I101" s="458" t="s">
        <v>5276</v>
      </c>
      <c r="J101" s="458">
        <v>2</v>
      </c>
      <c r="K101" s="458" t="s">
        <v>16</v>
      </c>
      <c r="L101" s="503"/>
    </row>
    <row r="102" spans="1:12" ht="15.8" customHeight="1" x14ac:dyDescent="0.2">
      <c r="A102" s="35" t="s">
        <v>2145</v>
      </c>
      <c r="B102" s="509"/>
      <c r="C102" s="391"/>
      <c r="D102" s="365"/>
      <c r="E102" s="99"/>
      <c r="F102" s="99"/>
      <c r="G102" s="530"/>
      <c r="H102" s="99"/>
      <c r="I102" s="99"/>
      <c r="J102" s="387"/>
      <c r="K102" s="387"/>
      <c r="L102" s="498"/>
    </row>
    <row r="103" spans="1:12" ht="15.8" customHeight="1" x14ac:dyDescent="0.2">
      <c r="A103" s="456" t="s">
        <v>51</v>
      </c>
      <c r="B103" s="458" t="s">
        <v>244</v>
      </c>
      <c r="C103" s="576">
        <f>COUNTIF(B103:B127,C2)</f>
        <v>1</v>
      </c>
      <c r="D103" s="457">
        <v>46144</v>
      </c>
      <c r="E103" s="456" t="s">
        <v>57</v>
      </c>
      <c r="F103" s="456" t="s">
        <v>4171</v>
      </c>
      <c r="G103" s="456" t="s">
        <v>3975</v>
      </c>
      <c r="H103" s="456" t="s">
        <v>5277</v>
      </c>
      <c r="I103" s="456" t="s">
        <v>3937</v>
      </c>
      <c r="J103" s="456">
        <v>2</v>
      </c>
      <c r="K103" s="456" t="s">
        <v>192</v>
      </c>
      <c r="L103" s="503"/>
    </row>
    <row r="104" spans="1:12" ht="15.8" customHeight="1" x14ac:dyDescent="0.2">
      <c r="A104" s="458" t="s">
        <v>10</v>
      </c>
      <c r="B104" s="458" t="s">
        <v>2162</v>
      </c>
      <c r="C104" s="576"/>
      <c r="D104" s="459">
        <v>46145</v>
      </c>
      <c r="E104" s="458" t="s">
        <v>72</v>
      </c>
      <c r="F104" s="458" t="s">
        <v>217</v>
      </c>
      <c r="G104" s="458" t="s">
        <v>217</v>
      </c>
      <c r="H104" s="458" t="s">
        <v>5278</v>
      </c>
      <c r="I104" s="458" t="s">
        <v>3937</v>
      </c>
      <c r="J104" s="458">
        <v>4</v>
      </c>
      <c r="K104" s="458" t="s">
        <v>50</v>
      </c>
      <c r="L104" s="502"/>
    </row>
    <row r="105" spans="1:12" ht="15.8" customHeight="1" x14ac:dyDescent="0.2">
      <c r="A105" s="456" t="s">
        <v>10</v>
      </c>
      <c r="B105" s="458" t="s">
        <v>2162</v>
      </c>
      <c r="C105" s="576"/>
      <c r="D105" s="457">
        <v>46146</v>
      </c>
      <c r="E105" s="456" t="s">
        <v>57</v>
      </c>
      <c r="F105" s="456" t="s">
        <v>722</v>
      </c>
      <c r="G105" s="503"/>
      <c r="H105" s="456" t="s">
        <v>5279</v>
      </c>
      <c r="I105" s="456" t="s">
        <v>167</v>
      </c>
      <c r="J105" s="456">
        <v>3</v>
      </c>
      <c r="K105" s="456" t="s">
        <v>50</v>
      </c>
      <c r="L105" s="503"/>
    </row>
    <row r="106" spans="1:12" ht="15.8" customHeight="1" x14ac:dyDescent="0.2">
      <c r="A106" s="458" t="s">
        <v>10</v>
      </c>
      <c r="B106" s="458" t="s">
        <v>29</v>
      </c>
      <c r="C106" s="576"/>
      <c r="D106" s="459">
        <v>46149</v>
      </c>
      <c r="E106" s="458" t="s">
        <v>1302</v>
      </c>
      <c r="F106" s="458" t="s">
        <v>5280</v>
      </c>
      <c r="G106" s="458" t="s">
        <v>95</v>
      </c>
      <c r="H106" s="458" t="s">
        <v>581</v>
      </c>
      <c r="I106" s="458" t="s">
        <v>3721</v>
      </c>
      <c r="J106" s="458">
        <v>2</v>
      </c>
      <c r="K106" s="458" t="s">
        <v>50</v>
      </c>
      <c r="L106" s="502"/>
    </row>
    <row r="107" spans="1:12" ht="15.8" customHeight="1" x14ac:dyDescent="0.2">
      <c r="A107" s="456" t="s">
        <v>35</v>
      </c>
      <c r="B107" s="458" t="s">
        <v>29</v>
      </c>
      <c r="C107" s="576"/>
      <c r="D107" s="457">
        <v>46150</v>
      </c>
      <c r="E107" s="456" t="s">
        <v>1182</v>
      </c>
      <c r="F107" s="456" t="s">
        <v>2609</v>
      </c>
      <c r="G107" s="456" t="s">
        <v>95</v>
      </c>
      <c r="H107" s="456" t="s">
        <v>5281</v>
      </c>
      <c r="I107" s="456" t="s">
        <v>5065</v>
      </c>
      <c r="J107" s="456">
        <v>2</v>
      </c>
      <c r="K107" s="456" t="s">
        <v>34</v>
      </c>
      <c r="L107" s="503"/>
    </row>
    <row r="108" spans="1:12" ht="15.8" customHeight="1" x14ac:dyDescent="0.2">
      <c r="A108" s="458" t="s">
        <v>35</v>
      </c>
      <c r="B108" s="458" t="s">
        <v>137</v>
      </c>
      <c r="C108" s="576"/>
      <c r="D108" s="459">
        <v>46154</v>
      </c>
      <c r="E108" s="458" t="s">
        <v>57</v>
      </c>
      <c r="F108" s="458" t="s">
        <v>5282</v>
      </c>
      <c r="G108" s="458" t="s">
        <v>446</v>
      </c>
      <c r="H108" s="458" t="s">
        <v>5283</v>
      </c>
      <c r="I108" s="458" t="s">
        <v>3937</v>
      </c>
      <c r="J108" s="458">
        <v>5</v>
      </c>
      <c r="K108" s="458" t="s">
        <v>34</v>
      </c>
      <c r="L108" s="502"/>
    </row>
    <row r="109" spans="1:12" ht="15.8" customHeight="1" x14ac:dyDescent="0.2">
      <c r="A109" s="456" t="s">
        <v>10</v>
      </c>
      <c r="B109" s="458" t="s">
        <v>11</v>
      </c>
      <c r="C109" s="576"/>
      <c r="D109" s="457">
        <v>46155</v>
      </c>
      <c r="E109" s="456" t="s">
        <v>4173</v>
      </c>
      <c r="F109" s="456" t="s">
        <v>5284</v>
      </c>
      <c r="G109" s="456" t="s">
        <v>5285</v>
      </c>
      <c r="H109" s="456" t="s">
        <v>11</v>
      </c>
      <c r="I109" s="456" t="s">
        <v>5286</v>
      </c>
      <c r="J109" s="456">
        <v>4</v>
      </c>
      <c r="K109" s="456" t="s">
        <v>2607</v>
      </c>
      <c r="L109" s="503"/>
    </row>
    <row r="110" spans="1:12" ht="15.8" customHeight="1" x14ac:dyDescent="0.2">
      <c r="A110" s="458" t="s">
        <v>35</v>
      </c>
      <c r="B110" s="458" t="s">
        <v>137</v>
      </c>
      <c r="C110" s="576"/>
      <c r="D110" s="459">
        <v>46156</v>
      </c>
      <c r="E110" s="458" t="s">
        <v>57</v>
      </c>
      <c r="F110" s="458" t="s">
        <v>5287</v>
      </c>
      <c r="G110" s="458" t="s">
        <v>110</v>
      </c>
      <c r="H110" s="458" t="s">
        <v>5288</v>
      </c>
      <c r="I110" s="458" t="s">
        <v>3937</v>
      </c>
      <c r="J110" s="458">
        <v>3</v>
      </c>
      <c r="K110" s="458" t="s">
        <v>50</v>
      </c>
      <c r="L110" s="502"/>
    </row>
    <row r="111" spans="1:12" ht="15.8" customHeight="1" x14ac:dyDescent="0.2">
      <c r="A111" s="456" t="s">
        <v>10</v>
      </c>
      <c r="B111" s="458" t="s">
        <v>2161</v>
      </c>
      <c r="C111" s="576"/>
      <c r="D111" s="457">
        <v>46156</v>
      </c>
      <c r="E111" s="456" t="s">
        <v>1449</v>
      </c>
      <c r="F111" s="456" t="s">
        <v>4171</v>
      </c>
      <c r="G111" s="456" t="s">
        <v>217</v>
      </c>
      <c r="H111" s="456" t="s">
        <v>5289</v>
      </c>
      <c r="I111" s="456" t="s">
        <v>3937</v>
      </c>
      <c r="J111" s="456">
        <v>5</v>
      </c>
      <c r="K111" s="456" t="s">
        <v>34</v>
      </c>
      <c r="L111" s="503"/>
    </row>
    <row r="112" spans="1:12" ht="15.8" customHeight="1" x14ac:dyDescent="0.2">
      <c r="A112" s="458" t="s">
        <v>10</v>
      </c>
      <c r="B112" s="458" t="s">
        <v>2161</v>
      </c>
      <c r="C112" s="576"/>
      <c r="D112" s="459">
        <v>46156</v>
      </c>
      <c r="E112" s="458" t="s">
        <v>57</v>
      </c>
      <c r="F112" s="458" t="s">
        <v>1837</v>
      </c>
      <c r="G112" s="458" t="s">
        <v>1027</v>
      </c>
      <c r="H112" s="458" t="s">
        <v>5290</v>
      </c>
      <c r="I112" s="458" t="s">
        <v>3937</v>
      </c>
      <c r="J112" s="458">
        <v>2</v>
      </c>
      <c r="K112" s="458" t="s">
        <v>50</v>
      </c>
      <c r="L112" s="502"/>
    </row>
    <row r="113" spans="1:12" ht="15.8" customHeight="1" x14ac:dyDescent="0.2">
      <c r="A113" s="456" t="s">
        <v>146</v>
      </c>
      <c r="B113" s="458" t="s">
        <v>11</v>
      </c>
      <c r="C113" s="576"/>
      <c r="D113" s="457">
        <v>46157</v>
      </c>
      <c r="E113" s="456" t="s">
        <v>4519</v>
      </c>
      <c r="F113" s="456" t="s">
        <v>5291</v>
      </c>
      <c r="G113" s="456" t="s">
        <v>76</v>
      </c>
      <c r="H113" s="456" t="s">
        <v>5292</v>
      </c>
      <c r="I113" s="456" t="s">
        <v>3721</v>
      </c>
      <c r="J113" s="456">
        <v>3</v>
      </c>
      <c r="K113" s="456" t="s">
        <v>192</v>
      </c>
      <c r="L113" s="503"/>
    </row>
    <row r="114" spans="1:12" ht="15.8" customHeight="1" x14ac:dyDescent="0.2">
      <c r="A114" s="458" t="s">
        <v>10</v>
      </c>
      <c r="B114" s="458" t="s">
        <v>2161</v>
      </c>
      <c r="C114" s="576"/>
      <c r="D114" s="459">
        <v>46158</v>
      </c>
      <c r="E114" s="458" t="s">
        <v>57</v>
      </c>
      <c r="F114" s="458" t="s">
        <v>5293</v>
      </c>
      <c r="G114" s="458" t="s">
        <v>76</v>
      </c>
      <c r="H114" s="458" t="s">
        <v>5294</v>
      </c>
      <c r="I114" s="458" t="s">
        <v>5295</v>
      </c>
      <c r="J114" s="458">
        <v>3</v>
      </c>
      <c r="K114" s="458" t="s">
        <v>192</v>
      </c>
      <c r="L114" s="502"/>
    </row>
    <row r="115" spans="1:12" ht="15.8" customHeight="1" x14ac:dyDescent="0.2">
      <c r="A115" s="456" t="s">
        <v>10</v>
      </c>
      <c r="B115" s="458" t="s">
        <v>451</v>
      </c>
      <c r="C115" s="576"/>
      <c r="D115" s="457">
        <v>46162</v>
      </c>
      <c r="E115" s="456" t="s">
        <v>57</v>
      </c>
      <c r="F115" s="456" t="s">
        <v>1676</v>
      </c>
      <c r="G115" s="456" t="s">
        <v>27</v>
      </c>
      <c r="H115" s="456" t="s">
        <v>5296</v>
      </c>
      <c r="I115" s="456" t="s">
        <v>3937</v>
      </c>
      <c r="J115" s="456">
        <v>3</v>
      </c>
      <c r="K115" s="456" t="s">
        <v>192</v>
      </c>
      <c r="L115" s="503"/>
    </row>
    <row r="116" spans="1:12" ht="15.8" customHeight="1" x14ac:dyDescent="0.2">
      <c r="A116" s="458" t="s">
        <v>35</v>
      </c>
      <c r="B116" s="458" t="s">
        <v>137</v>
      </c>
      <c r="C116" s="576"/>
      <c r="D116" s="459">
        <v>46160</v>
      </c>
      <c r="E116" s="458" t="s">
        <v>57</v>
      </c>
      <c r="F116" s="458" t="s">
        <v>5297</v>
      </c>
      <c r="G116" s="502"/>
      <c r="H116" s="458" t="s">
        <v>5298</v>
      </c>
      <c r="I116" s="458" t="s">
        <v>167</v>
      </c>
      <c r="J116" s="458">
        <v>2</v>
      </c>
      <c r="K116" s="458" t="s">
        <v>16</v>
      </c>
      <c r="L116" s="502"/>
    </row>
    <row r="117" spans="1:12" ht="15.8" customHeight="1" x14ac:dyDescent="0.2">
      <c r="A117" s="456" t="s">
        <v>10</v>
      </c>
      <c r="B117" s="458" t="s">
        <v>29</v>
      </c>
      <c r="C117" s="576"/>
      <c r="D117" s="457">
        <v>46161</v>
      </c>
      <c r="E117" s="456" t="s">
        <v>5299</v>
      </c>
      <c r="F117" s="456" t="s">
        <v>5300</v>
      </c>
      <c r="G117" s="503"/>
      <c r="H117" s="456" t="s">
        <v>5301</v>
      </c>
      <c r="I117" s="456" t="s">
        <v>167</v>
      </c>
      <c r="J117" s="456">
        <v>3</v>
      </c>
      <c r="K117" s="456" t="s">
        <v>34</v>
      </c>
      <c r="L117" s="503"/>
    </row>
    <row r="118" spans="1:12" ht="15.8" customHeight="1" x14ac:dyDescent="0.2">
      <c r="A118" s="458" t="s">
        <v>35</v>
      </c>
      <c r="B118" s="458" t="s">
        <v>137</v>
      </c>
      <c r="C118" s="576"/>
      <c r="D118" s="459">
        <v>46163</v>
      </c>
      <c r="E118" s="458" t="s">
        <v>72</v>
      </c>
      <c r="F118" s="458" t="s">
        <v>173</v>
      </c>
      <c r="G118" s="458" t="s">
        <v>173</v>
      </c>
      <c r="H118" s="458" t="s">
        <v>5302</v>
      </c>
      <c r="I118" s="458" t="s">
        <v>167</v>
      </c>
      <c r="J118" s="458">
        <v>5</v>
      </c>
      <c r="K118" s="458" t="s">
        <v>34</v>
      </c>
      <c r="L118" s="502"/>
    </row>
    <row r="119" spans="1:12" ht="15.8" customHeight="1" x14ac:dyDescent="0.2">
      <c r="A119" s="456" t="s">
        <v>51</v>
      </c>
      <c r="B119" s="458" t="s">
        <v>52</v>
      </c>
      <c r="C119" s="576"/>
      <c r="D119" s="457">
        <v>46163</v>
      </c>
      <c r="E119" s="456" t="s">
        <v>94</v>
      </c>
      <c r="F119" s="456" t="s">
        <v>5303</v>
      </c>
      <c r="G119" s="456" t="s">
        <v>217</v>
      </c>
      <c r="H119" s="456" t="s">
        <v>5304</v>
      </c>
      <c r="I119" s="456" t="s">
        <v>4898</v>
      </c>
      <c r="J119" s="456">
        <v>6</v>
      </c>
      <c r="K119" s="456" t="s">
        <v>1075</v>
      </c>
      <c r="L119" s="503"/>
    </row>
    <row r="120" spans="1:12" ht="15.8" customHeight="1" x14ac:dyDescent="0.2">
      <c r="A120" s="458" t="s">
        <v>10</v>
      </c>
      <c r="B120" s="458" t="s">
        <v>29</v>
      </c>
      <c r="C120" s="576"/>
      <c r="D120" s="459">
        <v>46164</v>
      </c>
      <c r="E120" s="458" t="s">
        <v>4500</v>
      </c>
      <c r="F120" s="458" t="s">
        <v>217</v>
      </c>
      <c r="G120" s="458" t="s">
        <v>217</v>
      </c>
      <c r="H120" s="458" t="s">
        <v>1444</v>
      </c>
      <c r="I120" s="458" t="s">
        <v>3721</v>
      </c>
      <c r="J120" s="458">
        <v>2</v>
      </c>
      <c r="K120" s="458" t="s">
        <v>34</v>
      </c>
      <c r="L120" s="502"/>
    </row>
    <row r="121" spans="1:12" ht="15.8" customHeight="1" x14ac:dyDescent="0.2">
      <c r="A121" s="456" t="s">
        <v>10</v>
      </c>
      <c r="B121" s="458" t="s">
        <v>64</v>
      </c>
      <c r="C121" s="576"/>
      <c r="D121" s="457">
        <v>46168</v>
      </c>
      <c r="E121" s="456" t="s">
        <v>57</v>
      </c>
      <c r="F121" s="456" t="s">
        <v>1334</v>
      </c>
      <c r="G121" s="456" t="s">
        <v>1334</v>
      </c>
      <c r="H121" s="456" t="s">
        <v>5305</v>
      </c>
      <c r="I121" s="456" t="s">
        <v>5306</v>
      </c>
      <c r="J121" s="456">
        <v>2</v>
      </c>
      <c r="K121" s="456" t="s">
        <v>4513</v>
      </c>
      <c r="L121" s="503"/>
    </row>
    <row r="122" spans="1:12" ht="15.8" customHeight="1" x14ac:dyDescent="0.2">
      <c r="A122" s="458" t="s">
        <v>51</v>
      </c>
      <c r="B122" s="458" t="s">
        <v>481</v>
      </c>
      <c r="C122" s="576"/>
      <c r="D122" s="459">
        <v>46169</v>
      </c>
      <c r="E122" s="458" t="s">
        <v>57</v>
      </c>
      <c r="F122" s="458" t="s">
        <v>5307</v>
      </c>
      <c r="G122" s="458" t="s">
        <v>5308</v>
      </c>
      <c r="H122" s="458" t="s">
        <v>5309</v>
      </c>
      <c r="I122" s="458" t="s">
        <v>3721</v>
      </c>
      <c r="J122" s="458">
        <v>5</v>
      </c>
      <c r="K122" s="458" t="s">
        <v>5310</v>
      </c>
      <c r="L122" s="502"/>
    </row>
    <row r="123" spans="1:12" ht="15.8" customHeight="1" x14ac:dyDescent="0.2">
      <c r="A123" s="456" t="s">
        <v>10</v>
      </c>
      <c r="B123" s="458" t="s">
        <v>312</v>
      </c>
      <c r="C123" s="576"/>
      <c r="D123" s="457">
        <v>46170</v>
      </c>
      <c r="E123" s="456" t="s">
        <v>57</v>
      </c>
      <c r="F123" s="456" t="s">
        <v>1137</v>
      </c>
      <c r="G123" s="456" t="s">
        <v>27</v>
      </c>
      <c r="H123" s="456" t="s">
        <v>5311</v>
      </c>
      <c r="I123" s="456" t="s">
        <v>3937</v>
      </c>
      <c r="J123" s="456">
        <v>1</v>
      </c>
      <c r="K123" s="456" t="s">
        <v>10</v>
      </c>
      <c r="L123" s="503"/>
    </row>
    <row r="124" spans="1:12" ht="15.8" customHeight="1" x14ac:dyDescent="0.2">
      <c r="A124" s="458" t="s">
        <v>146</v>
      </c>
      <c r="B124" s="458" t="s">
        <v>11</v>
      </c>
      <c r="C124" s="576"/>
      <c r="D124" s="459">
        <v>46170</v>
      </c>
      <c r="E124" s="458" t="s">
        <v>57</v>
      </c>
      <c r="F124" s="458" t="s">
        <v>5312</v>
      </c>
      <c r="G124" s="458" t="s">
        <v>1772</v>
      </c>
      <c r="H124" s="458" t="s">
        <v>5313</v>
      </c>
      <c r="I124" s="458" t="s">
        <v>3937</v>
      </c>
      <c r="J124" s="458">
        <v>3</v>
      </c>
      <c r="K124" s="458" t="s">
        <v>192</v>
      </c>
      <c r="L124" s="502"/>
    </row>
    <row r="125" spans="1:12" ht="15.8" customHeight="1" x14ac:dyDescent="0.2">
      <c r="A125" s="456" t="s">
        <v>5314</v>
      </c>
      <c r="B125" s="458" t="s">
        <v>29</v>
      </c>
      <c r="C125" s="576"/>
      <c r="D125" s="457">
        <v>46170</v>
      </c>
      <c r="E125" s="456" t="s">
        <v>72</v>
      </c>
      <c r="F125" s="456" t="s">
        <v>4097</v>
      </c>
      <c r="G125" s="456" t="s">
        <v>4097</v>
      </c>
      <c r="H125" s="456" t="s">
        <v>5315</v>
      </c>
      <c r="I125" s="456" t="s">
        <v>3937</v>
      </c>
      <c r="J125" s="456">
        <v>1</v>
      </c>
      <c r="K125" s="456" t="s">
        <v>78</v>
      </c>
      <c r="L125" s="503"/>
    </row>
    <row r="126" spans="1:12" ht="15.8" customHeight="1" x14ac:dyDescent="0.2">
      <c r="A126" s="458" t="s">
        <v>51</v>
      </c>
      <c r="B126" s="458" t="s">
        <v>244</v>
      </c>
      <c r="C126" s="576"/>
      <c r="D126" s="459">
        <v>46171</v>
      </c>
      <c r="E126" s="458" t="s">
        <v>1103</v>
      </c>
      <c r="F126" s="458" t="s">
        <v>5316</v>
      </c>
      <c r="G126" s="458" t="s">
        <v>5179</v>
      </c>
      <c r="H126" s="458" t="s">
        <v>5317</v>
      </c>
      <c r="I126" s="458" t="s">
        <v>5295</v>
      </c>
      <c r="J126" s="458">
        <v>3</v>
      </c>
      <c r="K126" s="458" t="s">
        <v>192</v>
      </c>
      <c r="L126" s="502"/>
    </row>
    <row r="127" spans="1:12" ht="15.8" customHeight="1" x14ac:dyDescent="0.2">
      <c r="A127" s="456" t="s">
        <v>10</v>
      </c>
      <c r="B127" s="458" t="s">
        <v>2162</v>
      </c>
      <c r="C127" s="576"/>
      <c r="D127" s="457">
        <v>46173</v>
      </c>
      <c r="E127" s="456" t="s">
        <v>2183</v>
      </c>
      <c r="F127" s="456" t="s">
        <v>5318</v>
      </c>
      <c r="G127" s="456" t="s">
        <v>76</v>
      </c>
      <c r="H127" s="456" t="s">
        <v>5319</v>
      </c>
      <c r="I127" s="456" t="s">
        <v>3721</v>
      </c>
      <c r="J127" s="456">
        <v>22</v>
      </c>
      <c r="K127" s="456" t="s">
        <v>10</v>
      </c>
      <c r="L127" s="503"/>
    </row>
    <row r="128" spans="1:12" ht="15.8" customHeight="1" x14ac:dyDescent="0.2">
      <c r="A128" s="35" t="s">
        <v>835</v>
      </c>
      <c r="B128" s="509"/>
      <c r="C128" s="391"/>
      <c r="D128" s="365"/>
      <c r="E128" s="99"/>
      <c r="F128" s="99"/>
      <c r="G128" s="530"/>
      <c r="H128" s="99"/>
      <c r="I128" s="99"/>
      <c r="J128" s="387"/>
      <c r="K128" s="387"/>
      <c r="L128" s="498"/>
    </row>
    <row r="129" spans="1:12" ht="15.8" customHeight="1" x14ac:dyDescent="0.2">
      <c r="A129" s="456" t="s">
        <v>35</v>
      </c>
      <c r="B129" s="458" t="s">
        <v>137</v>
      </c>
      <c r="C129" s="576">
        <f>COUNTIF(B129:B151,C2)</f>
        <v>2</v>
      </c>
      <c r="D129" s="457">
        <v>46174</v>
      </c>
      <c r="E129" s="456" t="s">
        <v>5320</v>
      </c>
      <c r="F129" s="456" t="s">
        <v>5321</v>
      </c>
      <c r="G129" s="456" t="s">
        <v>58</v>
      </c>
      <c r="H129" s="456" t="s">
        <v>5322</v>
      </c>
      <c r="I129" s="456" t="s">
        <v>3721</v>
      </c>
      <c r="J129" s="456">
        <v>4</v>
      </c>
      <c r="K129" s="456" t="s">
        <v>50</v>
      </c>
      <c r="L129" s="503"/>
    </row>
    <row r="130" spans="1:12" ht="15.8" customHeight="1" x14ac:dyDescent="0.2">
      <c r="A130" s="458" t="s">
        <v>10</v>
      </c>
      <c r="B130" s="458" t="s">
        <v>2161</v>
      </c>
      <c r="C130" s="576"/>
      <c r="D130" s="459">
        <v>46178</v>
      </c>
      <c r="E130" s="458" t="s">
        <v>164</v>
      </c>
      <c r="F130" s="458" t="s">
        <v>217</v>
      </c>
      <c r="G130" s="458" t="s">
        <v>217</v>
      </c>
      <c r="H130" s="458" t="s">
        <v>5323</v>
      </c>
      <c r="I130" s="458" t="s">
        <v>167</v>
      </c>
      <c r="J130" s="458">
        <v>2</v>
      </c>
      <c r="K130" s="458" t="s">
        <v>78</v>
      </c>
      <c r="L130" s="502"/>
    </row>
    <row r="131" spans="1:12" ht="15.8" customHeight="1" x14ac:dyDescent="0.2">
      <c r="A131" s="456" t="s">
        <v>35</v>
      </c>
      <c r="B131" s="458" t="s">
        <v>137</v>
      </c>
      <c r="C131" s="576"/>
      <c r="D131" s="457">
        <v>46180</v>
      </c>
      <c r="E131" s="456" t="s">
        <v>5324</v>
      </c>
      <c r="F131" s="456" t="s">
        <v>5325</v>
      </c>
      <c r="G131" s="456" t="s">
        <v>27</v>
      </c>
      <c r="H131" s="456" t="s">
        <v>5326</v>
      </c>
      <c r="I131" s="456" t="s">
        <v>167</v>
      </c>
      <c r="J131" s="456">
        <v>3</v>
      </c>
      <c r="K131" s="456" t="s">
        <v>192</v>
      </c>
      <c r="L131" s="503"/>
    </row>
    <row r="132" spans="1:12" ht="15.8" customHeight="1" x14ac:dyDescent="0.2">
      <c r="A132" s="458" t="s">
        <v>10</v>
      </c>
      <c r="B132" s="458" t="s">
        <v>29</v>
      </c>
      <c r="C132" s="576"/>
      <c r="D132" s="459">
        <v>46182</v>
      </c>
      <c r="E132" s="458" t="s">
        <v>57</v>
      </c>
      <c r="F132" s="458" t="s">
        <v>5327</v>
      </c>
      <c r="G132" s="458" t="s">
        <v>2194</v>
      </c>
      <c r="H132" s="458" t="s">
        <v>5328</v>
      </c>
      <c r="I132" s="458" t="s">
        <v>5329</v>
      </c>
      <c r="J132" s="458">
        <v>3</v>
      </c>
      <c r="K132" s="458" t="s">
        <v>78</v>
      </c>
      <c r="L132" s="502"/>
    </row>
    <row r="133" spans="1:12" ht="15.8" customHeight="1" x14ac:dyDescent="0.2">
      <c r="A133" s="456" t="s">
        <v>10</v>
      </c>
      <c r="B133" s="458" t="s">
        <v>11</v>
      </c>
      <c r="C133" s="576"/>
      <c r="D133" s="457">
        <v>46183</v>
      </c>
      <c r="E133" s="456" t="s">
        <v>91</v>
      </c>
      <c r="F133" s="456" t="s">
        <v>5330</v>
      </c>
      <c r="G133" s="503"/>
      <c r="H133" s="456" t="s">
        <v>5331</v>
      </c>
      <c r="I133" s="456" t="s">
        <v>167</v>
      </c>
      <c r="J133" s="456">
        <v>4</v>
      </c>
      <c r="K133" s="456" t="s">
        <v>192</v>
      </c>
      <c r="L133" s="503"/>
    </row>
    <row r="134" spans="1:12" ht="15.8" customHeight="1" x14ac:dyDescent="0.2">
      <c r="A134" s="458" t="s">
        <v>35</v>
      </c>
      <c r="B134" s="458" t="s">
        <v>137</v>
      </c>
      <c r="C134" s="576"/>
      <c r="D134" s="459">
        <v>46184</v>
      </c>
      <c r="E134" s="458" t="s">
        <v>938</v>
      </c>
      <c r="F134" s="458" t="s">
        <v>5332</v>
      </c>
      <c r="G134" s="458" t="s">
        <v>1959</v>
      </c>
      <c r="H134" s="458" t="s">
        <v>5333</v>
      </c>
      <c r="I134" s="458" t="s">
        <v>167</v>
      </c>
      <c r="J134" s="458">
        <v>3</v>
      </c>
      <c r="K134" s="458" t="s">
        <v>50</v>
      </c>
      <c r="L134" s="502"/>
    </row>
    <row r="135" spans="1:12" ht="15.8" customHeight="1" x14ac:dyDescent="0.2">
      <c r="A135" s="456" t="s">
        <v>35</v>
      </c>
      <c r="B135" s="458" t="s">
        <v>137</v>
      </c>
      <c r="C135" s="576"/>
      <c r="D135" s="457">
        <v>46185</v>
      </c>
      <c r="E135" s="456" t="s">
        <v>5334</v>
      </c>
      <c r="F135" s="456" t="s">
        <v>1343</v>
      </c>
      <c r="G135" s="456" t="s">
        <v>1343</v>
      </c>
      <c r="H135" s="456" t="s">
        <v>5335</v>
      </c>
      <c r="I135" s="456" t="s">
        <v>5336</v>
      </c>
      <c r="J135" s="456">
        <v>3</v>
      </c>
      <c r="K135" s="456" t="s">
        <v>50</v>
      </c>
      <c r="L135" s="503"/>
    </row>
    <row r="136" spans="1:12" ht="15.8" customHeight="1" x14ac:dyDescent="0.2">
      <c r="A136" s="458" t="s">
        <v>146</v>
      </c>
      <c r="B136" s="458" t="s">
        <v>11</v>
      </c>
      <c r="C136" s="576"/>
      <c r="D136" s="459">
        <v>46187</v>
      </c>
      <c r="E136" s="458" t="s">
        <v>1700</v>
      </c>
      <c r="F136" s="458" t="s">
        <v>5337</v>
      </c>
      <c r="G136" s="458" t="s">
        <v>2685</v>
      </c>
      <c r="H136" s="458" t="s">
        <v>5338</v>
      </c>
      <c r="I136" s="458" t="s">
        <v>167</v>
      </c>
      <c r="J136" s="458">
        <v>2</v>
      </c>
      <c r="K136" s="458" t="s">
        <v>16</v>
      </c>
      <c r="L136" s="502"/>
    </row>
    <row r="137" spans="1:12" ht="15.8" customHeight="1" x14ac:dyDescent="0.2">
      <c r="A137" s="456" t="s">
        <v>35</v>
      </c>
      <c r="B137" s="458" t="s">
        <v>137</v>
      </c>
      <c r="C137" s="576"/>
      <c r="D137" s="457">
        <v>46188</v>
      </c>
      <c r="E137" s="456" t="s">
        <v>57</v>
      </c>
      <c r="F137" s="456" t="s">
        <v>5339</v>
      </c>
      <c r="G137" s="456" t="s">
        <v>842</v>
      </c>
      <c r="H137" s="456" t="s">
        <v>5340</v>
      </c>
      <c r="I137" s="456" t="s">
        <v>3721</v>
      </c>
      <c r="J137" s="456">
        <v>2</v>
      </c>
      <c r="K137" s="456" t="s">
        <v>50</v>
      </c>
      <c r="L137" s="503"/>
    </row>
    <row r="138" spans="1:12" ht="15.8" customHeight="1" x14ac:dyDescent="0.2">
      <c r="A138" s="458" t="s">
        <v>51</v>
      </c>
      <c r="B138" s="458" t="s">
        <v>481</v>
      </c>
      <c r="C138" s="576"/>
      <c r="D138" s="459">
        <v>46188</v>
      </c>
      <c r="E138" s="458" t="s">
        <v>72</v>
      </c>
      <c r="F138" s="458" t="s">
        <v>5341</v>
      </c>
      <c r="G138" s="458" t="s">
        <v>110</v>
      </c>
      <c r="H138" s="458" t="s">
        <v>5342</v>
      </c>
      <c r="I138" s="458" t="s">
        <v>5343</v>
      </c>
      <c r="J138" s="458">
        <v>12</v>
      </c>
      <c r="K138" s="458" t="s">
        <v>5344</v>
      </c>
      <c r="L138" s="502"/>
    </row>
    <row r="139" spans="1:12" ht="15.8" customHeight="1" x14ac:dyDescent="0.2">
      <c r="A139" s="456" t="s">
        <v>10</v>
      </c>
      <c r="B139" s="458" t="s">
        <v>64</v>
      </c>
      <c r="C139" s="576"/>
      <c r="D139" s="457">
        <v>46188</v>
      </c>
      <c r="E139" s="456" t="s">
        <v>2339</v>
      </c>
      <c r="F139" s="456" t="s">
        <v>5345</v>
      </c>
      <c r="G139" s="503"/>
      <c r="H139" s="456" t="s">
        <v>5346</v>
      </c>
      <c r="I139" s="456" t="s">
        <v>167</v>
      </c>
      <c r="J139" s="456">
        <v>2</v>
      </c>
      <c r="K139" s="456" t="s">
        <v>50</v>
      </c>
      <c r="L139" s="503"/>
    </row>
    <row r="140" spans="1:12" ht="15.8" customHeight="1" x14ac:dyDescent="0.2">
      <c r="A140" s="458" t="s">
        <v>10</v>
      </c>
      <c r="B140" s="458" t="s">
        <v>312</v>
      </c>
      <c r="C140" s="576"/>
      <c r="D140" s="459">
        <v>46190</v>
      </c>
      <c r="E140" s="458" t="s">
        <v>5347</v>
      </c>
      <c r="F140" s="458" t="s">
        <v>1137</v>
      </c>
      <c r="G140" s="458" t="s">
        <v>27</v>
      </c>
      <c r="H140" s="458" t="s">
        <v>5348</v>
      </c>
      <c r="I140" s="458" t="s">
        <v>167</v>
      </c>
      <c r="J140" s="458">
        <v>1</v>
      </c>
      <c r="K140" s="458" t="s">
        <v>167</v>
      </c>
      <c r="L140" s="502"/>
    </row>
    <row r="141" spans="1:12" ht="15.8" customHeight="1" x14ac:dyDescent="0.2">
      <c r="A141" s="456" t="s">
        <v>10</v>
      </c>
      <c r="B141" s="458" t="s">
        <v>312</v>
      </c>
      <c r="C141" s="576"/>
      <c r="D141" s="457">
        <v>46192</v>
      </c>
      <c r="E141" s="456" t="s">
        <v>72</v>
      </c>
      <c r="F141" s="456" t="s">
        <v>1137</v>
      </c>
      <c r="G141" s="456" t="s">
        <v>27</v>
      </c>
      <c r="H141" s="456" t="s">
        <v>5349</v>
      </c>
      <c r="I141" s="456" t="s">
        <v>3937</v>
      </c>
      <c r="J141" s="456">
        <v>1</v>
      </c>
      <c r="K141" s="456" t="s">
        <v>10</v>
      </c>
      <c r="L141" s="503"/>
    </row>
    <row r="142" spans="1:12" ht="15.8" customHeight="1" x14ac:dyDescent="0.2">
      <c r="A142" s="458" t="s">
        <v>51</v>
      </c>
      <c r="B142" s="458" t="s">
        <v>52</v>
      </c>
      <c r="C142" s="576"/>
      <c r="D142" s="459">
        <v>46193</v>
      </c>
      <c r="E142" s="458" t="s">
        <v>305</v>
      </c>
      <c r="F142" s="458" t="s">
        <v>5350</v>
      </c>
      <c r="G142" s="502"/>
      <c r="H142" s="458" t="s">
        <v>5351</v>
      </c>
      <c r="I142" s="458" t="s">
        <v>3280</v>
      </c>
      <c r="J142" s="458">
        <v>18</v>
      </c>
      <c r="K142" s="458" t="s">
        <v>5352</v>
      </c>
      <c r="L142" s="502"/>
    </row>
    <row r="143" spans="1:12" ht="15.8" customHeight="1" x14ac:dyDescent="0.2">
      <c r="A143" s="456" t="s">
        <v>10</v>
      </c>
      <c r="B143" s="458" t="s">
        <v>2162</v>
      </c>
      <c r="C143" s="576"/>
      <c r="D143" s="457">
        <v>46194</v>
      </c>
      <c r="E143" s="456" t="s">
        <v>2183</v>
      </c>
      <c r="F143" s="456" t="s">
        <v>5353</v>
      </c>
      <c r="G143" s="503"/>
      <c r="H143" s="456" t="s">
        <v>5354</v>
      </c>
      <c r="I143" s="456" t="s">
        <v>4810</v>
      </c>
      <c r="J143" s="456">
        <v>29</v>
      </c>
      <c r="K143" s="456" t="s">
        <v>5355</v>
      </c>
      <c r="L143" s="503"/>
    </row>
    <row r="144" spans="1:12" ht="15.8" customHeight="1" x14ac:dyDescent="0.2">
      <c r="A144" s="458" t="s">
        <v>35</v>
      </c>
      <c r="B144" s="458" t="s">
        <v>29</v>
      </c>
      <c r="C144" s="576"/>
      <c r="D144" s="459">
        <v>46196</v>
      </c>
      <c r="E144" s="458" t="s">
        <v>57</v>
      </c>
      <c r="F144" s="458" t="s">
        <v>5356</v>
      </c>
      <c r="G144" s="458" t="s">
        <v>110</v>
      </c>
      <c r="H144" s="458" t="s">
        <v>5357</v>
      </c>
      <c r="I144" s="458" t="s">
        <v>3937</v>
      </c>
      <c r="J144" s="458">
        <v>3</v>
      </c>
      <c r="K144" s="458" t="s">
        <v>34</v>
      </c>
      <c r="L144" s="502"/>
    </row>
    <row r="145" spans="1:12" ht="15.8" customHeight="1" x14ac:dyDescent="0.2">
      <c r="A145" s="456" t="s">
        <v>10</v>
      </c>
      <c r="B145" s="458" t="s">
        <v>2161</v>
      </c>
      <c r="C145" s="576"/>
      <c r="D145" s="457">
        <v>46197</v>
      </c>
      <c r="E145" s="456" t="s">
        <v>215</v>
      </c>
      <c r="F145" s="456" t="s">
        <v>4978</v>
      </c>
      <c r="G145" s="456" t="s">
        <v>5358</v>
      </c>
      <c r="H145" s="456" t="s">
        <v>5359</v>
      </c>
      <c r="I145" s="456" t="s">
        <v>5065</v>
      </c>
      <c r="J145" s="456">
        <v>2</v>
      </c>
      <c r="K145" s="456" t="s">
        <v>78</v>
      </c>
      <c r="L145" s="503"/>
    </row>
    <row r="146" spans="1:12" ht="15.8" customHeight="1" x14ac:dyDescent="0.2">
      <c r="A146" s="458" t="s">
        <v>10</v>
      </c>
      <c r="B146" s="458" t="s">
        <v>188</v>
      </c>
      <c r="C146" s="576"/>
      <c r="D146" s="459">
        <v>46197</v>
      </c>
      <c r="E146" s="458" t="s">
        <v>5360</v>
      </c>
      <c r="F146" s="458" t="s">
        <v>5361</v>
      </c>
      <c r="G146" s="458" t="s">
        <v>85</v>
      </c>
      <c r="H146" s="458" t="s">
        <v>5362</v>
      </c>
      <c r="I146" s="458" t="s">
        <v>5363</v>
      </c>
      <c r="J146" s="458">
        <v>2</v>
      </c>
      <c r="K146" s="458" t="s">
        <v>167</v>
      </c>
      <c r="L146" s="502"/>
    </row>
    <row r="147" spans="1:12" ht="15.8" customHeight="1" x14ac:dyDescent="0.2">
      <c r="A147" s="456" t="s">
        <v>10</v>
      </c>
      <c r="B147" s="458" t="s">
        <v>2161</v>
      </c>
      <c r="C147" s="576"/>
      <c r="D147" s="457">
        <v>46198</v>
      </c>
      <c r="E147" s="456" t="s">
        <v>1131</v>
      </c>
      <c r="F147" s="456" t="s">
        <v>5364</v>
      </c>
      <c r="G147" s="456" t="s">
        <v>4956</v>
      </c>
      <c r="H147" s="456" t="s">
        <v>5365</v>
      </c>
      <c r="I147" s="456" t="s">
        <v>3937</v>
      </c>
      <c r="J147" s="456">
        <v>2</v>
      </c>
      <c r="K147" s="456" t="s">
        <v>78</v>
      </c>
      <c r="L147" s="503"/>
    </row>
    <row r="148" spans="1:12" ht="15.8" customHeight="1" x14ac:dyDescent="0.2">
      <c r="A148" s="458" t="s">
        <v>10</v>
      </c>
      <c r="B148" s="458" t="s">
        <v>29</v>
      </c>
      <c r="C148" s="576"/>
      <c r="D148" s="459">
        <v>46199</v>
      </c>
      <c r="E148" s="458" t="s">
        <v>57</v>
      </c>
      <c r="F148" s="458" t="s">
        <v>5366</v>
      </c>
      <c r="G148" s="458" t="s">
        <v>110</v>
      </c>
      <c r="H148" s="458" t="s">
        <v>5367</v>
      </c>
      <c r="I148" s="458" t="s">
        <v>3937</v>
      </c>
      <c r="J148" s="458">
        <v>3</v>
      </c>
      <c r="K148" s="458" t="s">
        <v>50</v>
      </c>
      <c r="L148" s="502"/>
    </row>
    <row r="149" spans="1:12" ht="15.8" customHeight="1" x14ac:dyDescent="0.2">
      <c r="A149" s="456" t="s">
        <v>51</v>
      </c>
      <c r="B149" s="458" t="s">
        <v>52</v>
      </c>
      <c r="C149" s="576"/>
      <c r="D149" s="457">
        <v>46203</v>
      </c>
      <c r="E149" s="456" t="s">
        <v>2339</v>
      </c>
      <c r="F149" s="456" t="s">
        <v>5368</v>
      </c>
      <c r="G149" s="503"/>
      <c r="H149" s="456" t="s">
        <v>5369</v>
      </c>
      <c r="I149" s="456" t="s">
        <v>4697</v>
      </c>
      <c r="J149" s="456">
        <v>3</v>
      </c>
      <c r="K149" s="456" t="s">
        <v>192</v>
      </c>
      <c r="L149" s="503"/>
    </row>
    <row r="150" spans="1:12" ht="15.8" customHeight="1" x14ac:dyDescent="0.2">
      <c r="A150" s="458" t="s">
        <v>10</v>
      </c>
      <c r="B150" s="458" t="s">
        <v>481</v>
      </c>
      <c r="C150" s="576"/>
      <c r="D150" s="459">
        <v>46203</v>
      </c>
      <c r="E150" s="458" t="s">
        <v>72</v>
      </c>
      <c r="F150" s="458" t="s">
        <v>5370</v>
      </c>
      <c r="G150" s="502"/>
      <c r="H150" s="458" t="s">
        <v>5371</v>
      </c>
      <c r="I150" s="458" t="s">
        <v>167</v>
      </c>
      <c r="J150" s="458">
        <v>2</v>
      </c>
      <c r="K150" s="458" t="s">
        <v>192</v>
      </c>
      <c r="L150" s="502"/>
    </row>
    <row r="151" spans="1:12" ht="15.8" customHeight="1" x14ac:dyDescent="0.2">
      <c r="A151" s="456" t="s">
        <v>10</v>
      </c>
      <c r="B151" s="458" t="s">
        <v>2164</v>
      </c>
      <c r="C151" s="576"/>
      <c r="D151" s="457">
        <v>46203</v>
      </c>
      <c r="E151" s="456" t="s">
        <v>2376</v>
      </c>
      <c r="F151" s="456" t="s">
        <v>5372</v>
      </c>
      <c r="G151" s="456" t="s">
        <v>355</v>
      </c>
      <c r="H151" s="456" t="s">
        <v>5373</v>
      </c>
      <c r="I151" s="456" t="s">
        <v>167</v>
      </c>
      <c r="J151" s="456">
        <v>4</v>
      </c>
      <c r="K151" s="456" t="s">
        <v>16</v>
      </c>
      <c r="L151" s="503"/>
    </row>
    <row r="152" spans="1:12" ht="15.8" customHeight="1" x14ac:dyDescent="0.2">
      <c r="A152" s="511" t="s">
        <v>2146</v>
      </c>
      <c r="B152" s="498"/>
      <c r="C152" s="391"/>
      <c r="D152" s="498"/>
      <c r="E152" s="498"/>
      <c r="F152" s="498"/>
      <c r="G152" s="498"/>
      <c r="H152" s="498"/>
      <c r="I152" s="498"/>
      <c r="J152" s="498"/>
      <c r="K152" s="498"/>
      <c r="L152" s="498"/>
    </row>
    <row r="153" spans="1:12" ht="15.8" customHeight="1" x14ac:dyDescent="0.2">
      <c r="A153" s="456" t="s">
        <v>10</v>
      </c>
      <c r="B153" s="456" t="s">
        <v>244</v>
      </c>
      <c r="C153" s="576">
        <f>COUNTIF(B153:B171,C2)</f>
        <v>8</v>
      </c>
      <c r="D153" s="457">
        <v>46206</v>
      </c>
      <c r="E153" s="456" t="s">
        <v>153</v>
      </c>
      <c r="F153" s="456" t="s">
        <v>5374</v>
      </c>
      <c r="G153" s="456" t="s">
        <v>5375</v>
      </c>
      <c r="H153" s="456" t="s">
        <v>5376</v>
      </c>
      <c r="I153" s="456" t="s">
        <v>5377</v>
      </c>
      <c r="J153" s="456">
        <v>3</v>
      </c>
      <c r="K153" s="456" t="s">
        <v>192</v>
      </c>
      <c r="L153" s="503"/>
    </row>
    <row r="154" spans="1:12" ht="15.8" customHeight="1" x14ac:dyDescent="0.2">
      <c r="A154" s="458" t="s">
        <v>10</v>
      </c>
      <c r="B154" s="458" t="s">
        <v>2161</v>
      </c>
      <c r="C154" s="576"/>
      <c r="D154" s="459">
        <v>46207</v>
      </c>
      <c r="E154" s="458" t="s">
        <v>4248</v>
      </c>
      <c r="F154" s="458" t="s">
        <v>1777</v>
      </c>
      <c r="G154" s="502"/>
      <c r="H154" s="458" t="s">
        <v>5378</v>
      </c>
      <c r="I154" s="458" t="s">
        <v>167</v>
      </c>
      <c r="J154" s="458">
        <v>2</v>
      </c>
      <c r="K154" s="458" t="s">
        <v>78</v>
      </c>
      <c r="L154" s="502"/>
    </row>
    <row r="155" spans="1:12" ht="15.8" customHeight="1" x14ac:dyDescent="0.2">
      <c r="A155" s="456" t="s">
        <v>51</v>
      </c>
      <c r="B155" s="456" t="s">
        <v>52</v>
      </c>
      <c r="C155" s="576"/>
      <c r="D155" s="457">
        <v>46210</v>
      </c>
      <c r="E155" s="456" t="s">
        <v>5379</v>
      </c>
      <c r="F155" s="456" t="s">
        <v>5380</v>
      </c>
      <c r="G155" s="456" t="s">
        <v>217</v>
      </c>
      <c r="H155" s="456" t="s">
        <v>5381</v>
      </c>
      <c r="I155" s="456" t="s">
        <v>5382</v>
      </c>
      <c r="J155" s="456">
        <v>8</v>
      </c>
      <c r="K155" s="456" t="s">
        <v>56</v>
      </c>
      <c r="L155" s="456" t="s">
        <v>6037</v>
      </c>
    </row>
    <row r="156" spans="1:12" ht="15.8" customHeight="1" x14ac:dyDescent="0.2">
      <c r="A156" s="458" t="s">
        <v>51</v>
      </c>
      <c r="B156" s="458" t="s">
        <v>52</v>
      </c>
      <c r="C156" s="576"/>
      <c r="D156" s="459">
        <v>46205</v>
      </c>
      <c r="E156" s="458" t="s">
        <v>5383</v>
      </c>
      <c r="F156" s="458" t="s">
        <v>5384</v>
      </c>
      <c r="G156" s="502"/>
      <c r="H156" s="458" t="s">
        <v>5385</v>
      </c>
      <c r="I156" s="458" t="s">
        <v>167</v>
      </c>
      <c r="J156" s="458">
        <v>6</v>
      </c>
      <c r="K156" s="458" t="s">
        <v>2431</v>
      </c>
      <c r="L156" s="502"/>
    </row>
    <row r="157" spans="1:12" ht="15.8" customHeight="1" x14ac:dyDescent="0.2">
      <c r="A157" s="456" t="s">
        <v>51</v>
      </c>
      <c r="B157" s="456" t="s">
        <v>52</v>
      </c>
      <c r="C157" s="576"/>
      <c r="D157" s="457">
        <v>46212</v>
      </c>
      <c r="E157" s="456" t="s">
        <v>131</v>
      </c>
      <c r="F157" s="456" t="s">
        <v>2445</v>
      </c>
      <c r="G157" s="456" t="s">
        <v>5386</v>
      </c>
      <c r="H157" s="456" t="s">
        <v>5387</v>
      </c>
      <c r="I157" s="456" t="s">
        <v>3708</v>
      </c>
      <c r="J157" s="456">
        <v>10</v>
      </c>
      <c r="K157" s="456" t="s">
        <v>5388</v>
      </c>
      <c r="L157" s="456" t="s">
        <v>6038</v>
      </c>
    </row>
    <row r="158" spans="1:12" ht="15.8" customHeight="1" x14ac:dyDescent="0.2">
      <c r="A158" s="458" t="s">
        <v>51</v>
      </c>
      <c r="B158" s="458" t="s">
        <v>52</v>
      </c>
      <c r="C158" s="576"/>
      <c r="D158" s="459">
        <v>46213</v>
      </c>
      <c r="E158" s="458" t="s">
        <v>57</v>
      </c>
      <c r="F158" s="458" t="s">
        <v>4914</v>
      </c>
      <c r="G158" s="458" t="s">
        <v>110</v>
      </c>
      <c r="H158" s="458" t="s">
        <v>5389</v>
      </c>
      <c r="I158" s="458" t="s">
        <v>5390</v>
      </c>
      <c r="J158" s="458">
        <v>5</v>
      </c>
      <c r="K158" s="458" t="s">
        <v>1075</v>
      </c>
      <c r="L158" s="458" t="s">
        <v>6039</v>
      </c>
    </row>
    <row r="159" spans="1:12" ht="15.8" customHeight="1" x14ac:dyDescent="0.2">
      <c r="A159" s="456" t="s">
        <v>51</v>
      </c>
      <c r="B159" s="456" t="s">
        <v>397</v>
      </c>
      <c r="C159" s="576"/>
      <c r="D159" s="457">
        <v>46213</v>
      </c>
      <c r="E159" s="456" t="s">
        <v>2494</v>
      </c>
      <c r="F159" s="456" t="s">
        <v>5391</v>
      </c>
      <c r="G159" s="503"/>
      <c r="H159" s="456" t="s">
        <v>5392</v>
      </c>
      <c r="I159" s="456" t="s">
        <v>167</v>
      </c>
      <c r="J159" s="456">
        <v>5</v>
      </c>
      <c r="K159" s="456" t="s">
        <v>192</v>
      </c>
      <c r="L159" s="456" t="s">
        <v>167</v>
      </c>
    </row>
    <row r="160" spans="1:12" ht="15.8" customHeight="1" x14ac:dyDescent="0.2">
      <c r="A160" s="458" t="s">
        <v>51</v>
      </c>
      <c r="B160" s="458" t="s">
        <v>481</v>
      </c>
      <c r="C160" s="576"/>
      <c r="D160" s="459">
        <v>46213</v>
      </c>
      <c r="E160" s="458" t="s">
        <v>5273</v>
      </c>
      <c r="F160" s="458" t="s">
        <v>5393</v>
      </c>
      <c r="G160" s="458" t="s">
        <v>831</v>
      </c>
      <c r="H160" s="458" t="s">
        <v>5394</v>
      </c>
      <c r="I160" s="458" t="s">
        <v>167</v>
      </c>
      <c r="J160" s="458">
        <v>6</v>
      </c>
      <c r="K160" s="458" t="s">
        <v>5310</v>
      </c>
      <c r="L160" s="458" t="s">
        <v>167</v>
      </c>
    </row>
    <row r="161" spans="1:12" ht="15.8" customHeight="1" x14ac:dyDescent="0.2">
      <c r="A161" s="456" t="s">
        <v>51</v>
      </c>
      <c r="B161" s="456" t="s">
        <v>481</v>
      </c>
      <c r="C161" s="576"/>
      <c r="D161" s="457">
        <v>46218</v>
      </c>
      <c r="E161" s="456" t="s">
        <v>458</v>
      </c>
      <c r="F161" s="456" t="s">
        <v>5395</v>
      </c>
      <c r="G161" s="456" t="s">
        <v>85</v>
      </c>
      <c r="H161" s="456" t="s">
        <v>5396</v>
      </c>
      <c r="I161" s="456" t="s">
        <v>5295</v>
      </c>
      <c r="J161" s="456">
        <v>3</v>
      </c>
      <c r="K161" s="456" t="s">
        <v>192</v>
      </c>
      <c r="L161" s="456" t="s">
        <v>6040</v>
      </c>
    </row>
    <row r="162" spans="1:12" ht="15.8" customHeight="1" x14ac:dyDescent="0.2">
      <c r="A162" s="458" t="s">
        <v>51</v>
      </c>
      <c r="B162" s="458" t="s">
        <v>52</v>
      </c>
      <c r="C162" s="576"/>
      <c r="D162" s="459">
        <v>46218</v>
      </c>
      <c r="E162" s="458" t="s">
        <v>800</v>
      </c>
      <c r="F162" s="458" t="s">
        <v>5397</v>
      </c>
      <c r="G162" s="502"/>
      <c r="H162" s="458" t="s">
        <v>52</v>
      </c>
      <c r="I162" s="458" t="s">
        <v>5125</v>
      </c>
      <c r="J162" s="458">
        <v>25</v>
      </c>
      <c r="K162" s="458" t="s">
        <v>5398</v>
      </c>
      <c r="L162" s="458" t="s">
        <v>6041</v>
      </c>
    </row>
    <row r="163" spans="1:12" ht="15.8" customHeight="1" x14ac:dyDescent="0.2">
      <c r="A163" s="456" t="s">
        <v>51</v>
      </c>
      <c r="B163" s="456" t="s">
        <v>52</v>
      </c>
      <c r="C163" s="576"/>
      <c r="D163" s="457">
        <v>46220</v>
      </c>
      <c r="E163" s="456" t="s">
        <v>5399</v>
      </c>
      <c r="F163" s="456" t="s">
        <v>5400</v>
      </c>
      <c r="G163" s="456" t="s">
        <v>5401</v>
      </c>
      <c r="H163" s="456" t="s">
        <v>5402</v>
      </c>
      <c r="I163" s="456" t="s">
        <v>5403</v>
      </c>
      <c r="J163" s="456">
        <v>4</v>
      </c>
      <c r="K163" s="456" t="s">
        <v>192</v>
      </c>
      <c r="L163" s="456" t="s">
        <v>6042</v>
      </c>
    </row>
    <row r="164" spans="1:12" ht="15.8" customHeight="1" x14ac:dyDescent="0.2">
      <c r="A164" s="458" t="s">
        <v>51</v>
      </c>
      <c r="B164" s="458" t="s">
        <v>52</v>
      </c>
      <c r="C164" s="576"/>
      <c r="D164" s="459">
        <v>46221</v>
      </c>
      <c r="E164" s="458" t="s">
        <v>291</v>
      </c>
      <c r="F164" s="458" t="s">
        <v>5404</v>
      </c>
      <c r="G164" s="458" t="s">
        <v>4305</v>
      </c>
      <c r="H164" s="458" t="s">
        <v>5405</v>
      </c>
      <c r="I164" s="458" t="s">
        <v>3721</v>
      </c>
      <c r="J164" s="458">
        <v>5</v>
      </c>
      <c r="K164" s="458" t="s">
        <v>2313</v>
      </c>
      <c r="L164" s="458" t="s">
        <v>3721</v>
      </c>
    </row>
    <row r="165" spans="1:12" ht="15.8" customHeight="1" x14ac:dyDescent="0.2">
      <c r="A165" s="456" t="s">
        <v>10</v>
      </c>
      <c r="B165" s="456" t="s">
        <v>163</v>
      </c>
      <c r="C165" s="576"/>
      <c r="D165" s="457">
        <v>46223</v>
      </c>
      <c r="E165" s="456" t="s">
        <v>343</v>
      </c>
      <c r="F165" s="456" t="s">
        <v>381</v>
      </c>
      <c r="G165" s="503"/>
      <c r="H165" s="456" t="s">
        <v>5406</v>
      </c>
      <c r="I165" s="456" t="s">
        <v>167</v>
      </c>
      <c r="J165" s="456">
        <v>13</v>
      </c>
      <c r="K165" s="456" t="s">
        <v>41</v>
      </c>
      <c r="L165" s="456" t="s">
        <v>167</v>
      </c>
    </row>
    <row r="166" spans="1:12" ht="15.8" customHeight="1" x14ac:dyDescent="0.2">
      <c r="A166" s="458" t="s">
        <v>10</v>
      </c>
      <c r="B166" s="458" t="s">
        <v>2161</v>
      </c>
      <c r="C166" s="576"/>
      <c r="D166" s="459">
        <v>46220</v>
      </c>
      <c r="E166" s="458" t="s">
        <v>800</v>
      </c>
      <c r="F166" s="458" t="s">
        <v>222</v>
      </c>
      <c r="G166" s="502"/>
      <c r="H166" s="458" t="s">
        <v>5407</v>
      </c>
      <c r="I166" s="458" t="s">
        <v>167</v>
      </c>
      <c r="J166" s="458">
        <v>2</v>
      </c>
      <c r="K166" s="458" t="s">
        <v>50</v>
      </c>
      <c r="L166" s="458" t="s">
        <v>167</v>
      </c>
    </row>
    <row r="167" spans="1:12" ht="15.8" customHeight="1" x14ac:dyDescent="0.2">
      <c r="A167" s="456" t="s">
        <v>10</v>
      </c>
      <c r="B167" s="456" t="s">
        <v>52</v>
      </c>
      <c r="C167" s="576"/>
      <c r="D167" s="457">
        <v>46220</v>
      </c>
      <c r="E167" s="456" t="s">
        <v>1042</v>
      </c>
      <c r="F167" s="456" t="s">
        <v>193</v>
      </c>
      <c r="G167" s="503"/>
      <c r="H167" s="456" t="s">
        <v>5408</v>
      </c>
      <c r="I167" s="456" t="s">
        <v>167</v>
      </c>
      <c r="J167" s="456">
        <v>6</v>
      </c>
      <c r="K167" s="456" t="s">
        <v>34</v>
      </c>
      <c r="L167" s="456" t="s">
        <v>6043</v>
      </c>
    </row>
    <row r="168" spans="1:12" ht="15.8" customHeight="1" x14ac:dyDescent="0.2">
      <c r="A168" s="458" t="s">
        <v>35</v>
      </c>
      <c r="B168" s="458" t="s">
        <v>29</v>
      </c>
      <c r="C168" s="576"/>
      <c r="D168" s="459">
        <v>46225</v>
      </c>
      <c r="E168" s="458" t="s">
        <v>153</v>
      </c>
      <c r="F168" s="458" t="s">
        <v>5409</v>
      </c>
      <c r="G168" s="458" t="s">
        <v>110</v>
      </c>
      <c r="H168" s="458" t="s">
        <v>5410</v>
      </c>
      <c r="I168" s="458" t="s">
        <v>5411</v>
      </c>
      <c r="J168" s="458">
        <v>3</v>
      </c>
      <c r="K168" s="458" t="s">
        <v>1109</v>
      </c>
      <c r="L168" s="458" t="s">
        <v>3721</v>
      </c>
    </row>
    <row r="169" spans="1:12" ht="15.8" customHeight="1" x14ac:dyDescent="0.2">
      <c r="A169" s="456" t="s">
        <v>10</v>
      </c>
      <c r="B169" s="456" t="s">
        <v>29</v>
      </c>
      <c r="C169" s="576"/>
      <c r="D169" s="457">
        <v>46224</v>
      </c>
      <c r="E169" s="456" t="s">
        <v>1520</v>
      </c>
      <c r="F169" s="456" t="s">
        <v>5412</v>
      </c>
      <c r="G169" s="456" t="s">
        <v>110</v>
      </c>
      <c r="H169" s="456" t="s">
        <v>5413</v>
      </c>
      <c r="I169" s="456" t="s">
        <v>167</v>
      </c>
      <c r="J169" s="456">
        <v>2</v>
      </c>
      <c r="K169" s="456" t="s">
        <v>16</v>
      </c>
      <c r="L169" s="456" t="s">
        <v>167</v>
      </c>
    </row>
    <row r="170" spans="1:12" ht="15.8" customHeight="1" x14ac:dyDescent="0.2">
      <c r="A170" s="458" t="s">
        <v>10</v>
      </c>
      <c r="B170" s="458" t="s">
        <v>2161</v>
      </c>
      <c r="C170" s="576"/>
      <c r="D170" s="459">
        <v>46230</v>
      </c>
      <c r="E170" s="458" t="s">
        <v>72</v>
      </c>
      <c r="F170" s="458" t="s">
        <v>1866</v>
      </c>
      <c r="G170" s="458" t="s">
        <v>401</v>
      </c>
      <c r="H170" s="458" t="s">
        <v>5414</v>
      </c>
      <c r="I170" s="458" t="s">
        <v>167</v>
      </c>
      <c r="J170" s="458">
        <v>5</v>
      </c>
      <c r="K170" s="458" t="s">
        <v>34</v>
      </c>
      <c r="L170" s="458" t="s">
        <v>167</v>
      </c>
    </row>
    <row r="171" spans="1:12" ht="15.8" customHeight="1" x14ac:dyDescent="0.2">
      <c r="A171" s="456" t="s">
        <v>146</v>
      </c>
      <c r="B171" s="456" t="s">
        <v>11</v>
      </c>
      <c r="C171" s="576"/>
      <c r="D171" s="457">
        <v>46234</v>
      </c>
      <c r="E171" s="456" t="s">
        <v>57</v>
      </c>
      <c r="F171" s="456" t="s">
        <v>5415</v>
      </c>
      <c r="G171" s="456" t="s">
        <v>2194</v>
      </c>
      <c r="H171" s="456" t="s">
        <v>5416</v>
      </c>
      <c r="I171" s="456" t="s">
        <v>3937</v>
      </c>
      <c r="J171" s="456">
        <v>3</v>
      </c>
      <c r="K171" s="456" t="s">
        <v>192</v>
      </c>
      <c r="L171" s="456" t="s">
        <v>3937</v>
      </c>
    </row>
    <row r="172" spans="1:12" ht="15.8" customHeight="1" x14ac:dyDescent="0.2">
      <c r="A172" s="511" t="s">
        <v>2147</v>
      </c>
      <c r="B172" s="509"/>
      <c r="C172" s="391"/>
      <c r="D172" s="510"/>
      <c r="E172" s="509"/>
      <c r="F172" s="509"/>
      <c r="G172" s="509"/>
      <c r="H172" s="509"/>
      <c r="I172" s="509"/>
      <c r="J172" s="509"/>
      <c r="K172" s="509"/>
      <c r="L172" s="498"/>
    </row>
    <row r="173" spans="1:12" ht="15.8" customHeight="1" x14ac:dyDescent="0.2">
      <c r="A173" s="456" t="s">
        <v>10</v>
      </c>
      <c r="B173" s="456" t="s">
        <v>152</v>
      </c>
      <c r="C173" s="572">
        <f>COUNTIF(B173:B527,C2)</f>
        <v>7</v>
      </c>
      <c r="D173" s="457">
        <v>46236</v>
      </c>
      <c r="E173" s="456" t="s">
        <v>4496</v>
      </c>
      <c r="F173" s="456" t="s">
        <v>5417</v>
      </c>
      <c r="G173" s="456" t="s">
        <v>167</v>
      </c>
      <c r="H173" s="456" t="s">
        <v>167</v>
      </c>
      <c r="I173" s="456" t="s">
        <v>167</v>
      </c>
      <c r="J173" s="456">
        <v>3</v>
      </c>
      <c r="K173" s="456" t="s">
        <v>16</v>
      </c>
      <c r="L173" s="456" t="s">
        <v>167</v>
      </c>
    </row>
    <row r="174" spans="1:12" ht="15.8" customHeight="1" x14ac:dyDescent="0.2">
      <c r="A174" s="458" t="s">
        <v>51</v>
      </c>
      <c r="B174" s="458" t="s">
        <v>397</v>
      </c>
      <c r="C174" s="573"/>
      <c r="D174" s="459">
        <v>46236</v>
      </c>
      <c r="E174" s="458" t="s">
        <v>3845</v>
      </c>
      <c r="F174" s="458" t="s">
        <v>5418</v>
      </c>
      <c r="G174" s="502"/>
      <c r="H174" s="458" t="s">
        <v>5419</v>
      </c>
      <c r="I174" s="458" t="s">
        <v>167</v>
      </c>
      <c r="J174" s="458">
        <v>3</v>
      </c>
      <c r="K174" s="458" t="s">
        <v>192</v>
      </c>
      <c r="L174" s="458" t="s">
        <v>167</v>
      </c>
    </row>
    <row r="175" spans="1:12" ht="15.8" customHeight="1" x14ac:dyDescent="0.2">
      <c r="A175" s="456" t="s">
        <v>51</v>
      </c>
      <c r="B175" s="456" t="s">
        <v>52</v>
      </c>
      <c r="C175" s="573"/>
      <c r="D175" s="457">
        <v>46236</v>
      </c>
      <c r="E175" s="456" t="s">
        <v>57</v>
      </c>
      <c r="F175" s="456" t="s">
        <v>441</v>
      </c>
      <c r="G175" s="456" t="s">
        <v>441</v>
      </c>
      <c r="H175" s="456" t="s">
        <v>5420</v>
      </c>
      <c r="I175" s="456" t="s">
        <v>5421</v>
      </c>
      <c r="J175" s="456">
        <v>2</v>
      </c>
      <c r="K175" s="456" t="s">
        <v>16</v>
      </c>
      <c r="L175" s="456" t="s">
        <v>167</v>
      </c>
    </row>
    <row r="176" spans="1:12" ht="15.8" customHeight="1" x14ac:dyDescent="0.2">
      <c r="A176" s="458" t="s">
        <v>51</v>
      </c>
      <c r="B176" s="458" t="s">
        <v>244</v>
      </c>
      <c r="C176" s="573"/>
      <c r="D176" s="459">
        <v>46240</v>
      </c>
      <c r="E176" s="458" t="s">
        <v>57</v>
      </c>
      <c r="F176" s="458" t="s">
        <v>5422</v>
      </c>
      <c r="G176" s="458" t="s">
        <v>27</v>
      </c>
      <c r="H176" s="458" t="s">
        <v>5423</v>
      </c>
      <c r="I176" s="458" t="s">
        <v>3937</v>
      </c>
      <c r="J176" s="458">
        <v>4</v>
      </c>
      <c r="K176" s="458" t="s">
        <v>16</v>
      </c>
      <c r="L176" s="458" t="s">
        <v>3937</v>
      </c>
    </row>
    <row r="177" spans="1:12" ht="15.8" customHeight="1" x14ac:dyDescent="0.2">
      <c r="A177" s="456" t="s">
        <v>10</v>
      </c>
      <c r="B177" s="456" t="s">
        <v>29</v>
      </c>
      <c r="C177" s="573"/>
      <c r="D177" s="457">
        <v>46240</v>
      </c>
      <c r="E177" s="456" t="s">
        <v>57</v>
      </c>
      <c r="F177" s="456" t="s">
        <v>139</v>
      </c>
      <c r="G177" s="456" t="s">
        <v>139</v>
      </c>
      <c r="H177" s="456" t="s">
        <v>5424</v>
      </c>
      <c r="I177" s="456" t="s">
        <v>3937</v>
      </c>
      <c r="J177" s="456">
        <v>3</v>
      </c>
      <c r="K177" s="456" t="s">
        <v>34</v>
      </c>
      <c r="L177" s="456" t="s">
        <v>3937</v>
      </c>
    </row>
    <row r="178" spans="1:12" ht="15.8" customHeight="1" x14ac:dyDescent="0.2">
      <c r="A178" s="458" t="s">
        <v>51</v>
      </c>
      <c r="B178" s="458" t="s">
        <v>451</v>
      </c>
      <c r="C178" s="573"/>
      <c r="D178" s="459">
        <v>46240</v>
      </c>
      <c r="E178" s="458" t="s">
        <v>180</v>
      </c>
      <c r="F178" s="458" t="s">
        <v>5425</v>
      </c>
      <c r="G178" s="458" t="s">
        <v>2194</v>
      </c>
      <c r="H178" s="458" t="s">
        <v>5426</v>
      </c>
      <c r="I178" s="458" t="s">
        <v>5427</v>
      </c>
      <c r="J178" s="458">
        <v>4</v>
      </c>
      <c r="K178" s="458" t="s">
        <v>16</v>
      </c>
      <c r="L178" s="458" t="s">
        <v>3721</v>
      </c>
    </row>
    <row r="179" spans="1:12" ht="15.8" customHeight="1" x14ac:dyDescent="0.2">
      <c r="A179" s="456" t="s">
        <v>51</v>
      </c>
      <c r="B179" s="456" t="s">
        <v>52</v>
      </c>
      <c r="C179" s="573"/>
      <c r="D179" s="457">
        <v>46242</v>
      </c>
      <c r="E179" s="456" t="s">
        <v>131</v>
      </c>
      <c r="F179" s="456" t="s">
        <v>5428</v>
      </c>
      <c r="G179" s="456" t="s">
        <v>135</v>
      </c>
      <c r="H179" s="456" t="s">
        <v>5429</v>
      </c>
      <c r="I179" s="456" t="s">
        <v>5430</v>
      </c>
      <c r="J179" s="456">
        <v>5</v>
      </c>
      <c r="K179" s="456" t="s">
        <v>5310</v>
      </c>
      <c r="L179" s="456" t="s">
        <v>5431</v>
      </c>
    </row>
    <row r="180" spans="1:12" ht="15.8" customHeight="1" x14ac:dyDescent="0.2">
      <c r="A180" s="458" t="s">
        <v>51</v>
      </c>
      <c r="B180" s="458" t="s">
        <v>52</v>
      </c>
      <c r="C180" s="573"/>
      <c r="D180" s="459">
        <v>46244</v>
      </c>
      <c r="E180" s="458" t="s">
        <v>57</v>
      </c>
      <c r="F180" s="458" t="s">
        <v>996</v>
      </c>
      <c r="G180" s="458" t="s">
        <v>135</v>
      </c>
      <c r="H180" s="458" t="s">
        <v>4862</v>
      </c>
      <c r="I180" s="458" t="s">
        <v>5432</v>
      </c>
      <c r="J180" s="458">
        <v>6</v>
      </c>
      <c r="K180" s="458" t="s">
        <v>2313</v>
      </c>
      <c r="L180" s="458" t="s">
        <v>3937</v>
      </c>
    </row>
    <row r="181" spans="1:12" ht="15.8" customHeight="1" x14ac:dyDescent="0.2">
      <c r="A181" s="456" t="s">
        <v>51</v>
      </c>
      <c r="B181" s="456" t="s">
        <v>244</v>
      </c>
      <c r="C181" s="573"/>
      <c r="D181" s="457">
        <v>46244</v>
      </c>
      <c r="E181" s="456" t="s">
        <v>57</v>
      </c>
      <c r="F181" s="456" t="s">
        <v>217</v>
      </c>
      <c r="G181" s="456" t="s">
        <v>5433</v>
      </c>
      <c r="H181" s="456" t="s">
        <v>5434</v>
      </c>
      <c r="I181" s="456" t="s">
        <v>3937</v>
      </c>
      <c r="J181" s="456">
        <v>7</v>
      </c>
      <c r="K181" s="456" t="s">
        <v>2607</v>
      </c>
      <c r="L181" s="456" t="s">
        <v>3937</v>
      </c>
    </row>
    <row r="182" spans="1:12" s="535" customFormat="1" ht="15.8" customHeight="1" x14ac:dyDescent="0.2">
      <c r="A182" s="533" t="s">
        <v>146</v>
      </c>
      <c r="B182" s="533" t="s">
        <v>11</v>
      </c>
      <c r="C182" s="573"/>
      <c r="D182" s="534">
        <v>46244</v>
      </c>
      <c r="E182" s="533" t="s">
        <v>57</v>
      </c>
      <c r="F182" s="533" t="s">
        <v>5435</v>
      </c>
      <c r="G182" s="533" t="s">
        <v>355</v>
      </c>
      <c r="H182" s="533" t="s">
        <v>5436</v>
      </c>
      <c r="I182" s="533" t="s">
        <v>3937</v>
      </c>
      <c r="J182" s="533">
        <v>2</v>
      </c>
      <c r="K182" s="533" t="s">
        <v>192</v>
      </c>
      <c r="L182" s="533" t="s">
        <v>3937</v>
      </c>
    </row>
    <row r="183" spans="1:12" ht="15.8" customHeight="1" x14ac:dyDescent="0.2">
      <c r="A183" s="456" t="s">
        <v>10</v>
      </c>
      <c r="B183" s="456" t="s">
        <v>2162</v>
      </c>
      <c r="C183" s="573"/>
      <c r="D183" s="457">
        <v>46244</v>
      </c>
      <c r="E183" s="456" t="s">
        <v>57</v>
      </c>
      <c r="F183" s="456" t="s">
        <v>5437</v>
      </c>
      <c r="G183" s="456" t="s">
        <v>95</v>
      </c>
      <c r="H183" s="456" t="s">
        <v>5438</v>
      </c>
      <c r="I183" s="456" t="s">
        <v>3937</v>
      </c>
      <c r="J183" s="456">
        <v>2</v>
      </c>
      <c r="K183" s="456" t="s">
        <v>50</v>
      </c>
      <c r="L183" s="456" t="s">
        <v>3937</v>
      </c>
    </row>
    <row r="184" spans="1:12" ht="15.8" customHeight="1" x14ac:dyDescent="0.2">
      <c r="A184" s="458" t="s">
        <v>5439</v>
      </c>
      <c r="B184" s="458" t="s">
        <v>888</v>
      </c>
      <c r="C184" s="573"/>
      <c r="D184" s="459">
        <v>46244</v>
      </c>
      <c r="E184" s="458" t="s">
        <v>5440</v>
      </c>
      <c r="F184" s="458" t="s">
        <v>5441</v>
      </c>
      <c r="G184" s="502"/>
      <c r="H184" s="458" t="s">
        <v>5442</v>
      </c>
      <c r="I184" s="458" t="s">
        <v>167</v>
      </c>
      <c r="J184" s="458">
        <v>33</v>
      </c>
      <c r="K184" s="458" t="s">
        <v>5443</v>
      </c>
      <c r="L184" s="458" t="s">
        <v>167</v>
      </c>
    </row>
    <row r="185" spans="1:12" ht="15.8" customHeight="1" x14ac:dyDescent="0.2">
      <c r="A185" s="456" t="s">
        <v>10</v>
      </c>
      <c r="B185" s="456" t="s">
        <v>888</v>
      </c>
      <c r="C185" s="573"/>
      <c r="D185" s="457">
        <v>46244</v>
      </c>
      <c r="E185" s="456" t="s">
        <v>57</v>
      </c>
      <c r="F185" s="456" t="s">
        <v>5444</v>
      </c>
      <c r="G185" s="456" t="s">
        <v>95</v>
      </c>
      <c r="H185" s="456" t="s">
        <v>5445</v>
      </c>
      <c r="I185" s="456" t="s">
        <v>3937</v>
      </c>
      <c r="J185" s="456">
        <v>4</v>
      </c>
      <c r="K185" s="456" t="s">
        <v>78</v>
      </c>
      <c r="L185" s="456" t="s">
        <v>3937</v>
      </c>
    </row>
    <row r="186" spans="1:12" ht="15.8" customHeight="1" x14ac:dyDescent="0.2">
      <c r="A186" s="458" t="s">
        <v>10</v>
      </c>
      <c r="B186" s="458" t="s">
        <v>2162</v>
      </c>
      <c r="C186" s="573"/>
      <c r="D186" s="459">
        <v>46244</v>
      </c>
      <c r="E186" s="458" t="s">
        <v>91</v>
      </c>
      <c r="F186" s="458" t="s">
        <v>5446</v>
      </c>
      <c r="G186" s="458" t="s">
        <v>5447</v>
      </c>
      <c r="H186" s="458" t="s">
        <v>5448</v>
      </c>
      <c r="I186" s="458" t="s">
        <v>167</v>
      </c>
      <c r="J186" s="458">
        <v>8</v>
      </c>
      <c r="K186" s="458" t="s">
        <v>34</v>
      </c>
      <c r="L186" s="458" t="s">
        <v>167</v>
      </c>
    </row>
    <row r="187" spans="1:12" ht="15.8" customHeight="1" x14ac:dyDescent="0.2">
      <c r="A187" s="456" t="s">
        <v>10</v>
      </c>
      <c r="B187" s="456" t="s">
        <v>2162</v>
      </c>
      <c r="C187" s="573"/>
      <c r="D187" s="457">
        <v>46244</v>
      </c>
      <c r="E187" s="456" t="s">
        <v>91</v>
      </c>
      <c r="F187" s="456" t="s">
        <v>5449</v>
      </c>
      <c r="G187" s="456" t="s">
        <v>5450</v>
      </c>
      <c r="H187" s="456" t="s">
        <v>5451</v>
      </c>
      <c r="I187" s="456" t="s">
        <v>167</v>
      </c>
      <c r="J187" s="456">
        <v>8</v>
      </c>
      <c r="K187" s="456" t="s">
        <v>34</v>
      </c>
      <c r="L187" s="456" t="s">
        <v>167</v>
      </c>
    </row>
    <row r="188" spans="1:12" ht="15.8" customHeight="1" x14ac:dyDescent="0.2">
      <c r="A188" s="458" t="s">
        <v>10</v>
      </c>
      <c r="B188" s="458" t="s">
        <v>2162</v>
      </c>
      <c r="C188" s="573"/>
      <c r="D188" s="459">
        <v>46244</v>
      </c>
      <c r="E188" s="458" t="s">
        <v>91</v>
      </c>
      <c r="F188" s="458" t="s">
        <v>5452</v>
      </c>
      <c r="G188" s="458" t="s">
        <v>5450</v>
      </c>
      <c r="H188" s="458" t="s">
        <v>5453</v>
      </c>
      <c r="I188" s="502"/>
      <c r="J188" s="458">
        <v>8</v>
      </c>
      <c r="K188" s="458" t="s">
        <v>34</v>
      </c>
      <c r="L188" s="502"/>
    </row>
    <row r="189" spans="1:12" ht="15.8" customHeight="1" x14ac:dyDescent="0.2">
      <c r="A189" s="456" t="s">
        <v>10</v>
      </c>
      <c r="B189" s="456" t="s">
        <v>2162</v>
      </c>
      <c r="C189" s="573"/>
      <c r="D189" s="457">
        <v>46244</v>
      </c>
      <c r="E189" s="456" t="s">
        <v>91</v>
      </c>
      <c r="F189" s="456" t="s">
        <v>5454</v>
      </c>
      <c r="G189" s="503"/>
      <c r="H189" s="456" t="s">
        <v>5455</v>
      </c>
      <c r="I189" s="503"/>
      <c r="J189" s="456">
        <v>8</v>
      </c>
      <c r="K189" s="456" t="s">
        <v>34</v>
      </c>
      <c r="L189" s="503"/>
    </row>
    <row r="190" spans="1:12" ht="15.8" customHeight="1" x14ac:dyDescent="0.2">
      <c r="A190" s="458" t="s">
        <v>10</v>
      </c>
      <c r="B190" s="458" t="s">
        <v>2162</v>
      </c>
      <c r="C190" s="573"/>
      <c r="D190" s="459">
        <v>46244</v>
      </c>
      <c r="E190" s="458" t="s">
        <v>91</v>
      </c>
      <c r="F190" s="458" t="s">
        <v>5456</v>
      </c>
      <c r="G190" s="458" t="s">
        <v>5450</v>
      </c>
      <c r="H190" s="458" t="s">
        <v>5457</v>
      </c>
      <c r="I190" s="502"/>
      <c r="J190" s="458">
        <v>8</v>
      </c>
      <c r="K190" s="458" t="s">
        <v>34</v>
      </c>
      <c r="L190" s="502"/>
    </row>
    <row r="191" spans="1:12" ht="15.8" customHeight="1" x14ac:dyDescent="0.2">
      <c r="A191" s="456" t="s">
        <v>10</v>
      </c>
      <c r="B191" s="456" t="s">
        <v>2162</v>
      </c>
      <c r="C191" s="573"/>
      <c r="D191" s="457">
        <v>46244</v>
      </c>
      <c r="E191" s="456" t="s">
        <v>91</v>
      </c>
      <c r="F191" s="456" t="s">
        <v>5458</v>
      </c>
      <c r="G191" s="456" t="s">
        <v>95</v>
      </c>
      <c r="H191" s="456" t="s">
        <v>5459</v>
      </c>
      <c r="I191" s="503"/>
      <c r="J191" s="456">
        <v>8</v>
      </c>
      <c r="K191" s="456" t="s">
        <v>34</v>
      </c>
      <c r="L191" s="503"/>
    </row>
    <row r="192" spans="1:12" ht="15.8" customHeight="1" x14ac:dyDescent="0.2">
      <c r="A192" s="458" t="s">
        <v>10</v>
      </c>
      <c r="B192" s="458" t="s">
        <v>2162</v>
      </c>
      <c r="C192" s="573"/>
      <c r="D192" s="459">
        <v>46244</v>
      </c>
      <c r="E192" s="458" t="s">
        <v>91</v>
      </c>
      <c r="F192" s="458" t="s">
        <v>5460</v>
      </c>
      <c r="G192" s="458" t="s">
        <v>5450</v>
      </c>
      <c r="H192" s="458" t="s">
        <v>5461</v>
      </c>
      <c r="I192" s="502"/>
      <c r="J192" s="458">
        <v>8</v>
      </c>
      <c r="K192" s="458" t="s">
        <v>34</v>
      </c>
      <c r="L192" s="502"/>
    </row>
    <row r="193" spans="1:12" ht="15.8" customHeight="1" x14ac:dyDescent="0.2">
      <c r="A193" s="456" t="s">
        <v>10</v>
      </c>
      <c r="B193" s="456" t="s">
        <v>2162</v>
      </c>
      <c r="C193" s="573"/>
      <c r="D193" s="457">
        <v>46244</v>
      </c>
      <c r="E193" s="456" t="s">
        <v>91</v>
      </c>
      <c r="F193" s="456" t="s">
        <v>5462</v>
      </c>
      <c r="G193" s="456" t="s">
        <v>5450</v>
      </c>
      <c r="H193" s="456" t="s">
        <v>5463</v>
      </c>
      <c r="I193" s="503"/>
      <c r="J193" s="456">
        <v>8</v>
      </c>
      <c r="K193" s="456" t="s">
        <v>34</v>
      </c>
      <c r="L193" s="503"/>
    </row>
    <row r="194" spans="1:12" ht="15.8" customHeight="1" x14ac:dyDescent="0.2">
      <c r="A194" s="458" t="s">
        <v>10</v>
      </c>
      <c r="B194" s="458" t="s">
        <v>2162</v>
      </c>
      <c r="C194" s="573"/>
      <c r="D194" s="459">
        <v>46244</v>
      </c>
      <c r="E194" s="458" t="s">
        <v>91</v>
      </c>
      <c r="F194" s="458" t="s">
        <v>5464</v>
      </c>
      <c r="G194" s="458" t="s">
        <v>5450</v>
      </c>
      <c r="H194" s="458" t="s">
        <v>5465</v>
      </c>
      <c r="I194" s="502"/>
      <c r="J194" s="458">
        <v>8</v>
      </c>
      <c r="K194" s="458" t="s">
        <v>34</v>
      </c>
      <c r="L194" s="502"/>
    </row>
    <row r="195" spans="1:12" ht="15.8" customHeight="1" x14ac:dyDescent="0.2">
      <c r="A195" s="456" t="s">
        <v>10</v>
      </c>
      <c r="B195" s="456" t="s">
        <v>2162</v>
      </c>
      <c r="C195" s="573"/>
      <c r="D195" s="457">
        <v>46244</v>
      </c>
      <c r="E195" s="456" t="s">
        <v>91</v>
      </c>
      <c r="F195" s="456" t="s">
        <v>5466</v>
      </c>
      <c r="G195" s="456" t="s">
        <v>5450</v>
      </c>
      <c r="H195" s="456" t="s">
        <v>5467</v>
      </c>
      <c r="I195" s="503"/>
      <c r="J195" s="456">
        <v>8</v>
      </c>
      <c r="K195" s="456" t="s">
        <v>34</v>
      </c>
      <c r="L195" s="503"/>
    </row>
    <row r="196" spans="1:12" ht="15.8" customHeight="1" x14ac:dyDescent="0.2">
      <c r="A196" s="458" t="s">
        <v>10</v>
      </c>
      <c r="B196" s="458" t="s">
        <v>2162</v>
      </c>
      <c r="C196" s="573"/>
      <c r="D196" s="459">
        <v>46244</v>
      </c>
      <c r="E196" s="458" t="s">
        <v>91</v>
      </c>
      <c r="F196" s="458" t="s">
        <v>5468</v>
      </c>
      <c r="G196" s="458" t="s">
        <v>95</v>
      </c>
      <c r="H196" s="458" t="s">
        <v>5469</v>
      </c>
      <c r="I196" s="502"/>
      <c r="J196" s="458">
        <v>8</v>
      </c>
      <c r="K196" s="458" t="s">
        <v>34</v>
      </c>
      <c r="L196" s="502"/>
    </row>
    <row r="197" spans="1:12" ht="15.8" customHeight="1" x14ac:dyDescent="0.2">
      <c r="A197" s="456" t="s">
        <v>10</v>
      </c>
      <c r="B197" s="456" t="s">
        <v>2162</v>
      </c>
      <c r="C197" s="573"/>
      <c r="D197" s="457">
        <v>46244</v>
      </c>
      <c r="E197" s="456" t="s">
        <v>91</v>
      </c>
      <c r="F197" s="456" t="s">
        <v>5470</v>
      </c>
      <c r="G197" s="456" t="s">
        <v>95</v>
      </c>
      <c r="H197" s="456" t="s">
        <v>5471</v>
      </c>
      <c r="I197" s="503"/>
      <c r="J197" s="456">
        <v>8</v>
      </c>
      <c r="K197" s="456" t="s">
        <v>34</v>
      </c>
      <c r="L197" s="503"/>
    </row>
    <row r="198" spans="1:12" ht="15.8" customHeight="1" x14ac:dyDescent="0.2">
      <c r="A198" s="458" t="s">
        <v>10</v>
      </c>
      <c r="B198" s="458" t="s">
        <v>2162</v>
      </c>
      <c r="C198" s="573"/>
      <c r="D198" s="459">
        <v>46244</v>
      </c>
      <c r="E198" s="458" t="s">
        <v>91</v>
      </c>
      <c r="F198" s="458" t="s">
        <v>5472</v>
      </c>
      <c r="G198" s="458" t="s">
        <v>95</v>
      </c>
      <c r="H198" s="458" t="s">
        <v>5473</v>
      </c>
      <c r="I198" s="502"/>
      <c r="J198" s="458">
        <v>8</v>
      </c>
      <c r="K198" s="458" t="s">
        <v>34</v>
      </c>
      <c r="L198" s="502"/>
    </row>
    <row r="199" spans="1:12" ht="15.8" customHeight="1" x14ac:dyDescent="0.2">
      <c r="A199" s="456" t="s">
        <v>10</v>
      </c>
      <c r="B199" s="456" t="s">
        <v>2162</v>
      </c>
      <c r="C199" s="573"/>
      <c r="D199" s="457">
        <v>46244</v>
      </c>
      <c r="E199" s="456" t="s">
        <v>91</v>
      </c>
      <c r="F199" s="456" t="s">
        <v>5474</v>
      </c>
      <c r="G199" s="456" t="s">
        <v>95</v>
      </c>
      <c r="H199" s="456" t="s">
        <v>5475</v>
      </c>
      <c r="I199" s="503"/>
      <c r="J199" s="456">
        <v>8</v>
      </c>
      <c r="K199" s="456" t="s">
        <v>34</v>
      </c>
      <c r="L199" s="503"/>
    </row>
    <row r="200" spans="1:12" ht="15.8" customHeight="1" x14ac:dyDescent="0.2">
      <c r="A200" s="458" t="s">
        <v>10</v>
      </c>
      <c r="B200" s="458" t="s">
        <v>2162</v>
      </c>
      <c r="C200" s="573"/>
      <c r="D200" s="459">
        <v>46244</v>
      </c>
      <c r="E200" s="458" t="s">
        <v>91</v>
      </c>
      <c r="F200" s="458" t="s">
        <v>5476</v>
      </c>
      <c r="G200" s="458" t="s">
        <v>95</v>
      </c>
      <c r="H200" s="458" t="s">
        <v>5477</v>
      </c>
      <c r="I200" s="502"/>
      <c r="J200" s="458">
        <v>8</v>
      </c>
      <c r="K200" s="458" t="s">
        <v>34</v>
      </c>
      <c r="L200" s="502"/>
    </row>
    <row r="201" spans="1:12" ht="15.8" customHeight="1" x14ac:dyDescent="0.2">
      <c r="A201" s="456" t="s">
        <v>10</v>
      </c>
      <c r="B201" s="456" t="s">
        <v>2162</v>
      </c>
      <c r="C201" s="573"/>
      <c r="D201" s="457">
        <v>46244</v>
      </c>
      <c r="E201" s="456" t="s">
        <v>91</v>
      </c>
      <c r="F201" s="456" t="s">
        <v>5478</v>
      </c>
      <c r="G201" s="456" t="s">
        <v>5479</v>
      </c>
      <c r="H201" s="456" t="s">
        <v>5480</v>
      </c>
      <c r="I201" s="503"/>
      <c r="J201" s="456">
        <v>8</v>
      </c>
      <c r="K201" s="456" t="s">
        <v>34</v>
      </c>
      <c r="L201" s="503"/>
    </row>
    <row r="202" spans="1:12" ht="15.8" customHeight="1" x14ac:dyDescent="0.2">
      <c r="A202" s="458" t="s">
        <v>10</v>
      </c>
      <c r="B202" s="458" t="s">
        <v>2162</v>
      </c>
      <c r="C202" s="573"/>
      <c r="D202" s="459">
        <v>46244</v>
      </c>
      <c r="E202" s="458" t="s">
        <v>91</v>
      </c>
      <c r="F202" s="458" t="s">
        <v>5481</v>
      </c>
      <c r="G202" s="458" t="s">
        <v>95</v>
      </c>
      <c r="H202" s="458" t="s">
        <v>5482</v>
      </c>
      <c r="I202" s="502"/>
      <c r="J202" s="458">
        <v>8</v>
      </c>
      <c r="K202" s="458" t="s">
        <v>34</v>
      </c>
      <c r="L202" s="502"/>
    </row>
    <row r="203" spans="1:12" ht="15.8" customHeight="1" x14ac:dyDescent="0.2">
      <c r="A203" s="456" t="s">
        <v>10</v>
      </c>
      <c r="B203" s="456" t="s">
        <v>2162</v>
      </c>
      <c r="C203" s="573"/>
      <c r="D203" s="457">
        <v>46244</v>
      </c>
      <c r="E203" s="456" t="s">
        <v>91</v>
      </c>
      <c r="F203" s="456" t="s">
        <v>5483</v>
      </c>
      <c r="G203" s="456" t="s">
        <v>95</v>
      </c>
      <c r="H203" s="456" t="s">
        <v>5484</v>
      </c>
      <c r="I203" s="503"/>
      <c r="J203" s="456">
        <v>8</v>
      </c>
      <c r="K203" s="456" t="s">
        <v>34</v>
      </c>
      <c r="L203" s="503"/>
    </row>
    <row r="204" spans="1:12" ht="15.8" customHeight="1" x14ac:dyDescent="0.2">
      <c r="A204" s="458" t="s">
        <v>10</v>
      </c>
      <c r="B204" s="458" t="s">
        <v>2162</v>
      </c>
      <c r="C204" s="573"/>
      <c r="D204" s="459">
        <v>46244</v>
      </c>
      <c r="E204" s="458" t="s">
        <v>57</v>
      </c>
      <c r="F204" s="458" t="s">
        <v>5478</v>
      </c>
      <c r="G204" s="458" t="s">
        <v>95</v>
      </c>
      <c r="H204" s="458" t="s">
        <v>5485</v>
      </c>
      <c r="I204" s="502"/>
      <c r="J204" s="458">
        <v>4</v>
      </c>
      <c r="K204" s="458" t="s">
        <v>78</v>
      </c>
      <c r="L204" s="502"/>
    </row>
    <row r="205" spans="1:12" ht="15.8" customHeight="1" x14ac:dyDescent="0.2">
      <c r="A205" s="456" t="s">
        <v>10</v>
      </c>
      <c r="B205" s="456" t="s">
        <v>2162</v>
      </c>
      <c r="C205" s="573"/>
      <c r="D205" s="457">
        <v>46244</v>
      </c>
      <c r="E205" s="456" t="s">
        <v>91</v>
      </c>
      <c r="F205" s="456" t="s">
        <v>5486</v>
      </c>
      <c r="G205" s="456" t="s">
        <v>5487</v>
      </c>
      <c r="H205" s="456" t="s">
        <v>5488</v>
      </c>
      <c r="I205" s="503"/>
      <c r="J205" s="456">
        <v>4</v>
      </c>
      <c r="K205" s="456" t="s">
        <v>78</v>
      </c>
      <c r="L205" s="503"/>
    </row>
    <row r="206" spans="1:12" ht="15.8" customHeight="1" x14ac:dyDescent="0.2">
      <c r="A206" s="458" t="s">
        <v>10</v>
      </c>
      <c r="B206" s="458" t="s">
        <v>2162</v>
      </c>
      <c r="C206" s="573"/>
      <c r="D206" s="459">
        <v>46244</v>
      </c>
      <c r="E206" s="458" t="s">
        <v>91</v>
      </c>
      <c r="F206" s="458" t="s">
        <v>5489</v>
      </c>
      <c r="G206" s="458" t="s">
        <v>5487</v>
      </c>
      <c r="H206" s="458" t="s">
        <v>5490</v>
      </c>
      <c r="I206" s="502"/>
      <c r="J206" s="458">
        <v>4</v>
      </c>
      <c r="K206" s="458" t="s">
        <v>78</v>
      </c>
      <c r="L206" s="502"/>
    </row>
    <row r="207" spans="1:12" ht="15.8" customHeight="1" x14ac:dyDescent="0.2">
      <c r="A207" s="456" t="s">
        <v>10</v>
      </c>
      <c r="B207" s="456" t="s">
        <v>2162</v>
      </c>
      <c r="C207" s="573"/>
      <c r="D207" s="457">
        <v>46244</v>
      </c>
      <c r="E207" s="456" t="s">
        <v>91</v>
      </c>
      <c r="F207" s="456" t="s">
        <v>5491</v>
      </c>
      <c r="G207" s="456" t="s">
        <v>5487</v>
      </c>
      <c r="H207" s="456" t="s">
        <v>5492</v>
      </c>
      <c r="I207" s="503"/>
      <c r="J207" s="456">
        <v>4</v>
      </c>
      <c r="K207" s="456" t="s">
        <v>78</v>
      </c>
      <c r="L207" s="503"/>
    </row>
    <row r="208" spans="1:12" ht="15.8" customHeight="1" x14ac:dyDescent="0.2">
      <c r="A208" s="458" t="s">
        <v>10</v>
      </c>
      <c r="B208" s="458" t="s">
        <v>2162</v>
      </c>
      <c r="C208" s="573"/>
      <c r="D208" s="459">
        <v>46244</v>
      </c>
      <c r="E208" s="458" t="s">
        <v>91</v>
      </c>
      <c r="F208" s="458" t="s">
        <v>5493</v>
      </c>
      <c r="G208" s="458" t="s">
        <v>5487</v>
      </c>
      <c r="H208" s="458" t="s">
        <v>5494</v>
      </c>
      <c r="I208" s="502"/>
      <c r="J208" s="458">
        <v>5</v>
      </c>
      <c r="K208" s="458" t="s">
        <v>50</v>
      </c>
      <c r="L208" s="502"/>
    </row>
    <row r="209" spans="1:12" ht="15.8" customHeight="1" x14ac:dyDescent="0.2">
      <c r="A209" s="456" t="s">
        <v>10</v>
      </c>
      <c r="B209" s="456" t="s">
        <v>2162</v>
      </c>
      <c r="C209" s="573"/>
      <c r="D209" s="457">
        <v>46244</v>
      </c>
      <c r="E209" s="456" t="s">
        <v>91</v>
      </c>
      <c r="F209" s="456" t="s">
        <v>5495</v>
      </c>
      <c r="G209" s="456" t="s">
        <v>5487</v>
      </c>
      <c r="H209" s="456" t="s">
        <v>5488</v>
      </c>
      <c r="I209" s="503"/>
      <c r="J209" s="456">
        <v>5</v>
      </c>
      <c r="K209" s="456" t="s">
        <v>50</v>
      </c>
      <c r="L209" s="503"/>
    </row>
    <row r="210" spans="1:12" ht="15.8" customHeight="1" x14ac:dyDescent="0.2">
      <c r="A210" s="458" t="s">
        <v>10</v>
      </c>
      <c r="B210" s="458" t="s">
        <v>2162</v>
      </c>
      <c r="C210" s="573"/>
      <c r="D210" s="459">
        <v>46244</v>
      </c>
      <c r="E210" s="458" t="s">
        <v>91</v>
      </c>
      <c r="F210" s="458" t="s">
        <v>5496</v>
      </c>
      <c r="G210" s="458" t="s">
        <v>5487</v>
      </c>
      <c r="H210" s="458" t="s">
        <v>5497</v>
      </c>
      <c r="I210" s="502"/>
      <c r="J210" s="458">
        <v>5</v>
      </c>
      <c r="K210" s="458" t="s">
        <v>50</v>
      </c>
      <c r="L210" s="502"/>
    </row>
    <row r="211" spans="1:12" ht="15.8" customHeight="1" x14ac:dyDescent="0.2">
      <c r="A211" s="456" t="s">
        <v>10</v>
      </c>
      <c r="B211" s="456" t="s">
        <v>2162</v>
      </c>
      <c r="C211" s="573"/>
      <c r="D211" s="457">
        <v>46244</v>
      </c>
      <c r="E211" s="456" t="s">
        <v>57</v>
      </c>
      <c r="F211" s="456" t="s">
        <v>5498</v>
      </c>
      <c r="G211" s="456" t="s">
        <v>5487</v>
      </c>
      <c r="H211" s="456" t="s">
        <v>5499</v>
      </c>
      <c r="I211" s="503"/>
      <c r="J211" s="456">
        <v>5</v>
      </c>
      <c r="K211" s="456" t="s">
        <v>50</v>
      </c>
      <c r="L211" s="503"/>
    </row>
    <row r="212" spans="1:12" ht="15.8" customHeight="1" x14ac:dyDescent="0.2">
      <c r="A212" s="458" t="s">
        <v>10</v>
      </c>
      <c r="B212" s="458" t="s">
        <v>2162</v>
      </c>
      <c r="C212" s="573"/>
      <c r="D212" s="459">
        <v>46244</v>
      </c>
      <c r="E212" s="458" t="s">
        <v>91</v>
      </c>
      <c r="F212" s="458" t="s">
        <v>5500</v>
      </c>
      <c r="G212" s="458" t="s">
        <v>5487</v>
      </c>
      <c r="H212" s="458" t="s">
        <v>5501</v>
      </c>
      <c r="I212" s="502"/>
      <c r="J212" s="458">
        <v>5</v>
      </c>
      <c r="K212" s="458" t="s">
        <v>50</v>
      </c>
      <c r="L212" s="502"/>
    </row>
    <row r="213" spans="1:12" ht="15.8" customHeight="1" x14ac:dyDescent="0.2">
      <c r="A213" s="456" t="s">
        <v>10</v>
      </c>
      <c r="B213" s="456" t="s">
        <v>2162</v>
      </c>
      <c r="C213" s="573"/>
      <c r="D213" s="457">
        <v>46244</v>
      </c>
      <c r="E213" s="456" t="s">
        <v>91</v>
      </c>
      <c r="F213" s="456" t="s">
        <v>5502</v>
      </c>
      <c r="G213" s="456" t="s">
        <v>5487</v>
      </c>
      <c r="H213" s="456" t="s">
        <v>5503</v>
      </c>
      <c r="I213" s="503"/>
      <c r="J213" s="456">
        <v>8</v>
      </c>
      <c r="K213" s="456" t="s">
        <v>34</v>
      </c>
      <c r="L213" s="503"/>
    </row>
    <row r="214" spans="1:12" ht="15.8" customHeight="1" x14ac:dyDescent="0.2">
      <c r="A214" s="458" t="s">
        <v>10</v>
      </c>
      <c r="B214" s="458" t="s">
        <v>2162</v>
      </c>
      <c r="C214" s="573"/>
      <c r="D214" s="459">
        <v>46244</v>
      </c>
      <c r="E214" s="458" t="s">
        <v>91</v>
      </c>
      <c r="F214" s="458" t="s">
        <v>5504</v>
      </c>
      <c r="G214" s="458" t="s">
        <v>5487</v>
      </c>
      <c r="H214" s="458" t="s">
        <v>5488</v>
      </c>
      <c r="I214" s="502"/>
      <c r="J214" s="458">
        <v>8</v>
      </c>
      <c r="K214" s="458" t="s">
        <v>34</v>
      </c>
      <c r="L214" s="502"/>
    </row>
    <row r="215" spans="1:12" ht="15.8" customHeight="1" x14ac:dyDescent="0.2">
      <c r="A215" s="456" t="s">
        <v>10</v>
      </c>
      <c r="B215" s="456" t="s">
        <v>2162</v>
      </c>
      <c r="C215" s="573"/>
      <c r="D215" s="457">
        <v>46244</v>
      </c>
      <c r="E215" s="456" t="s">
        <v>91</v>
      </c>
      <c r="F215" s="456" t="s">
        <v>5505</v>
      </c>
      <c r="G215" s="456" t="s">
        <v>5487</v>
      </c>
      <c r="H215" s="456" t="s">
        <v>5506</v>
      </c>
      <c r="I215" s="503"/>
      <c r="J215" s="456">
        <v>8</v>
      </c>
      <c r="K215" s="456" t="s">
        <v>34</v>
      </c>
      <c r="L215" s="503"/>
    </row>
    <row r="216" spans="1:12" ht="15.8" customHeight="1" x14ac:dyDescent="0.2">
      <c r="A216" s="458" t="s">
        <v>10</v>
      </c>
      <c r="B216" s="458" t="s">
        <v>2162</v>
      </c>
      <c r="C216" s="573"/>
      <c r="D216" s="459">
        <v>46244</v>
      </c>
      <c r="E216" s="458" t="s">
        <v>91</v>
      </c>
      <c r="F216" s="458" t="s">
        <v>5507</v>
      </c>
      <c r="G216" s="458" t="s">
        <v>5487</v>
      </c>
      <c r="H216" s="458" t="s">
        <v>5506</v>
      </c>
      <c r="I216" s="502"/>
      <c r="J216" s="458">
        <v>8</v>
      </c>
      <c r="K216" s="458" t="s">
        <v>34</v>
      </c>
      <c r="L216" s="502"/>
    </row>
    <row r="217" spans="1:12" ht="15.8" customHeight="1" x14ac:dyDescent="0.2">
      <c r="A217" s="456" t="s">
        <v>10</v>
      </c>
      <c r="B217" s="456" t="s">
        <v>2162</v>
      </c>
      <c r="C217" s="573"/>
      <c r="D217" s="457">
        <v>46244</v>
      </c>
      <c r="E217" s="456" t="s">
        <v>91</v>
      </c>
      <c r="F217" s="456" t="s">
        <v>5508</v>
      </c>
      <c r="G217" s="456" t="s">
        <v>5487</v>
      </c>
      <c r="H217" s="456" t="s">
        <v>5509</v>
      </c>
      <c r="I217" s="503"/>
      <c r="J217" s="456">
        <v>8</v>
      </c>
      <c r="K217" s="456" t="s">
        <v>34</v>
      </c>
      <c r="L217" s="503"/>
    </row>
    <row r="218" spans="1:12" ht="15.8" customHeight="1" x14ac:dyDescent="0.2">
      <c r="A218" s="458" t="s">
        <v>10</v>
      </c>
      <c r="B218" s="458" t="s">
        <v>2162</v>
      </c>
      <c r="C218" s="573"/>
      <c r="D218" s="459">
        <v>46244</v>
      </c>
      <c r="E218" s="458" t="s">
        <v>91</v>
      </c>
      <c r="F218" s="458" t="s">
        <v>5510</v>
      </c>
      <c r="G218" s="458" t="s">
        <v>5487</v>
      </c>
      <c r="H218" s="458" t="s">
        <v>5511</v>
      </c>
      <c r="I218" s="502"/>
      <c r="J218" s="458">
        <v>8</v>
      </c>
      <c r="K218" s="458" t="s">
        <v>34</v>
      </c>
      <c r="L218" s="502"/>
    </row>
    <row r="219" spans="1:12" ht="15.8" customHeight="1" x14ac:dyDescent="0.2">
      <c r="A219" s="456" t="s">
        <v>10</v>
      </c>
      <c r="B219" s="456" t="s">
        <v>2162</v>
      </c>
      <c r="C219" s="573"/>
      <c r="D219" s="457">
        <v>46244</v>
      </c>
      <c r="E219" s="456" t="s">
        <v>91</v>
      </c>
      <c r="F219" s="456" t="s">
        <v>5512</v>
      </c>
      <c r="G219" s="456" t="s">
        <v>5487</v>
      </c>
      <c r="H219" s="456" t="s">
        <v>5511</v>
      </c>
      <c r="I219" s="503"/>
      <c r="J219" s="456">
        <v>8</v>
      </c>
      <c r="K219" s="456" t="s">
        <v>34</v>
      </c>
      <c r="L219" s="503"/>
    </row>
    <row r="220" spans="1:12" ht="15.8" customHeight="1" x14ac:dyDescent="0.2">
      <c r="A220" s="458" t="s">
        <v>10</v>
      </c>
      <c r="B220" s="458" t="s">
        <v>2162</v>
      </c>
      <c r="C220" s="573"/>
      <c r="D220" s="459">
        <v>46244</v>
      </c>
      <c r="E220" s="458" t="s">
        <v>91</v>
      </c>
      <c r="F220" s="458" t="s">
        <v>5513</v>
      </c>
      <c r="G220" s="458" t="s">
        <v>5487</v>
      </c>
      <c r="H220" s="458" t="s">
        <v>5511</v>
      </c>
      <c r="I220" s="502"/>
      <c r="J220" s="458">
        <v>8</v>
      </c>
      <c r="K220" s="458" t="s">
        <v>34</v>
      </c>
      <c r="L220" s="502"/>
    </row>
    <row r="221" spans="1:12" ht="15.8" customHeight="1" x14ac:dyDescent="0.2">
      <c r="A221" s="456" t="s">
        <v>10</v>
      </c>
      <c r="B221" s="456" t="s">
        <v>2162</v>
      </c>
      <c r="C221" s="573"/>
      <c r="D221" s="457">
        <v>46244</v>
      </c>
      <c r="E221" s="456" t="s">
        <v>91</v>
      </c>
      <c r="F221" s="456" t="s">
        <v>5514</v>
      </c>
      <c r="G221" s="456" t="s">
        <v>355</v>
      </c>
      <c r="H221" s="456" t="s">
        <v>5515</v>
      </c>
      <c r="I221" s="503"/>
      <c r="J221" s="456">
        <v>8</v>
      </c>
      <c r="K221" s="456" t="s">
        <v>34</v>
      </c>
      <c r="L221" s="503"/>
    </row>
    <row r="222" spans="1:12" ht="15.8" customHeight="1" x14ac:dyDescent="0.2">
      <c r="A222" s="458" t="s">
        <v>10</v>
      </c>
      <c r="B222" s="458" t="s">
        <v>2162</v>
      </c>
      <c r="C222" s="573"/>
      <c r="D222" s="459">
        <v>46244</v>
      </c>
      <c r="E222" s="458" t="s">
        <v>91</v>
      </c>
      <c r="F222" s="458" t="s">
        <v>5516</v>
      </c>
      <c r="G222" s="458" t="s">
        <v>355</v>
      </c>
      <c r="H222" s="458" t="s">
        <v>5517</v>
      </c>
      <c r="I222" s="502"/>
      <c r="J222" s="458">
        <v>8</v>
      </c>
      <c r="K222" s="458" t="s">
        <v>34</v>
      </c>
      <c r="L222" s="502"/>
    </row>
    <row r="223" spans="1:12" ht="15.8" customHeight="1" x14ac:dyDescent="0.2">
      <c r="A223" s="456" t="s">
        <v>10</v>
      </c>
      <c r="B223" s="456" t="s">
        <v>2162</v>
      </c>
      <c r="C223" s="573"/>
      <c r="D223" s="457">
        <v>46244</v>
      </c>
      <c r="E223" s="456" t="s">
        <v>91</v>
      </c>
      <c r="F223" s="456" t="s">
        <v>5518</v>
      </c>
      <c r="G223" s="456" t="s">
        <v>355</v>
      </c>
      <c r="H223" s="456" t="s">
        <v>5519</v>
      </c>
      <c r="I223" s="503"/>
      <c r="J223" s="456">
        <v>8</v>
      </c>
      <c r="K223" s="456" t="s">
        <v>34</v>
      </c>
      <c r="L223" s="503"/>
    </row>
    <row r="224" spans="1:12" ht="15.8" customHeight="1" x14ac:dyDescent="0.2">
      <c r="A224" s="458" t="s">
        <v>10</v>
      </c>
      <c r="B224" s="458" t="s">
        <v>2162</v>
      </c>
      <c r="C224" s="573"/>
      <c r="D224" s="459">
        <v>46244</v>
      </c>
      <c r="E224" s="458" t="s">
        <v>91</v>
      </c>
      <c r="F224" s="458" t="s">
        <v>5520</v>
      </c>
      <c r="G224" s="458" t="s">
        <v>355</v>
      </c>
      <c r="H224" s="458" t="s">
        <v>5521</v>
      </c>
      <c r="I224" s="502"/>
      <c r="J224" s="458">
        <v>8</v>
      </c>
      <c r="K224" s="458" t="s">
        <v>34</v>
      </c>
      <c r="L224" s="502"/>
    </row>
    <row r="225" spans="1:12" ht="15.8" customHeight="1" x14ac:dyDescent="0.2">
      <c r="A225" s="456" t="s">
        <v>10</v>
      </c>
      <c r="B225" s="456" t="s">
        <v>2162</v>
      </c>
      <c r="C225" s="573"/>
      <c r="D225" s="457">
        <v>46244</v>
      </c>
      <c r="E225" s="456" t="s">
        <v>91</v>
      </c>
      <c r="F225" s="456" t="s">
        <v>5522</v>
      </c>
      <c r="G225" s="456" t="s">
        <v>85</v>
      </c>
      <c r="H225" s="456" t="s">
        <v>5523</v>
      </c>
      <c r="I225" s="503"/>
      <c r="J225" s="456">
        <v>8</v>
      </c>
      <c r="K225" s="456" t="s">
        <v>34</v>
      </c>
      <c r="L225" s="503"/>
    </row>
    <row r="226" spans="1:12" ht="15.8" customHeight="1" x14ac:dyDescent="0.2">
      <c r="A226" s="458" t="s">
        <v>10</v>
      </c>
      <c r="B226" s="458" t="s">
        <v>2162</v>
      </c>
      <c r="C226" s="573"/>
      <c r="D226" s="459">
        <v>46244</v>
      </c>
      <c r="E226" s="458" t="s">
        <v>91</v>
      </c>
      <c r="F226" s="458" t="s">
        <v>5524</v>
      </c>
      <c r="G226" s="458" t="s">
        <v>85</v>
      </c>
      <c r="H226" s="458" t="s">
        <v>5525</v>
      </c>
      <c r="I226" s="502"/>
      <c r="J226" s="458">
        <v>8</v>
      </c>
      <c r="K226" s="458" t="s">
        <v>34</v>
      </c>
      <c r="L226" s="502"/>
    </row>
    <row r="227" spans="1:12" ht="15.8" customHeight="1" x14ac:dyDescent="0.2">
      <c r="A227" s="456" t="s">
        <v>10</v>
      </c>
      <c r="B227" s="456" t="s">
        <v>2162</v>
      </c>
      <c r="C227" s="573"/>
      <c r="D227" s="457">
        <v>46244</v>
      </c>
      <c r="E227" s="456" t="s">
        <v>91</v>
      </c>
      <c r="F227" s="456" t="s">
        <v>5526</v>
      </c>
      <c r="G227" s="456" t="s">
        <v>85</v>
      </c>
      <c r="H227" s="456" t="s">
        <v>5527</v>
      </c>
      <c r="I227" s="503"/>
      <c r="J227" s="456">
        <v>8</v>
      </c>
      <c r="K227" s="456" t="s">
        <v>34</v>
      </c>
      <c r="L227" s="503"/>
    </row>
    <row r="228" spans="1:12" ht="15.8" customHeight="1" x14ac:dyDescent="0.2">
      <c r="A228" s="458" t="s">
        <v>10</v>
      </c>
      <c r="B228" s="458" t="s">
        <v>2162</v>
      </c>
      <c r="C228" s="573"/>
      <c r="D228" s="459">
        <v>46244</v>
      </c>
      <c r="E228" s="458" t="s">
        <v>91</v>
      </c>
      <c r="F228" s="458" t="s">
        <v>5528</v>
      </c>
      <c r="G228" s="458" t="s">
        <v>85</v>
      </c>
      <c r="H228" s="458" t="s">
        <v>5529</v>
      </c>
      <c r="I228" s="502"/>
      <c r="J228" s="458">
        <v>5</v>
      </c>
      <c r="K228" s="458" t="s">
        <v>50</v>
      </c>
      <c r="L228" s="502"/>
    </row>
    <row r="229" spans="1:12" ht="15.8" customHeight="1" x14ac:dyDescent="0.2">
      <c r="A229" s="456" t="s">
        <v>10</v>
      </c>
      <c r="B229" s="456" t="s">
        <v>2162</v>
      </c>
      <c r="C229" s="573"/>
      <c r="D229" s="457">
        <v>46244</v>
      </c>
      <c r="E229" s="456" t="s">
        <v>91</v>
      </c>
      <c r="F229" s="456" t="s">
        <v>5530</v>
      </c>
      <c r="G229" s="456" t="s">
        <v>85</v>
      </c>
      <c r="H229" s="456" t="s">
        <v>5531</v>
      </c>
      <c r="I229" s="503"/>
      <c r="J229" s="456">
        <v>5</v>
      </c>
      <c r="K229" s="456" t="s">
        <v>50</v>
      </c>
      <c r="L229" s="503"/>
    </row>
    <row r="230" spans="1:12" ht="15.8" customHeight="1" x14ac:dyDescent="0.2">
      <c r="A230" s="458" t="s">
        <v>10</v>
      </c>
      <c r="B230" s="458" t="s">
        <v>2162</v>
      </c>
      <c r="C230" s="573"/>
      <c r="D230" s="459">
        <v>46244</v>
      </c>
      <c r="E230" s="458" t="s">
        <v>91</v>
      </c>
      <c r="F230" s="458" t="s">
        <v>5532</v>
      </c>
      <c r="G230" s="458" t="s">
        <v>85</v>
      </c>
      <c r="H230" s="458" t="s">
        <v>5533</v>
      </c>
      <c r="I230" s="502"/>
      <c r="J230" s="458">
        <v>5</v>
      </c>
      <c r="K230" s="458" t="s">
        <v>50</v>
      </c>
      <c r="L230" s="502"/>
    </row>
    <row r="231" spans="1:12" ht="15.8" customHeight="1" x14ac:dyDescent="0.2">
      <c r="A231" s="456" t="s">
        <v>10</v>
      </c>
      <c r="B231" s="456" t="s">
        <v>2162</v>
      </c>
      <c r="C231" s="573"/>
      <c r="D231" s="457">
        <v>46244</v>
      </c>
      <c r="E231" s="456" t="s">
        <v>91</v>
      </c>
      <c r="F231" s="456" t="s">
        <v>5534</v>
      </c>
      <c r="G231" s="456" t="s">
        <v>85</v>
      </c>
      <c r="H231" s="456" t="s">
        <v>5535</v>
      </c>
      <c r="I231" s="503"/>
      <c r="J231" s="456">
        <v>5</v>
      </c>
      <c r="K231" s="456" t="s">
        <v>50</v>
      </c>
      <c r="L231" s="503"/>
    </row>
    <row r="232" spans="1:12" ht="15.8" customHeight="1" x14ac:dyDescent="0.2">
      <c r="A232" s="458" t="s">
        <v>10</v>
      </c>
      <c r="B232" s="458" t="s">
        <v>2162</v>
      </c>
      <c r="C232" s="573"/>
      <c r="D232" s="459">
        <v>46244</v>
      </c>
      <c r="E232" s="458" t="s">
        <v>91</v>
      </c>
      <c r="F232" s="458" t="s">
        <v>5536</v>
      </c>
      <c r="G232" s="458" t="s">
        <v>85</v>
      </c>
      <c r="H232" s="458" t="s">
        <v>5537</v>
      </c>
      <c r="I232" s="502"/>
      <c r="J232" s="458">
        <v>5</v>
      </c>
      <c r="K232" s="458" t="s">
        <v>50</v>
      </c>
      <c r="L232" s="502"/>
    </row>
    <row r="233" spans="1:12" ht="15.8" customHeight="1" x14ac:dyDescent="0.2">
      <c r="A233" s="456" t="s">
        <v>10</v>
      </c>
      <c r="B233" s="456" t="s">
        <v>2162</v>
      </c>
      <c r="C233" s="573"/>
      <c r="D233" s="457">
        <v>46244</v>
      </c>
      <c r="E233" s="456" t="s">
        <v>91</v>
      </c>
      <c r="F233" s="456" t="s">
        <v>5538</v>
      </c>
      <c r="G233" s="456" t="s">
        <v>5487</v>
      </c>
      <c r="H233" s="456" t="s">
        <v>5539</v>
      </c>
      <c r="I233" s="503"/>
      <c r="J233" s="456">
        <v>5</v>
      </c>
      <c r="K233" s="456" t="s">
        <v>50</v>
      </c>
      <c r="L233" s="503"/>
    </row>
    <row r="234" spans="1:12" ht="15.8" customHeight="1" x14ac:dyDescent="0.2">
      <c r="A234" s="458" t="s">
        <v>10</v>
      </c>
      <c r="B234" s="458" t="s">
        <v>2162</v>
      </c>
      <c r="C234" s="573"/>
      <c r="D234" s="459">
        <v>46244</v>
      </c>
      <c r="E234" s="458" t="s">
        <v>91</v>
      </c>
      <c r="F234" s="458" t="s">
        <v>5540</v>
      </c>
      <c r="G234" s="458" t="s">
        <v>5487</v>
      </c>
      <c r="H234" s="458" t="s">
        <v>5541</v>
      </c>
      <c r="I234" s="502"/>
      <c r="J234" s="458">
        <v>8</v>
      </c>
      <c r="K234" s="458" t="s">
        <v>34</v>
      </c>
      <c r="L234" s="502"/>
    </row>
    <row r="235" spans="1:12" ht="15.8" customHeight="1" x14ac:dyDescent="0.2">
      <c r="A235" s="456" t="s">
        <v>10</v>
      </c>
      <c r="B235" s="456" t="s">
        <v>2162</v>
      </c>
      <c r="C235" s="573"/>
      <c r="D235" s="457">
        <v>46244</v>
      </c>
      <c r="E235" s="456" t="s">
        <v>91</v>
      </c>
      <c r="F235" s="456" t="s">
        <v>5542</v>
      </c>
      <c r="G235" s="456" t="s">
        <v>5487</v>
      </c>
      <c r="H235" s="456" t="s">
        <v>5488</v>
      </c>
      <c r="I235" s="503"/>
      <c r="J235" s="456">
        <v>8</v>
      </c>
      <c r="K235" s="456" t="s">
        <v>34</v>
      </c>
      <c r="L235" s="503"/>
    </row>
    <row r="236" spans="1:12" ht="15.8" customHeight="1" x14ac:dyDescent="0.2">
      <c r="A236" s="458" t="s">
        <v>10</v>
      </c>
      <c r="B236" s="458" t="s">
        <v>2162</v>
      </c>
      <c r="C236" s="573"/>
      <c r="D236" s="459">
        <v>46244</v>
      </c>
      <c r="E236" s="458" t="s">
        <v>91</v>
      </c>
      <c r="F236" s="458" t="s">
        <v>5543</v>
      </c>
      <c r="G236" s="458" t="s">
        <v>5487</v>
      </c>
      <c r="H236" s="458" t="s">
        <v>5544</v>
      </c>
      <c r="I236" s="502"/>
      <c r="J236" s="458">
        <v>8</v>
      </c>
      <c r="K236" s="458" t="s">
        <v>34</v>
      </c>
      <c r="L236" s="502"/>
    </row>
    <row r="237" spans="1:12" ht="15.8" customHeight="1" x14ac:dyDescent="0.2">
      <c r="A237" s="456" t="s">
        <v>10</v>
      </c>
      <c r="B237" s="456" t="s">
        <v>2162</v>
      </c>
      <c r="C237" s="573"/>
      <c r="D237" s="457">
        <v>46244</v>
      </c>
      <c r="E237" s="456" t="s">
        <v>91</v>
      </c>
      <c r="F237" s="456" t="s">
        <v>5545</v>
      </c>
      <c r="G237" s="456" t="s">
        <v>5487</v>
      </c>
      <c r="H237" s="456" t="s">
        <v>5546</v>
      </c>
      <c r="I237" s="503"/>
      <c r="J237" s="456">
        <v>8</v>
      </c>
      <c r="K237" s="456" t="s">
        <v>34</v>
      </c>
      <c r="L237" s="503"/>
    </row>
    <row r="238" spans="1:12" ht="15.8" customHeight="1" x14ac:dyDescent="0.2">
      <c r="A238" s="458" t="s">
        <v>10</v>
      </c>
      <c r="B238" s="458" t="s">
        <v>2162</v>
      </c>
      <c r="C238" s="573"/>
      <c r="D238" s="459">
        <v>46244</v>
      </c>
      <c r="E238" s="458" t="s">
        <v>91</v>
      </c>
      <c r="F238" s="458" t="s">
        <v>5547</v>
      </c>
      <c r="G238" s="458" t="s">
        <v>5487</v>
      </c>
      <c r="H238" s="458" t="s">
        <v>5548</v>
      </c>
      <c r="I238" s="502"/>
      <c r="J238" s="458">
        <v>8</v>
      </c>
      <c r="K238" s="458" t="s">
        <v>34</v>
      </c>
      <c r="L238" s="502"/>
    </row>
    <row r="239" spans="1:12" ht="15.8" customHeight="1" x14ac:dyDescent="0.2">
      <c r="A239" s="456" t="s">
        <v>10</v>
      </c>
      <c r="B239" s="456" t="s">
        <v>2162</v>
      </c>
      <c r="C239" s="573"/>
      <c r="D239" s="457">
        <v>46244</v>
      </c>
      <c r="E239" s="456" t="s">
        <v>91</v>
      </c>
      <c r="F239" s="456" t="s">
        <v>5549</v>
      </c>
      <c r="G239" s="456" t="s">
        <v>5487</v>
      </c>
      <c r="H239" s="456" t="s">
        <v>5550</v>
      </c>
      <c r="I239" s="503"/>
      <c r="J239" s="456">
        <v>8</v>
      </c>
      <c r="K239" s="456" t="s">
        <v>34</v>
      </c>
      <c r="L239" s="503"/>
    </row>
    <row r="240" spans="1:12" ht="15.8" customHeight="1" x14ac:dyDescent="0.2">
      <c r="A240" s="458" t="s">
        <v>10</v>
      </c>
      <c r="B240" s="458" t="s">
        <v>2162</v>
      </c>
      <c r="C240" s="573"/>
      <c r="D240" s="459">
        <v>46244</v>
      </c>
      <c r="E240" s="458" t="s">
        <v>91</v>
      </c>
      <c r="F240" s="458" t="s">
        <v>5551</v>
      </c>
      <c r="G240" s="458" t="s">
        <v>5487</v>
      </c>
      <c r="H240" s="458" t="s">
        <v>5552</v>
      </c>
      <c r="I240" s="502"/>
      <c r="J240" s="458">
        <v>8</v>
      </c>
      <c r="K240" s="458" t="s">
        <v>34</v>
      </c>
      <c r="L240" s="502"/>
    </row>
    <row r="241" spans="1:12" ht="15.8" customHeight="1" x14ac:dyDescent="0.2">
      <c r="A241" s="456" t="s">
        <v>10</v>
      </c>
      <c r="B241" s="456" t="s">
        <v>2162</v>
      </c>
      <c r="C241" s="573"/>
      <c r="D241" s="457">
        <v>46244</v>
      </c>
      <c r="E241" s="456" t="s">
        <v>91</v>
      </c>
      <c r="F241" s="456" t="s">
        <v>5553</v>
      </c>
      <c r="G241" s="456" t="s">
        <v>5487</v>
      </c>
      <c r="H241" s="456" t="s">
        <v>5554</v>
      </c>
      <c r="I241" s="503"/>
      <c r="J241" s="456">
        <v>8</v>
      </c>
      <c r="K241" s="456" t="s">
        <v>34</v>
      </c>
      <c r="L241" s="503"/>
    </row>
    <row r="242" spans="1:12" ht="15.8" customHeight="1" x14ac:dyDescent="0.2">
      <c r="A242" s="458" t="s">
        <v>10</v>
      </c>
      <c r="B242" s="458" t="s">
        <v>2162</v>
      </c>
      <c r="C242" s="573"/>
      <c r="D242" s="459">
        <v>46244</v>
      </c>
      <c r="E242" s="458" t="s">
        <v>91</v>
      </c>
      <c r="F242" s="458" t="s">
        <v>5555</v>
      </c>
      <c r="G242" s="458" t="s">
        <v>5487</v>
      </c>
      <c r="H242" s="458" t="s">
        <v>5556</v>
      </c>
      <c r="I242" s="502"/>
      <c r="J242" s="458">
        <v>8</v>
      </c>
      <c r="K242" s="458" t="s">
        <v>34</v>
      </c>
      <c r="L242" s="502"/>
    </row>
    <row r="243" spans="1:12" ht="15.8" customHeight="1" x14ac:dyDescent="0.2">
      <c r="A243" s="456" t="s">
        <v>10</v>
      </c>
      <c r="B243" s="456" t="s">
        <v>2162</v>
      </c>
      <c r="C243" s="573"/>
      <c r="D243" s="457">
        <v>46244</v>
      </c>
      <c r="E243" s="456" t="s">
        <v>57</v>
      </c>
      <c r="F243" s="456" t="s">
        <v>5557</v>
      </c>
      <c r="G243" s="456" t="s">
        <v>5487</v>
      </c>
      <c r="H243" s="456" t="s">
        <v>5558</v>
      </c>
      <c r="I243" s="503"/>
      <c r="J243" s="456">
        <v>8</v>
      </c>
      <c r="K243" s="456" t="s">
        <v>34</v>
      </c>
      <c r="L243" s="503"/>
    </row>
    <row r="244" spans="1:12" ht="15.8" customHeight="1" x14ac:dyDescent="0.2">
      <c r="A244" s="458" t="s">
        <v>10</v>
      </c>
      <c r="B244" s="458" t="s">
        <v>2162</v>
      </c>
      <c r="C244" s="573"/>
      <c r="D244" s="459">
        <v>46244</v>
      </c>
      <c r="E244" s="458" t="s">
        <v>57</v>
      </c>
      <c r="F244" s="458" t="s">
        <v>5559</v>
      </c>
      <c r="G244" s="458" t="s">
        <v>5487</v>
      </c>
      <c r="H244" s="458" t="s">
        <v>5560</v>
      </c>
      <c r="I244" s="502"/>
      <c r="J244" s="458">
        <v>8</v>
      </c>
      <c r="K244" s="458" t="s">
        <v>34</v>
      </c>
      <c r="L244" s="502"/>
    </row>
    <row r="245" spans="1:12" ht="15.8" customHeight="1" x14ac:dyDescent="0.2">
      <c r="A245" s="456" t="s">
        <v>10</v>
      </c>
      <c r="B245" s="456" t="s">
        <v>2162</v>
      </c>
      <c r="C245" s="573"/>
      <c r="D245" s="457">
        <v>46244</v>
      </c>
      <c r="E245" s="456" t="s">
        <v>91</v>
      </c>
      <c r="F245" s="456" t="s">
        <v>4094</v>
      </c>
      <c r="G245" s="456" t="s">
        <v>5561</v>
      </c>
      <c r="H245" s="456" t="s">
        <v>5562</v>
      </c>
      <c r="I245" s="503"/>
      <c r="J245" s="456">
        <v>4</v>
      </c>
      <c r="K245" s="456" t="s">
        <v>78</v>
      </c>
      <c r="L245" s="503"/>
    </row>
    <row r="246" spans="1:12" ht="15.8" customHeight="1" x14ac:dyDescent="0.2">
      <c r="A246" s="458" t="s">
        <v>10</v>
      </c>
      <c r="B246" s="458" t="s">
        <v>2162</v>
      </c>
      <c r="C246" s="573"/>
      <c r="D246" s="459">
        <v>46244</v>
      </c>
      <c r="E246" s="458" t="s">
        <v>91</v>
      </c>
      <c r="F246" s="458" t="s">
        <v>5563</v>
      </c>
      <c r="G246" s="458" t="s">
        <v>5487</v>
      </c>
      <c r="H246" s="458" t="s">
        <v>5564</v>
      </c>
      <c r="I246" s="502"/>
      <c r="J246" s="458">
        <v>4</v>
      </c>
      <c r="K246" s="458" t="s">
        <v>78</v>
      </c>
      <c r="L246" s="502"/>
    </row>
    <row r="247" spans="1:12" ht="15.8" customHeight="1" x14ac:dyDescent="0.2">
      <c r="A247" s="456" t="s">
        <v>10</v>
      </c>
      <c r="B247" s="456" t="s">
        <v>2162</v>
      </c>
      <c r="C247" s="573"/>
      <c r="D247" s="457">
        <v>46244</v>
      </c>
      <c r="E247" s="456" t="s">
        <v>57</v>
      </c>
      <c r="F247" s="456" t="s">
        <v>5565</v>
      </c>
      <c r="G247" s="456" t="s">
        <v>5487</v>
      </c>
      <c r="H247" s="456" t="s">
        <v>5566</v>
      </c>
      <c r="I247" s="503"/>
      <c r="J247" s="456">
        <v>4</v>
      </c>
      <c r="K247" s="456" t="s">
        <v>78</v>
      </c>
      <c r="L247" s="503"/>
    </row>
    <row r="248" spans="1:12" ht="15.8" customHeight="1" x14ac:dyDescent="0.2">
      <c r="A248" s="458" t="s">
        <v>10</v>
      </c>
      <c r="B248" s="458" t="s">
        <v>2162</v>
      </c>
      <c r="C248" s="573"/>
      <c r="D248" s="459">
        <v>46244</v>
      </c>
      <c r="E248" s="458" t="s">
        <v>91</v>
      </c>
      <c r="F248" s="458" t="s">
        <v>5567</v>
      </c>
      <c r="G248" s="458" t="s">
        <v>5487</v>
      </c>
      <c r="H248" s="458" t="s">
        <v>5568</v>
      </c>
      <c r="I248" s="502"/>
      <c r="J248" s="458">
        <v>4</v>
      </c>
      <c r="K248" s="458" t="s">
        <v>78</v>
      </c>
      <c r="L248" s="502"/>
    </row>
    <row r="249" spans="1:12" ht="15.8" customHeight="1" x14ac:dyDescent="0.2">
      <c r="A249" s="456" t="s">
        <v>10</v>
      </c>
      <c r="B249" s="456" t="s">
        <v>2162</v>
      </c>
      <c r="C249" s="573"/>
      <c r="D249" s="457">
        <v>46244</v>
      </c>
      <c r="E249" s="456" t="s">
        <v>91</v>
      </c>
      <c r="F249" s="456" t="s">
        <v>5569</v>
      </c>
      <c r="G249" s="456" t="s">
        <v>5487</v>
      </c>
      <c r="H249" s="456" t="s">
        <v>5570</v>
      </c>
      <c r="I249" s="503"/>
      <c r="J249" s="456">
        <v>5</v>
      </c>
      <c r="K249" s="456" t="s">
        <v>50</v>
      </c>
      <c r="L249" s="503"/>
    </row>
    <row r="250" spans="1:12" ht="15.8" customHeight="1" x14ac:dyDescent="0.2">
      <c r="A250" s="458" t="s">
        <v>10</v>
      </c>
      <c r="B250" s="458" t="s">
        <v>2162</v>
      </c>
      <c r="C250" s="573"/>
      <c r="D250" s="459">
        <v>46244</v>
      </c>
      <c r="E250" s="458" t="s">
        <v>91</v>
      </c>
      <c r="F250" s="458" t="s">
        <v>5571</v>
      </c>
      <c r="G250" s="458" t="s">
        <v>5487</v>
      </c>
      <c r="H250" s="458" t="s">
        <v>5572</v>
      </c>
      <c r="I250" s="502"/>
      <c r="J250" s="458">
        <v>5</v>
      </c>
      <c r="K250" s="458" t="s">
        <v>50</v>
      </c>
      <c r="L250" s="502"/>
    </row>
    <row r="251" spans="1:12" ht="15.8" customHeight="1" x14ac:dyDescent="0.2">
      <c r="A251" s="456" t="s">
        <v>10</v>
      </c>
      <c r="B251" s="456" t="s">
        <v>2162</v>
      </c>
      <c r="C251" s="573"/>
      <c r="D251" s="457">
        <v>46244</v>
      </c>
      <c r="E251" s="456" t="s">
        <v>91</v>
      </c>
      <c r="F251" s="456" t="s">
        <v>5573</v>
      </c>
      <c r="G251" s="456" t="s">
        <v>5487</v>
      </c>
      <c r="H251" s="456" t="s">
        <v>5497</v>
      </c>
      <c r="I251" s="503"/>
      <c r="J251" s="456">
        <v>5</v>
      </c>
      <c r="K251" s="456" t="s">
        <v>50</v>
      </c>
      <c r="L251" s="503"/>
    </row>
    <row r="252" spans="1:12" ht="15.8" customHeight="1" x14ac:dyDescent="0.2">
      <c r="A252" s="458" t="s">
        <v>10</v>
      </c>
      <c r="B252" s="458" t="s">
        <v>2162</v>
      </c>
      <c r="C252" s="573"/>
      <c r="D252" s="459">
        <v>46244</v>
      </c>
      <c r="E252" s="458" t="s">
        <v>91</v>
      </c>
      <c r="F252" s="458" t="s">
        <v>5574</v>
      </c>
      <c r="G252" s="458" t="s">
        <v>5487</v>
      </c>
      <c r="H252" s="458" t="s">
        <v>5575</v>
      </c>
      <c r="I252" s="502"/>
      <c r="J252" s="458">
        <v>5</v>
      </c>
      <c r="K252" s="458" t="s">
        <v>50</v>
      </c>
      <c r="L252" s="502"/>
    </row>
    <row r="253" spans="1:12" ht="15.8" customHeight="1" x14ac:dyDescent="0.2">
      <c r="A253" s="456" t="s">
        <v>10</v>
      </c>
      <c r="B253" s="456" t="s">
        <v>2162</v>
      </c>
      <c r="C253" s="573"/>
      <c r="D253" s="457">
        <v>46244</v>
      </c>
      <c r="E253" s="456" t="s">
        <v>57</v>
      </c>
      <c r="F253" s="456" t="s">
        <v>5576</v>
      </c>
      <c r="G253" s="456" t="s">
        <v>5487</v>
      </c>
      <c r="H253" s="456" t="s">
        <v>5577</v>
      </c>
      <c r="I253" s="503"/>
      <c r="J253" s="456">
        <v>5</v>
      </c>
      <c r="K253" s="456" t="s">
        <v>50</v>
      </c>
      <c r="L253" s="503"/>
    </row>
    <row r="254" spans="1:12" ht="15.8" customHeight="1" x14ac:dyDescent="0.2">
      <c r="A254" s="458" t="s">
        <v>10</v>
      </c>
      <c r="B254" s="458" t="s">
        <v>2162</v>
      </c>
      <c r="C254" s="573"/>
      <c r="D254" s="459">
        <v>46244</v>
      </c>
      <c r="E254" s="458" t="s">
        <v>91</v>
      </c>
      <c r="F254" s="458" t="s">
        <v>5578</v>
      </c>
      <c r="G254" s="458" t="s">
        <v>5579</v>
      </c>
      <c r="H254" s="458" t="s">
        <v>5488</v>
      </c>
      <c r="I254" s="502"/>
      <c r="J254" s="458">
        <v>5</v>
      </c>
      <c r="K254" s="458" t="s">
        <v>50</v>
      </c>
      <c r="L254" s="502"/>
    </row>
    <row r="255" spans="1:12" ht="15.8" customHeight="1" x14ac:dyDescent="0.2">
      <c r="A255" s="456" t="s">
        <v>10</v>
      </c>
      <c r="B255" s="456" t="s">
        <v>2162</v>
      </c>
      <c r="C255" s="573"/>
      <c r="D255" s="457">
        <v>46244</v>
      </c>
      <c r="E255" s="456" t="s">
        <v>91</v>
      </c>
      <c r="F255" s="456" t="s">
        <v>5580</v>
      </c>
      <c r="G255" s="456" t="s">
        <v>5487</v>
      </c>
      <c r="H255" s="456" t="s">
        <v>5581</v>
      </c>
      <c r="I255" s="503"/>
      <c r="J255" s="456">
        <v>5</v>
      </c>
      <c r="K255" s="456" t="s">
        <v>50</v>
      </c>
      <c r="L255" s="503"/>
    </row>
    <row r="256" spans="1:12" ht="15.8" customHeight="1" x14ac:dyDescent="0.2">
      <c r="A256" s="458" t="s">
        <v>10</v>
      </c>
      <c r="B256" s="458" t="s">
        <v>2162</v>
      </c>
      <c r="C256" s="573"/>
      <c r="D256" s="459">
        <v>46244</v>
      </c>
      <c r="E256" s="458" t="s">
        <v>91</v>
      </c>
      <c r="F256" s="458" t="s">
        <v>5582</v>
      </c>
      <c r="G256" s="458" t="s">
        <v>5579</v>
      </c>
      <c r="H256" s="458" t="s">
        <v>5583</v>
      </c>
      <c r="I256" s="502"/>
      <c r="J256" s="458">
        <v>5</v>
      </c>
      <c r="K256" s="458" t="s">
        <v>50</v>
      </c>
      <c r="L256" s="502"/>
    </row>
    <row r="257" spans="1:12" ht="15.8" customHeight="1" x14ac:dyDescent="0.2">
      <c r="A257" s="456" t="s">
        <v>10</v>
      </c>
      <c r="B257" s="456" t="s">
        <v>2162</v>
      </c>
      <c r="C257" s="573"/>
      <c r="D257" s="457">
        <v>46244</v>
      </c>
      <c r="E257" s="456" t="s">
        <v>91</v>
      </c>
      <c r="F257" s="456" t="s">
        <v>5584</v>
      </c>
      <c r="G257" s="456" t="s">
        <v>5579</v>
      </c>
      <c r="H257" s="456" t="s">
        <v>5585</v>
      </c>
      <c r="I257" s="503"/>
      <c r="J257" s="456">
        <v>5</v>
      </c>
      <c r="K257" s="456" t="s">
        <v>50</v>
      </c>
      <c r="L257" s="503"/>
    </row>
    <row r="258" spans="1:12" ht="15.8" customHeight="1" x14ac:dyDescent="0.2">
      <c r="A258" s="458" t="s">
        <v>10</v>
      </c>
      <c r="B258" s="458" t="s">
        <v>2162</v>
      </c>
      <c r="C258" s="573"/>
      <c r="D258" s="459">
        <v>46244</v>
      </c>
      <c r="E258" s="458" t="s">
        <v>91</v>
      </c>
      <c r="F258" s="458" t="s">
        <v>5586</v>
      </c>
      <c r="G258" s="458" t="s">
        <v>5487</v>
      </c>
      <c r="H258" s="458" t="s">
        <v>5587</v>
      </c>
      <c r="I258" s="502"/>
      <c r="J258" s="458">
        <v>5</v>
      </c>
      <c r="K258" s="458" t="s">
        <v>50</v>
      </c>
      <c r="L258" s="502"/>
    </row>
    <row r="259" spans="1:12" ht="15.8" customHeight="1" x14ac:dyDescent="0.2">
      <c r="A259" s="456" t="s">
        <v>10</v>
      </c>
      <c r="B259" s="456" t="s">
        <v>2162</v>
      </c>
      <c r="C259" s="573"/>
      <c r="D259" s="457">
        <v>46244</v>
      </c>
      <c r="E259" s="456" t="s">
        <v>91</v>
      </c>
      <c r="F259" s="456" t="s">
        <v>5588</v>
      </c>
      <c r="G259" s="456" t="s">
        <v>5487</v>
      </c>
      <c r="H259" s="456" t="s">
        <v>5589</v>
      </c>
      <c r="I259" s="503"/>
      <c r="J259" s="456">
        <v>5</v>
      </c>
      <c r="K259" s="456" t="s">
        <v>50</v>
      </c>
      <c r="L259" s="503"/>
    </row>
    <row r="260" spans="1:12" ht="15.8" customHeight="1" x14ac:dyDescent="0.2">
      <c r="A260" s="458" t="s">
        <v>10</v>
      </c>
      <c r="B260" s="458" t="s">
        <v>2162</v>
      </c>
      <c r="C260" s="573"/>
      <c r="D260" s="459">
        <v>46244</v>
      </c>
      <c r="E260" s="458" t="s">
        <v>91</v>
      </c>
      <c r="F260" s="458" t="s">
        <v>5590</v>
      </c>
      <c r="G260" s="458" t="s">
        <v>5487</v>
      </c>
      <c r="H260" s="458" t="s">
        <v>5488</v>
      </c>
      <c r="I260" s="502"/>
      <c r="J260" s="458">
        <v>5</v>
      </c>
      <c r="K260" s="458" t="s">
        <v>50</v>
      </c>
      <c r="L260" s="502"/>
    </row>
    <row r="261" spans="1:12" ht="15.8" customHeight="1" x14ac:dyDescent="0.2">
      <c r="A261" s="456" t="s">
        <v>10</v>
      </c>
      <c r="B261" s="456" t="s">
        <v>2162</v>
      </c>
      <c r="C261" s="573"/>
      <c r="D261" s="457">
        <v>46244</v>
      </c>
      <c r="E261" s="456" t="s">
        <v>91</v>
      </c>
      <c r="F261" s="456" t="s">
        <v>5591</v>
      </c>
      <c r="G261" s="456" t="s">
        <v>5487</v>
      </c>
      <c r="H261" s="456" t="s">
        <v>5589</v>
      </c>
      <c r="I261" s="503"/>
      <c r="J261" s="456">
        <v>5</v>
      </c>
      <c r="K261" s="456" t="s">
        <v>50</v>
      </c>
      <c r="L261" s="503"/>
    </row>
    <row r="262" spans="1:12" ht="15.8" customHeight="1" x14ac:dyDescent="0.2">
      <c r="A262" s="458" t="s">
        <v>10</v>
      </c>
      <c r="B262" s="458" t="s">
        <v>2162</v>
      </c>
      <c r="C262" s="573"/>
      <c r="D262" s="459">
        <v>46244</v>
      </c>
      <c r="E262" s="458" t="s">
        <v>91</v>
      </c>
      <c r="F262" s="458" t="s">
        <v>5592</v>
      </c>
      <c r="G262" s="458" t="s">
        <v>5487</v>
      </c>
      <c r="H262" s="458" t="s">
        <v>5492</v>
      </c>
      <c r="I262" s="502"/>
      <c r="J262" s="458">
        <v>5</v>
      </c>
      <c r="K262" s="458" t="s">
        <v>50</v>
      </c>
      <c r="L262" s="502"/>
    </row>
    <row r="263" spans="1:12" ht="15.8" customHeight="1" x14ac:dyDescent="0.2">
      <c r="A263" s="456" t="s">
        <v>10</v>
      </c>
      <c r="B263" s="456" t="s">
        <v>2162</v>
      </c>
      <c r="C263" s="573"/>
      <c r="D263" s="457">
        <v>46244</v>
      </c>
      <c r="E263" s="456" t="s">
        <v>57</v>
      </c>
      <c r="F263" s="456" t="s">
        <v>5593</v>
      </c>
      <c r="G263" s="456" t="s">
        <v>5487</v>
      </c>
      <c r="H263" s="456" t="s">
        <v>5594</v>
      </c>
      <c r="I263" s="503"/>
      <c r="J263" s="456">
        <v>8</v>
      </c>
      <c r="K263" s="456" t="s">
        <v>34</v>
      </c>
      <c r="L263" s="503"/>
    </row>
    <row r="264" spans="1:12" ht="15.8" customHeight="1" x14ac:dyDescent="0.2">
      <c r="A264" s="458" t="s">
        <v>10</v>
      </c>
      <c r="B264" s="458" t="s">
        <v>2162</v>
      </c>
      <c r="C264" s="573"/>
      <c r="D264" s="459">
        <v>46244</v>
      </c>
      <c r="E264" s="458" t="s">
        <v>91</v>
      </c>
      <c r="F264" s="458" t="s">
        <v>5595</v>
      </c>
      <c r="G264" s="458" t="s">
        <v>5487</v>
      </c>
      <c r="H264" s="458" t="s">
        <v>5492</v>
      </c>
      <c r="I264" s="502"/>
      <c r="J264" s="458">
        <v>8</v>
      </c>
      <c r="K264" s="458" t="s">
        <v>34</v>
      </c>
      <c r="L264" s="502"/>
    </row>
    <row r="265" spans="1:12" ht="15.8" customHeight="1" x14ac:dyDescent="0.2">
      <c r="A265" s="456" t="s">
        <v>10</v>
      </c>
      <c r="B265" s="456" t="s">
        <v>2162</v>
      </c>
      <c r="C265" s="573"/>
      <c r="D265" s="457">
        <v>46244</v>
      </c>
      <c r="E265" s="456" t="s">
        <v>91</v>
      </c>
      <c r="F265" s="456" t="s">
        <v>5596</v>
      </c>
      <c r="G265" s="456" t="s">
        <v>5487</v>
      </c>
      <c r="H265" s="456" t="s">
        <v>5492</v>
      </c>
      <c r="I265" s="503"/>
      <c r="J265" s="456">
        <v>8</v>
      </c>
      <c r="K265" s="456" t="s">
        <v>34</v>
      </c>
      <c r="L265" s="503"/>
    </row>
    <row r="266" spans="1:12" ht="15.8" customHeight="1" x14ac:dyDescent="0.2">
      <c r="A266" s="458" t="s">
        <v>10</v>
      </c>
      <c r="B266" s="458" t="s">
        <v>2162</v>
      </c>
      <c r="C266" s="573"/>
      <c r="D266" s="459">
        <v>46244</v>
      </c>
      <c r="E266" s="458" t="s">
        <v>57</v>
      </c>
      <c r="F266" s="458" t="s">
        <v>5597</v>
      </c>
      <c r="G266" s="458" t="s">
        <v>5487</v>
      </c>
      <c r="H266" s="458" t="s">
        <v>5598</v>
      </c>
      <c r="I266" s="502"/>
      <c r="J266" s="458">
        <v>8</v>
      </c>
      <c r="K266" s="458" t="s">
        <v>34</v>
      </c>
      <c r="L266" s="502"/>
    </row>
    <row r="267" spans="1:12" ht="15.8" customHeight="1" x14ac:dyDescent="0.2">
      <c r="A267" s="456" t="s">
        <v>10</v>
      </c>
      <c r="B267" s="456" t="s">
        <v>2162</v>
      </c>
      <c r="C267" s="573"/>
      <c r="D267" s="457">
        <v>46244</v>
      </c>
      <c r="E267" s="456" t="s">
        <v>91</v>
      </c>
      <c r="F267" s="456" t="s">
        <v>5599</v>
      </c>
      <c r="G267" s="456" t="s">
        <v>5487</v>
      </c>
      <c r="H267" s="456" t="s">
        <v>5600</v>
      </c>
      <c r="I267" s="503"/>
      <c r="J267" s="456">
        <v>8</v>
      </c>
      <c r="K267" s="456" t="s">
        <v>34</v>
      </c>
      <c r="L267" s="503"/>
    </row>
    <row r="268" spans="1:12" ht="15.8" customHeight="1" x14ac:dyDescent="0.2">
      <c r="A268" s="458" t="s">
        <v>10</v>
      </c>
      <c r="B268" s="458" t="s">
        <v>2162</v>
      </c>
      <c r="C268" s="573"/>
      <c r="D268" s="459">
        <v>46244</v>
      </c>
      <c r="E268" s="458" t="s">
        <v>91</v>
      </c>
      <c r="F268" s="458" t="s">
        <v>5601</v>
      </c>
      <c r="G268" s="458" t="s">
        <v>5487</v>
      </c>
      <c r="H268" s="458" t="s">
        <v>5602</v>
      </c>
      <c r="I268" s="502"/>
      <c r="J268" s="458">
        <v>8</v>
      </c>
      <c r="K268" s="458" t="s">
        <v>34</v>
      </c>
      <c r="L268" s="502"/>
    </row>
    <row r="269" spans="1:12" ht="15.8" customHeight="1" x14ac:dyDescent="0.2">
      <c r="A269" s="456" t="s">
        <v>10</v>
      </c>
      <c r="B269" s="456" t="s">
        <v>2162</v>
      </c>
      <c r="C269" s="573"/>
      <c r="D269" s="457">
        <v>46244</v>
      </c>
      <c r="E269" s="456" t="s">
        <v>57</v>
      </c>
      <c r="F269" s="456" t="s">
        <v>5603</v>
      </c>
      <c r="G269" s="456" t="s">
        <v>5487</v>
      </c>
      <c r="H269" s="456" t="s">
        <v>5604</v>
      </c>
      <c r="I269" s="503"/>
      <c r="J269" s="456">
        <v>8</v>
      </c>
      <c r="K269" s="456" t="s">
        <v>34</v>
      </c>
      <c r="L269" s="503"/>
    </row>
    <row r="270" spans="1:12" ht="15.8" customHeight="1" x14ac:dyDescent="0.2">
      <c r="A270" s="458" t="s">
        <v>10</v>
      </c>
      <c r="B270" s="458" t="s">
        <v>2162</v>
      </c>
      <c r="C270" s="573"/>
      <c r="D270" s="459">
        <v>46244</v>
      </c>
      <c r="E270" s="458" t="s">
        <v>91</v>
      </c>
      <c r="F270" s="458" t="s">
        <v>5605</v>
      </c>
      <c r="G270" s="458" t="s">
        <v>5487</v>
      </c>
      <c r="H270" s="458" t="s">
        <v>5606</v>
      </c>
      <c r="I270" s="502"/>
      <c r="J270" s="458">
        <v>8</v>
      </c>
      <c r="K270" s="458" t="s">
        <v>34</v>
      </c>
      <c r="L270" s="502"/>
    </row>
    <row r="271" spans="1:12" ht="15.8" customHeight="1" x14ac:dyDescent="0.2">
      <c r="A271" s="456" t="s">
        <v>10</v>
      </c>
      <c r="B271" s="456" t="s">
        <v>2162</v>
      </c>
      <c r="C271" s="573"/>
      <c r="D271" s="457">
        <v>46244</v>
      </c>
      <c r="E271" s="456" t="s">
        <v>91</v>
      </c>
      <c r="F271" s="456" t="s">
        <v>5607</v>
      </c>
      <c r="G271" s="456" t="s">
        <v>5487</v>
      </c>
      <c r="H271" s="456" t="s">
        <v>5608</v>
      </c>
      <c r="I271" s="503"/>
      <c r="J271" s="456">
        <v>8</v>
      </c>
      <c r="K271" s="456" t="s">
        <v>34</v>
      </c>
      <c r="L271" s="503"/>
    </row>
    <row r="272" spans="1:12" ht="15.8" customHeight="1" x14ac:dyDescent="0.2">
      <c r="A272" s="458" t="s">
        <v>10</v>
      </c>
      <c r="B272" s="458" t="s">
        <v>2162</v>
      </c>
      <c r="C272" s="573"/>
      <c r="D272" s="459">
        <v>46244</v>
      </c>
      <c r="E272" s="458" t="s">
        <v>91</v>
      </c>
      <c r="F272" s="458" t="s">
        <v>5609</v>
      </c>
      <c r="G272" s="458" t="s">
        <v>5487</v>
      </c>
      <c r="H272" s="458" t="s">
        <v>5610</v>
      </c>
      <c r="I272" s="502"/>
      <c r="J272" s="458">
        <v>8</v>
      </c>
      <c r="K272" s="458" t="s">
        <v>34</v>
      </c>
      <c r="L272" s="502"/>
    </row>
    <row r="273" spans="1:12" ht="15.8" customHeight="1" x14ac:dyDescent="0.2">
      <c r="A273" s="456" t="s">
        <v>10</v>
      </c>
      <c r="B273" s="456" t="s">
        <v>2162</v>
      </c>
      <c r="C273" s="573"/>
      <c r="D273" s="457">
        <v>46244</v>
      </c>
      <c r="E273" s="456" t="s">
        <v>91</v>
      </c>
      <c r="F273" s="456" t="s">
        <v>5611</v>
      </c>
      <c r="G273" s="456" t="s">
        <v>5487</v>
      </c>
      <c r="H273" s="456" t="s">
        <v>5492</v>
      </c>
      <c r="I273" s="503"/>
      <c r="J273" s="456">
        <v>8</v>
      </c>
      <c r="K273" s="456" t="s">
        <v>34</v>
      </c>
      <c r="L273" s="503"/>
    </row>
    <row r="274" spans="1:12" ht="15.8" customHeight="1" x14ac:dyDescent="0.2">
      <c r="A274" s="458" t="s">
        <v>10</v>
      </c>
      <c r="B274" s="458" t="s">
        <v>2162</v>
      </c>
      <c r="C274" s="573"/>
      <c r="D274" s="459">
        <v>46244</v>
      </c>
      <c r="E274" s="458" t="s">
        <v>57</v>
      </c>
      <c r="F274" s="458" t="s">
        <v>5612</v>
      </c>
      <c r="G274" s="458" t="s">
        <v>5487</v>
      </c>
      <c r="H274" s="458" t="s">
        <v>5613</v>
      </c>
      <c r="I274" s="502"/>
      <c r="J274" s="458">
        <v>8</v>
      </c>
      <c r="K274" s="458" t="s">
        <v>34</v>
      </c>
      <c r="L274" s="502"/>
    </row>
    <row r="275" spans="1:12" ht="15.8" customHeight="1" x14ac:dyDescent="0.2">
      <c r="A275" s="456" t="s">
        <v>10</v>
      </c>
      <c r="B275" s="456" t="s">
        <v>2162</v>
      </c>
      <c r="C275" s="573"/>
      <c r="D275" s="457">
        <v>46244</v>
      </c>
      <c r="E275" s="456" t="s">
        <v>57</v>
      </c>
      <c r="F275" s="456" t="s">
        <v>5614</v>
      </c>
      <c r="G275" s="456" t="s">
        <v>5487</v>
      </c>
      <c r="H275" s="456" t="s">
        <v>5615</v>
      </c>
      <c r="I275" s="503"/>
      <c r="J275" s="456">
        <v>8</v>
      </c>
      <c r="K275" s="456" t="s">
        <v>34</v>
      </c>
      <c r="L275" s="503"/>
    </row>
    <row r="276" spans="1:12" ht="15.8" customHeight="1" x14ac:dyDescent="0.2">
      <c r="A276" s="458" t="s">
        <v>10</v>
      </c>
      <c r="B276" s="458" t="s">
        <v>2162</v>
      </c>
      <c r="C276" s="573"/>
      <c r="D276" s="459">
        <v>46244</v>
      </c>
      <c r="E276" s="458" t="s">
        <v>91</v>
      </c>
      <c r="F276" s="458" t="s">
        <v>5616</v>
      </c>
      <c r="G276" s="458" t="s">
        <v>5487</v>
      </c>
      <c r="H276" s="458" t="s">
        <v>5617</v>
      </c>
      <c r="I276" s="502"/>
      <c r="J276" s="458">
        <v>8</v>
      </c>
      <c r="K276" s="458" t="s">
        <v>34</v>
      </c>
      <c r="L276" s="502"/>
    </row>
    <row r="277" spans="1:12" ht="15.8" customHeight="1" x14ac:dyDescent="0.2">
      <c r="A277" s="456" t="s">
        <v>10</v>
      </c>
      <c r="B277" s="456" t="s">
        <v>2162</v>
      </c>
      <c r="C277" s="573"/>
      <c r="D277" s="457">
        <v>46244</v>
      </c>
      <c r="E277" s="456" t="s">
        <v>57</v>
      </c>
      <c r="F277" s="456" t="s">
        <v>5618</v>
      </c>
      <c r="G277" s="456" t="s">
        <v>5487</v>
      </c>
      <c r="H277" s="456" t="s">
        <v>5619</v>
      </c>
      <c r="I277" s="503"/>
      <c r="J277" s="456">
        <v>8</v>
      </c>
      <c r="K277" s="456" t="s">
        <v>34</v>
      </c>
      <c r="L277" s="503"/>
    </row>
    <row r="278" spans="1:12" ht="15.8" customHeight="1" x14ac:dyDescent="0.2">
      <c r="A278" s="458" t="s">
        <v>10</v>
      </c>
      <c r="B278" s="458" t="s">
        <v>2162</v>
      </c>
      <c r="C278" s="573"/>
      <c r="D278" s="459">
        <v>46244</v>
      </c>
      <c r="E278" s="458" t="s">
        <v>91</v>
      </c>
      <c r="F278" s="502"/>
      <c r="G278" s="458" t="s">
        <v>5487</v>
      </c>
      <c r="H278" s="458" t="s">
        <v>5620</v>
      </c>
      <c r="I278" s="502"/>
      <c r="J278" s="458">
        <v>8</v>
      </c>
      <c r="K278" s="458" t="s">
        <v>34</v>
      </c>
      <c r="L278" s="502"/>
    </row>
    <row r="279" spans="1:12" ht="15.8" customHeight="1" x14ac:dyDescent="0.2">
      <c r="A279" s="456" t="s">
        <v>10</v>
      </c>
      <c r="B279" s="456" t="s">
        <v>2162</v>
      </c>
      <c r="C279" s="573"/>
      <c r="D279" s="457">
        <v>46244</v>
      </c>
      <c r="E279" s="456" t="s">
        <v>91</v>
      </c>
      <c r="F279" s="456" t="s">
        <v>5621</v>
      </c>
      <c r="G279" s="456" t="s">
        <v>5579</v>
      </c>
      <c r="H279" s="456" t="s">
        <v>5622</v>
      </c>
      <c r="I279" s="503"/>
      <c r="J279" s="456">
        <v>5</v>
      </c>
      <c r="K279" s="456" t="s">
        <v>50</v>
      </c>
      <c r="L279" s="503"/>
    </row>
    <row r="280" spans="1:12" ht="15.8" customHeight="1" x14ac:dyDescent="0.2">
      <c r="A280" s="458" t="s">
        <v>10</v>
      </c>
      <c r="B280" s="458" t="s">
        <v>2162</v>
      </c>
      <c r="C280" s="573"/>
      <c r="D280" s="459">
        <v>46244</v>
      </c>
      <c r="E280" s="458" t="s">
        <v>57</v>
      </c>
      <c r="F280" s="458" t="s">
        <v>5623</v>
      </c>
      <c r="G280" s="458" t="s">
        <v>5487</v>
      </c>
      <c r="H280" s="458" t="s">
        <v>5624</v>
      </c>
      <c r="I280" s="502"/>
      <c r="J280" s="458">
        <v>5</v>
      </c>
      <c r="K280" s="458" t="s">
        <v>50</v>
      </c>
      <c r="L280" s="502"/>
    </row>
    <row r="281" spans="1:12" ht="15.8" customHeight="1" x14ac:dyDescent="0.2">
      <c r="A281" s="456" t="s">
        <v>10</v>
      </c>
      <c r="B281" s="456" t="s">
        <v>2162</v>
      </c>
      <c r="C281" s="573"/>
      <c r="D281" s="457">
        <v>46244</v>
      </c>
      <c r="E281" s="456" t="s">
        <v>91</v>
      </c>
      <c r="F281" s="456" t="s">
        <v>5625</v>
      </c>
      <c r="G281" s="456" t="s">
        <v>5487</v>
      </c>
      <c r="H281" s="456" t="s">
        <v>5626</v>
      </c>
      <c r="I281" s="503"/>
      <c r="J281" s="456">
        <v>5</v>
      </c>
      <c r="K281" s="456" t="s">
        <v>50</v>
      </c>
      <c r="L281" s="503"/>
    </row>
    <row r="282" spans="1:12" ht="15.8" customHeight="1" x14ac:dyDescent="0.2">
      <c r="A282" s="458" t="s">
        <v>10</v>
      </c>
      <c r="B282" s="458" t="s">
        <v>2162</v>
      </c>
      <c r="C282" s="573"/>
      <c r="D282" s="459">
        <v>46244</v>
      </c>
      <c r="E282" s="458" t="s">
        <v>91</v>
      </c>
      <c r="F282" s="458" t="s">
        <v>5627</v>
      </c>
      <c r="G282" s="458" t="s">
        <v>5487</v>
      </c>
      <c r="H282" s="458" t="s">
        <v>5628</v>
      </c>
      <c r="I282" s="502"/>
      <c r="J282" s="458">
        <v>5</v>
      </c>
      <c r="K282" s="458" t="s">
        <v>50</v>
      </c>
      <c r="L282" s="502"/>
    </row>
    <row r="283" spans="1:12" ht="15.8" customHeight="1" x14ac:dyDescent="0.2">
      <c r="A283" s="456" t="s">
        <v>10</v>
      </c>
      <c r="B283" s="456" t="s">
        <v>2162</v>
      </c>
      <c r="C283" s="573"/>
      <c r="D283" s="457">
        <v>46244</v>
      </c>
      <c r="E283" s="456" t="s">
        <v>57</v>
      </c>
      <c r="F283" s="456" t="s">
        <v>5629</v>
      </c>
      <c r="G283" s="456" t="s">
        <v>5487</v>
      </c>
      <c r="H283" s="456" t="s">
        <v>5630</v>
      </c>
      <c r="I283" s="503"/>
      <c r="J283" s="456">
        <v>5</v>
      </c>
      <c r="K283" s="456" t="s">
        <v>50</v>
      </c>
      <c r="L283" s="503"/>
    </row>
    <row r="284" spans="1:12" ht="15.8" customHeight="1" x14ac:dyDescent="0.2">
      <c r="A284" s="458" t="s">
        <v>10</v>
      </c>
      <c r="B284" s="458" t="s">
        <v>2162</v>
      </c>
      <c r="C284" s="573"/>
      <c r="D284" s="459">
        <v>46244</v>
      </c>
      <c r="E284" s="458" t="s">
        <v>57</v>
      </c>
      <c r="F284" s="458" t="s">
        <v>5631</v>
      </c>
      <c r="G284" s="458" t="s">
        <v>5487</v>
      </c>
      <c r="H284" s="458" t="s">
        <v>5632</v>
      </c>
      <c r="I284" s="502"/>
      <c r="J284" s="458">
        <v>5</v>
      </c>
      <c r="K284" s="458" t="s">
        <v>50</v>
      </c>
      <c r="L284" s="502"/>
    </row>
    <row r="285" spans="1:12" ht="15.8" customHeight="1" x14ac:dyDescent="0.2">
      <c r="A285" s="456" t="s">
        <v>10</v>
      </c>
      <c r="B285" s="456" t="s">
        <v>2162</v>
      </c>
      <c r="C285" s="573"/>
      <c r="D285" s="457">
        <v>46244</v>
      </c>
      <c r="E285" s="456" t="s">
        <v>91</v>
      </c>
      <c r="F285" s="456" t="s">
        <v>5633</v>
      </c>
      <c r="G285" s="456" t="s">
        <v>5487</v>
      </c>
      <c r="H285" s="456" t="s">
        <v>5634</v>
      </c>
      <c r="I285" s="503"/>
      <c r="J285" s="456">
        <v>5</v>
      </c>
      <c r="K285" s="456" t="s">
        <v>50</v>
      </c>
      <c r="L285" s="503"/>
    </row>
    <row r="286" spans="1:12" ht="15.8" customHeight="1" x14ac:dyDescent="0.2">
      <c r="A286" s="458" t="s">
        <v>10</v>
      </c>
      <c r="B286" s="458" t="s">
        <v>2162</v>
      </c>
      <c r="C286" s="573"/>
      <c r="D286" s="459">
        <v>46244</v>
      </c>
      <c r="E286" s="458" t="s">
        <v>91</v>
      </c>
      <c r="F286" s="458" t="s">
        <v>5635</v>
      </c>
      <c r="G286" s="458" t="s">
        <v>5487</v>
      </c>
      <c r="H286" s="458" t="s">
        <v>5636</v>
      </c>
      <c r="I286" s="502"/>
      <c r="J286" s="458">
        <v>5</v>
      </c>
      <c r="K286" s="458" t="s">
        <v>50</v>
      </c>
      <c r="L286" s="502"/>
    </row>
    <row r="287" spans="1:12" ht="15.8" customHeight="1" x14ac:dyDescent="0.2">
      <c r="A287" s="456" t="s">
        <v>10</v>
      </c>
      <c r="B287" s="456" t="s">
        <v>2162</v>
      </c>
      <c r="C287" s="573"/>
      <c r="D287" s="457">
        <v>46244</v>
      </c>
      <c r="E287" s="456" t="s">
        <v>91</v>
      </c>
      <c r="F287" s="456" t="s">
        <v>5637</v>
      </c>
      <c r="G287" s="456" t="s">
        <v>5487</v>
      </c>
      <c r="H287" s="456" t="s">
        <v>5638</v>
      </c>
      <c r="I287" s="503"/>
      <c r="J287" s="456">
        <v>5</v>
      </c>
      <c r="K287" s="456" t="s">
        <v>50</v>
      </c>
      <c r="L287" s="503"/>
    </row>
    <row r="288" spans="1:12" ht="15.8" customHeight="1" x14ac:dyDescent="0.2">
      <c r="A288" s="458" t="s">
        <v>10</v>
      </c>
      <c r="B288" s="458" t="s">
        <v>2162</v>
      </c>
      <c r="C288" s="573"/>
      <c r="D288" s="459">
        <v>46244</v>
      </c>
      <c r="E288" s="458" t="s">
        <v>91</v>
      </c>
      <c r="F288" s="458" t="s">
        <v>5487</v>
      </c>
      <c r="G288" s="458" t="s">
        <v>5207</v>
      </c>
      <c r="H288" s="458" t="s">
        <v>5639</v>
      </c>
      <c r="I288" s="502"/>
      <c r="J288" s="458">
        <v>5</v>
      </c>
      <c r="K288" s="458" t="s">
        <v>50</v>
      </c>
      <c r="L288" s="502"/>
    </row>
    <row r="289" spans="1:12" ht="15.8" customHeight="1" x14ac:dyDescent="0.2">
      <c r="A289" s="456" t="s">
        <v>10</v>
      </c>
      <c r="B289" s="456" t="s">
        <v>2162</v>
      </c>
      <c r="C289" s="573"/>
      <c r="D289" s="457">
        <v>46244</v>
      </c>
      <c r="E289" s="456" t="s">
        <v>91</v>
      </c>
      <c r="F289" s="456" t="s">
        <v>5487</v>
      </c>
      <c r="G289" s="456" t="s">
        <v>5207</v>
      </c>
      <c r="H289" s="456" t="s">
        <v>5640</v>
      </c>
      <c r="I289" s="503"/>
      <c r="J289" s="456">
        <v>5</v>
      </c>
      <c r="K289" s="456" t="s">
        <v>50</v>
      </c>
      <c r="L289" s="503"/>
    </row>
    <row r="290" spans="1:12" ht="15.8" customHeight="1" x14ac:dyDescent="0.2">
      <c r="A290" s="458" t="s">
        <v>10</v>
      </c>
      <c r="B290" s="458" t="s">
        <v>2162</v>
      </c>
      <c r="C290" s="573"/>
      <c r="D290" s="459">
        <v>46244</v>
      </c>
      <c r="E290" s="458" t="s">
        <v>91</v>
      </c>
      <c r="F290" s="458" t="s">
        <v>5641</v>
      </c>
      <c r="G290" s="458" t="s">
        <v>128</v>
      </c>
      <c r="H290" s="458" t="s">
        <v>5642</v>
      </c>
      <c r="I290" s="502"/>
      <c r="J290" s="458">
        <v>8</v>
      </c>
      <c r="K290" s="458" t="s">
        <v>34</v>
      </c>
      <c r="L290" s="502"/>
    </row>
    <row r="291" spans="1:12" ht="15.8" customHeight="1" x14ac:dyDescent="0.2">
      <c r="A291" s="456" t="s">
        <v>10</v>
      </c>
      <c r="B291" s="456" t="s">
        <v>2162</v>
      </c>
      <c r="C291" s="573"/>
      <c r="D291" s="457">
        <v>46244</v>
      </c>
      <c r="E291" s="456" t="s">
        <v>91</v>
      </c>
      <c r="F291" s="456" t="s">
        <v>5643</v>
      </c>
      <c r="G291" s="456" t="s">
        <v>5579</v>
      </c>
      <c r="H291" s="456" t="s">
        <v>5644</v>
      </c>
      <c r="I291" s="503"/>
      <c r="J291" s="456">
        <v>8</v>
      </c>
      <c r="K291" s="456" t="s">
        <v>34</v>
      </c>
      <c r="L291" s="503"/>
    </row>
    <row r="292" spans="1:12" ht="15.8" customHeight="1" x14ac:dyDescent="0.2">
      <c r="A292" s="458" t="s">
        <v>10</v>
      </c>
      <c r="B292" s="458" t="s">
        <v>2162</v>
      </c>
      <c r="C292" s="573"/>
      <c r="D292" s="459">
        <v>46244</v>
      </c>
      <c r="E292" s="458" t="s">
        <v>91</v>
      </c>
      <c r="F292" s="458" t="s">
        <v>5645</v>
      </c>
      <c r="G292" s="458" t="s">
        <v>5579</v>
      </c>
      <c r="H292" s="458" t="s">
        <v>5646</v>
      </c>
      <c r="I292" s="502"/>
      <c r="J292" s="458">
        <v>8</v>
      </c>
      <c r="K292" s="458" t="s">
        <v>34</v>
      </c>
      <c r="L292" s="502"/>
    </row>
    <row r="293" spans="1:12" ht="15.8" customHeight="1" x14ac:dyDescent="0.2">
      <c r="A293" s="456" t="s">
        <v>10</v>
      </c>
      <c r="B293" s="456" t="s">
        <v>2162</v>
      </c>
      <c r="C293" s="573"/>
      <c r="D293" s="457">
        <v>46244</v>
      </c>
      <c r="E293" s="456" t="s">
        <v>91</v>
      </c>
      <c r="F293" s="456" t="s">
        <v>5487</v>
      </c>
      <c r="G293" s="456" t="s">
        <v>5647</v>
      </c>
      <c r="H293" s="456" t="s">
        <v>5648</v>
      </c>
      <c r="I293" s="503"/>
      <c r="J293" s="456">
        <v>8</v>
      </c>
      <c r="K293" s="456" t="s">
        <v>34</v>
      </c>
      <c r="L293" s="503"/>
    </row>
    <row r="294" spans="1:12" ht="15.8" customHeight="1" x14ac:dyDescent="0.2">
      <c r="A294" s="458" t="s">
        <v>10</v>
      </c>
      <c r="B294" s="458" t="s">
        <v>2162</v>
      </c>
      <c r="C294" s="573"/>
      <c r="D294" s="459">
        <v>46244</v>
      </c>
      <c r="E294" s="458" t="s">
        <v>91</v>
      </c>
      <c r="F294" s="458" t="s">
        <v>5649</v>
      </c>
      <c r="G294" s="458" t="s">
        <v>5647</v>
      </c>
      <c r="H294" s="458" t="s">
        <v>5650</v>
      </c>
      <c r="I294" s="502"/>
      <c r="J294" s="458">
        <v>8</v>
      </c>
      <c r="K294" s="458" t="s">
        <v>34</v>
      </c>
      <c r="L294" s="502"/>
    </row>
    <row r="295" spans="1:12" ht="15.8" customHeight="1" x14ac:dyDescent="0.2">
      <c r="A295" s="456" t="s">
        <v>10</v>
      </c>
      <c r="B295" s="456" t="s">
        <v>2162</v>
      </c>
      <c r="C295" s="573"/>
      <c r="D295" s="457">
        <v>46244</v>
      </c>
      <c r="E295" s="456" t="s">
        <v>91</v>
      </c>
      <c r="F295" s="456" t="s">
        <v>5487</v>
      </c>
      <c r="G295" s="456" t="s">
        <v>5647</v>
      </c>
      <c r="H295" s="456" t="s">
        <v>5651</v>
      </c>
      <c r="I295" s="503"/>
      <c r="J295" s="456">
        <v>8</v>
      </c>
      <c r="K295" s="456" t="s">
        <v>34</v>
      </c>
      <c r="L295" s="503"/>
    </row>
    <row r="296" spans="1:12" ht="15.8" customHeight="1" x14ac:dyDescent="0.2">
      <c r="A296" s="458" t="s">
        <v>10</v>
      </c>
      <c r="B296" s="458" t="s">
        <v>2162</v>
      </c>
      <c r="C296" s="573"/>
      <c r="D296" s="459">
        <v>46244</v>
      </c>
      <c r="E296" s="458" t="s">
        <v>91</v>
      </c>
      <c r="F296" s="458" t="s">
        <v>5487</v>
      </c>
      <c r="G296" s="458" t="s">
        <v>5647</v>
      </c>
      <c r="H296" s="458" t="s">
        <v>5652</v>
      </c>
      <c r="I296" s="502"/>
      <c r="J296" s="458">
        <v>8</v>
      </c>
      <c r="K296" s="458" t="s">
        <v>34</v>
      </c>
      <c r="L296" s="502"/>
    </row>
    <row r="297" spans="1:12" ht="15.8" customHeight="1" x14ac:dyDescent="0.2">
      <c r="A297" s="456" t="s">
        <v>10</v>
      </c>
      <c r="B297" s="456" t="s">
        <v>2162</v>
      </c>
      <c r="C297" s="573"/>
      <c r="D297" s="457">
        <v>46244</v>
      </c>
      <c r="E297" s="456" t="s">
        <v>91</v>
      </c>
      <c r="F297" s="456" t="s">
        <v>5487</v>
      </c>
      <c r="G297" s="456" t="s">
        <v>5647</v>
      </c>
      <c r="H297" s="456" t="s">
        <v>5653</v>
      </c>
      <c r="I297" s="503"/>
      <c r="J297" s="456">
        <v>8</v>
      </c>
      <c r="K297" s="456" t="s">
        <v>34</v>
      </c>
      <c r="L297" s="503"/>
    </row>
    <row r="298" spans="1:12" ht="15.8" customHeight="1" x14ac:dyDescent="0.2">
      <c r="A298" s="458" t="s">
        <v>10</v>
      </c>
      <c r="B298" s="458" t="s">
        <v>2162</v>
      </c>
      <c r="C298" s="573"/>
      <c r="D298" s="459">
        <v>46244</v>
      </c>
      <c r="E298" s="458" t="s">
        <v>91</v>
      </c>
      <c r="F298" s="458" t="s">
        <v>5654</v>
      </c>
      <c r="G298" s="458" t="s">
        <v>95</v>
      </c>
      <c r="H298" s="458" t="s">
        <v>5655</v>
      </c>
      <c r="I298" s="502"/>
      <c r="J298" s="458">
        <v>8</v>
      </c>
      <c r="K298" s="458" t="s">
        <v>34</v>
      </c>
      <c r="L298" s="502"/>
    </row>
    <row r="299" spans="1:12" ht="15.8" customHeight="1" x14ac:dyDescent="0.2">
      <c r="A299" s="456" t="s">
        <v>10</v>
      </c>
      <c r="B299" s="456" t="s">
        <v>2162</v>
      </c>
      <c r="C299" s="573"/>
      <c r="D299" s="457">
        <v>46244</v>
      </c>
      <c r="E299" s="456" t="s">
        <v>91</v>
      </c>
      <c r="F299" s="456" t="s">
        <v>5656</v>
      </c>
      <c r="G299" s="456" t="s">
        <v>95</v>
      </c>
      <c r="H299" s="456" t="s">
        <v>5657</v>
      </c>
      <c r="I299" s="503"/>
      <c r="J299" s="456">
        <v>8</v>
      </c>
      <c r="K299" s="456" t="s">
        <v>34</v>
      </c>
      <c r="L299" s="503"/>
    </row>
    <row r="300" spans="1:12" ht="15.8" customHeight="1" x14ac:dyDescent="0.2">
      <c r="A300" s="458" t="s">
        <v>10</v>
      </c>
      <c r="B300" s="458" t="s">
        <v>2162</v>
      </c>
      <c r="C300" s="573"/>
      <c r="D300" s="459">
        <v>46244</v>
      </c>
      <c r="E300" s="458" t="s">
        <v>91</v>
      </c>
      <c r="F300" s="458" t="s">
        <v>5658</v>
      </c>
      <c r="G300" s="458" t="s">
        <v>5659</v>
      </c>
      <c r="H300" s="458" t="s">
        <v>5660</v>
      </c>
      <c r="I300" s="502"/>
      <c r="J300" s="458">
        <v>8</v>
      </c>
      <c r="K300" s="458" t="s">
        <v>34</v>
      </c>
      <c r="L300" s="502"/>
    </row>
    <row r="301" spans="1:12" ht="15.8" customHeight="1" x14ac:dyDescent="0.2">
      <c r="A301" s="456" t="s">
        <v>10</v>
      </c>
      <c r="B301" s="456" t="s">
        <v>2162</v>
      </c>
      <c r="C301" s="573"/>
      <c r="D301" s="457">
        <v>46244</v>
      </c>
      <c r="E301" s="456" t="s">
        <v>91</v>
      </c>
      <c r="F301" s="456" t="s">
        <v>5661</v>
      </c>
      <c r="G301" s="456" t="s">
        <v>1443</v>
      </c>
      <c r="H301" s="456" t="s">
        <v>5662</v>
      </c>
      <c r="I301" s="503"/>
      <c r="J301" s="456">
        <v>8</v>
      </c>
      <c r="K301" s="456" t="s">
        <v>34</v>
      </c>
      <c r="L301" s="503"/>
    </row>
    <row r="302" spans="1:12" ht="15.8" customHeight="1" x14ac:dyDescent="0.2">
      <c r="A302" s="458" t="s">
        <v>10</v>
      </c>
      <c r="B302" s="458" t="s">
        <v>2162</v>
      </c>
      <c r="C302" s="573"/>
      <c r="D302" s="459">
        <v>46244</v>
      </c>
      <c r="E302" s="458" t="s">
        <v>91</v>
      </c>
      <c r="F302" s="458" t="s">
        <v>5663</v>
      </c>
      <c r="G302" s="458" t="s">
        <v>1443</v>
      </c>
      <c r="H302" s="458" t="s">
        <v>5664</v>
      </c>
      <c r="I302" s="502"/>
      <c r="J302" s="458">
        <v>8</v>
      </c>
      <c r="K302" s="458" t="s">
        <v>34</v>
      </c>
      <c r="L302" s="502"/>
    </row>
    <row r="303" spans="1:12" ht="15.8" customHeight="1" x14ac:dyDescent="0.2">
      <c r="A303" s="456" t="s">
        <v>10</v>
      </c>
      <c r="B303" s="456" t="s">
        <v>2162</v>
      </c>
      <c r="C303" s="573"/>
      <c r="D303" s="457">
        <v>46244</v>
      </c>
      <c r="E303" s="456" t="s">
        <v>91</v>
      </c>
      <c r="F303" s="456" t="s">
        <v>996</v>
      </c>
      <c r="G303" s="503"/>
      <c r="H303" s="456" t="s">
        <v>5665</v>
      </c>
      <c r="I303" s="503"/>
      <c r="J303" s="456">
        <v>8</v>
      </c>
      <c r="K303" s="456" t="s">
        <v>34</v>
      </c>
      <c r="L303" s="503"/>
    </row>
    <row r="304" spans="1:12" ht="15.8" customHeight="1" x14ac:dyDescent="0.2">
      <c r="A304" s="458" t="s">
        <v>10</v>
      </c>
      <c r="B304" s="458" t="s">
        <v>2162</v>
      </c>
      <c r="C304" s="573"/>
      <c r="D304" s="459">
        <v>46244</v>
      </c>
      <c r="E304" s="458" t="s">
        <v>91</v>
      </c>
      <c r="F304" s="458" t="s">
        <v>5666</v>
      </c>
      <c r="G304" s="458" t="s">
        <v>95</v>
      </c>
      <c r="H304" s="458" t="s">
        <v>5667</v>
      </c>
      <c r="I304" s="502"/>
      <c r="J304" s="458">
        <v>8</v>
      </c>
      <c r="K304" s="458" t="s">
        <v>34</v>
      </c>
      <c r="L304" s="502"/>
    </row>
    <row r="305" spans="1:12" ht="15.8" customHeight="1" x14ac:dyDescent="0.2">
      <c r="A305" s="456" t="s">
        <v>10</v>
      </c>
      <c r="B305" s="456" t="s">
        <v>2162</v>
      </c>
      <c r="C305" s="573"/>
      <c r="D305" s="457">
        <v>46244</v>
      </c>
      <c r="E305" s="456" t="s">
        <v>91</v>
      </c>
      <c r="F305" s="456" t="s">
        <v>5668</v>
      </c>
      <c r="G305" s="456" t="s">
        <v>95</v>
      </c>
      <c r="H305" s="456" t="s">
        <v>5669</v>
      </c>
      <c r="I305" s="503"/>
      <c r="J305" s="456">
        <v>8</v>
      </c>
      <c r="K305" s="456" t="s">
        <v>34</v>
      </c>
      <c r="L305" s="503"/>
    </row>
    <row r="306" spans="1:12" ht="15.8" customHeight="1" x14ac:dyDescent="0.2">
      <c r="A306" s="458" t="s">
        <v>10</v>
      </c>
      <c r="B306" s="458" t="s">
        <v>2162</v>
      </c>
      <c r="C306" s="573"/>
      <c r="D306" s="459">
        <v>46244</v>
      </c>
      <c r="E306" s="458" t="s">
        <v>91</v>
      </c>
      <c r="F306" s="458" t="s">
        <v>5670</v>
      </c>
      <c r="G306" s="458" t="s">
        <v>95</v>
      </c>
      <c r="H306" s="458" t="s">
        <v>5671</v>
      </c>
      <c r="I306" s="502"/>
      <c r="J306" s="458">
        <v>8</v>
      </c>
      <c r="K306" s="458" t="s">
        <v>34</v>
      </c>
      <c r="L306" s="502"/>
    </row>
    <row r="307" spans="1:12" ht="15.8" customHeight="1" x14ac:dyDescent="0.2">
      <c r="A307" s="456" t="s">
        <v>10</v>
      </c>
      <c r="B307" s="456" t="s">
        <v>2162</v>
      </c>
      <c r="C307" s="573"/>
      <c r="D307" s="457">
        <v>46244</v>
      </c>
      <c r="E307" s="456" t="s">
        <v>1520</v>
      </c>
      <c r="F307" s="456" t="s">
        <v>5672</v>
      </c>
      <c r="G307" s="456" t="s">
        <v>95</v>
      </c>
      <c r="H307" s="456" t="s">
        <v>5673</v>
      </c>
      <c r="I307" s="503"/>
      <c r="J307" s="456">
        <v>8</v>
      </c>
      <c r="K307" s="456" t="s">
        <v>34</v>
      </c>
      <c r="L307" s="503"/>
    </row>
    <row r="308" spans="1:12" ht="15.8" customHeight="1" x14ac:dyDescent="0.2">
      <c r="A308" s="458" t="s">
        <v>10</v>
      </c>
      <c r="B308" s="458" t="s">
        <v>2162</v>
      </c>
      <c r="C308" s="573"/>
      <c r="D308" s="459">
        <v>46244</v>
      </c>
      <c r="E308" s="458" t="s">
        <v>1520</v>
      </c>
      <c r="F308" s="458" t="s">
        <v>5674</v>
      </c>
      <c r="G308" s="502"/>
      <c r="H308" s="458" t="s">
        <v>5675</v>
      </c>
      <c r="I308" s="502"/>
      <c r="J308" s="458">
        <v>8</v>
      </c>
      <c r="K308" s="458" t="s">
        <v>34</v>
      </c>
      <c r="L308" s="502"/>
    </row>
    <row r="309" spans="1:12" ht="15.8" customHeight="1" x14ac:dyDescent="0.2">
      <c r="A309" s="456" t="s">
        <v>10</v>
      </c>
      <c r="B309" s="456" t="s">
        <v>2162</v>
      </c>
      <c r="C309" s="573"/>
      <c r="D309" s="457">
        <v>46244</v>
      </c>
      <c r="E309" s="456" t="s">
        <v>91</v>
      </c>
      <c r="F309" s="456" t="s">
        <v>5676</v>
      </c>
      <c r="G309" s="456" t="s">
        <v>95</v>
      </c>
      <c r="H309" s="456" t="s">
        <v>5677</v>
      </c>
      <c r="I309" s="503"/>
      <c r="J309" s="456">
        <v>8</v>
      </c>
      <c r="K309" s="456" t="s">
        <v>34</v>
      </c>
      <c r="L309" s="503"/>
    </row>
    <row r="310" spans="1:12" ht="15.8" customHeight="1" x14ac:dyDescent="0.2">
      <c r="A310" s="458" t="s">
        <v>10</v>
      </c>
      <c r="B310" s="458" t="s">
        <v>2162</v>
      </c>
      <c r="C310" s="573"/>
      <c r="D310" s="459">
        <v>46244</v>
      </c>
      <c r="E310" s="458" t="s">
        <v>1520</v>
      </c>
      <c r="F310" s="458" t="s">
        <v>5678</v>
      </c>
      <c r="G310" s="458" t="s">
        <v>95</v>
      </c>
      <c r="H310" s="458" t="s">
        <v>5679</v>
      </c>
      <c r="I310" s="502"/>
      <c r="J310" s="458">
        <v>8</v>
      </c>
      <c r="K310" s="458" t="s">
        <v>34</v>
      </c>
      <c r="L310" s="502"/>
    </row>
    <row r="311" spans="1:12" ht="15.8" customHeight="1" x14ac:dyDescent="0.2">
      <c r="A311" s="456" t="s">
        <v>10</v>
      </c>
      <c r="B311" s="456" t="s">
        <v>2162</v>
      </c>
      <c r="C311" s="573"/>
      <c r="D311" s="457">
        <v>46244</v>
      </c>
      <c r="E311" s="456" t="s">
        <v>91</v>
      </c>
      <c r="F311" s="456" t="s">
        <v>5680</v>
      </c>
      <c r="G311" s="456" t="s">
        <v>95</v>
      </c>
      <c r="H311" s="456" t="s">
        <v>5681</v>
      </c>
      <c r="I311" s="503"/>
      <c r="J311" s="456">
        <v>8</v>
      </c>
      <c r="K311" s="456" t="s">
        <v>34</v>
      </c>
      <c r="L311" s="503"/>
    </row>
    <row r="312" spans="1:12" ht="15.8" customHeight="1" x14ac:dyDescent="0.2">
      <c r="A312" s="458" t="s">
        <v>10</v>
      </c>
      <c r="B312" s="458" t="s">
        <v>2162</v>
      </c>
      <c r="C312" s="573"/>
      <c r="D312" s="459">
        <v>46244</v>
      </c>
      <c r="E312" s="458" t="s">
        <v>1520</v>
      </c>
      <c r="F312" s="458" t="s">
        <v>5682</v>
      </c>
      <c r="G312" s="458" t="s">
        <v>95</v>
      </c>
      <c r="H312" s="458" t="s">
        <v>5683</v>
      </c>
      <c r="I312" s="502"/>
      <c r="J312" s="458">
        <v>8</v>
      </c>
      <c r="K312" s="458" t="s">
        <v>34</v>
      </c>
      <c r="L312" s="502"/>
    </row>
    <row r="313" spans="1:12" ht="15.8" customHeight="1" x14ac:dyDescent="0.2">
      <c r="A313" s="456" t="s">
        <v>10</v>
      </c>
      <c r="B313" s="456" t="s">
        <v>2162</v>
      </c>
      <c r="C313" s="573"/>
      <c r="D313" s="457">
        <v>46244</v>
      </c>
      <c r="E313" s="456" t="s">
        <v>91</v>
      </c>
      <c r="F313" s="456" t="s">
        <v>5684</v>
      </c>
      <c r="G313" s="456" t="s">
        <v>95</v>
      </c>
      <c r="H313" s="456" t="s">
        <v>5685</v>
      </c>
      <c r="I313" s="503"/>
      <c r="J313" s="456">
        <v>8</v>
      </c>
      <c r="K313" s="456" t="s">
        <v>34</v>
      </c>
      <c r="L313" s="503"/>
    </row>
    <row r="314" spans="1:12" ht="15.8" customHeight="1" x14ac:dyDescent="0.2">
      <c r="A314" s="458" t="s">
        <v>10</v>
      </c>
      <c r="B314" s="458" t="s">
        <v>2162</v>
      </c>
      <c r="C314" s="573"/>
      <c r="D314" s="459">
        <v>46244</v>
      </c>
      <c r="E314" s="458" t="s">
        <v>1520</v>
      </c>
      <c r="F314" s="458" t="s">
        <v>5686</v>
      </c>
      <c r="G314" s="458" t="s">
        <v>95</v>
      </c>
      <c r="H314" s="458" t="s">
        <v>5687</v>
      </c>
      <c r="I314" s="502"/>
      <c r="J314" s="458">
        <v>8</v>
      </c>
      <c r="K314" s="458" t="s">
        <v>34</v>
      </c>
      <c r="L314" s="502"/>
    </row>
    <row r="315" spans="1:12" ht="15.8" customHeight="1" x14ac:dyDescent="0.2">
      <c r="A315" s="456" t="s">
        <v>10</v>
      </c>
      <c r="B315" s="456" t="s">
        <v>2162</v>
      </c>
      <c r="C315" s="573"/>
      <c r="D315" s="457">
        <v>46244</v>
      </c>
      <c r="E315" s="456" t="s">
        <v>1520</v>
      </c>
      <c r="F315" s="456" t="s">
        <v>5688</v>
      </c>
      <c r="G315" s="456" t="s">
        <v>95</v>
      </c>
      <c r="H315" s="456" t="s">
        <v>5689</v>
      </c>
      <c r="I315" s="503"/>
      <c r="J315" s="456">
        <v>8</v>
      </c>
      <c r="K315" s="456" t="s">
        <v>34</v>
      </c>
      <c r="L315" s="503"/>
    </row>
    <row r="316" spans="1:12" ht="15.8" customHeight="1" x14ac:dyDescent="0.2">
      <c r="A316" s="458" t="s">
        <v>10</v>
      </c>
      <c r="B316" s="458" t="s">
        <v>2162</v>
      </c>
      <c r="C316" s="573"/>
      <c r="D316" s="459">
        <v>46244</v>
      </c>
      <c r="E316" s="458" t="s">
        <v>91</v>
      </c>
      <c r="F316" s="458" t="s">
        <v>5690</v>
      </c>
      <c r="G316" s="458" t="s">
        <v>355</v>
      </c>
      <c r="H316" s="458" t="s">
        <v>5691</v>
      </c>
      <c r="I316" s="502"/>
      <c r="J316" s="458">
        <v>3</v>
      </c>
      <c r="K316" s="458" t="s">
        <v>16</v>
      </c>
      <c r="L316" s="502"/>
    </row>
    <row r="317" spans="1:12" ht="15.8" customHeight="1" x14ac:dyDescent="0.2">
      <c r="A317" s="456" t="s">
        <v>10</v>
      </c>
      <c r="B317" s="456" t="s">
        <v>2162</v>
      </c>
      <c r="C317" s="573"/>
      <c r="D317" s="457">
        <v>46244</v>
      </c>
      <c r="E317" s="456" t="s">
        <v>91</v>
      </c>
      <c r="F317" s="456" t="s">
        <v>5692</v>
      </c>
      <c r="G317" s="456" t="s">
        <v>95</v>
      </c>
      <c r="H317" s="456" t="s">
        <v>5693</v>
      </c>
      <c r="I317" s="503"/>
      <c r="J317" s="456">
        <v>8</v>
      </c>
      <c r="K317" s="456" t="s">
        <v>34</v>
      </c>
      <c r="L317" s="503"/>
    </row>
    <row r="318" spans="1:12" ht="15.8" customHeight="1" x14ac:dyDescent="0.2">
      <c r="A318" s="458" t="s">
        <v>10</v>
      </c>
      <c r="B318" s="458" t="s">
        <v>188</v>
      </c>
      <c r="C318" s="573"/>
      <c r="D318" s="459">
        <v>46246</v>
      </c>
      <c r="E318" s="458" t="s">
        <v>2226</v>
      </c>
      <c r="F318" s="458" t="s">
        <v>5694</v>
      </c>
      <c r="G318" s="502"/>
      <c r="H318" s="458" t="s">
        <v>5695</v>
      </c>
      <c r="I318" s="458" t="s">
        <v>3721</v>
      </c>
      <c r="J318" s="458">
        <v>2</v>
      </c>
      <c r="K318" s="458" t="s">
        <v>16</v>
      </c>
      <c r="L318" s="458" t="s">
        <v>3721</v>
      </c>
    </row>
    <row r="319" spans="1:12" ht="15.8" customHeight="1" x14ac:dyDescent="0.2">
      <c r="A319" s="456" t="s">
        <v>10</v>
      </c>
      <c r="B319" s="456" t="s">
        <v>2162</v>
      </c>
      <c r="C319" s="573"/>
      <c r="D319" s="457">
        <v>46244</v>
      </c>
      <c r="E319" s="456" t="s">
        <v>1520</v>
      </c>
      <c r="F319" s="456" t="s">
        <v>5696</v>
      </c>
      <c r="G319" s="456" t="s">
        <v>95</v>
      </c>
      <c r="H319" s="456" t="s">
        <v>5697</v>
      </c>
      <c r="I319" s="503"/>
      <c r="J319" s="456">
        <v>8</v>
      </c>
      <c r="K319" s="456" t="s">
        <v>34</v>
      </c>
      <c r="L319" s="503"/>
    </row>
    <row r="320" spans="1:12" ht="15.8" customHeight="1" x14ac:dyDescent="0.2">
      <c r="A320" s="458" t="s">
        <v>10</v>
      </c>
      <c r="B320" s="458" t="s">
        <v>2162</v>
      </c>
      <c r="C320" s="573"/>
      <c r="D320" s="459">
        <v>46244</v>
      </c>
      <c r="E320" s="458" t="s">
        <v>428</v>
      </c>
      <c r="F320" s="458" t="s">
        <v>5698</v>
      </c>
      <c r="G320" s="458" t="s">
        <v>355</v>
      </c>
      <c r="H320" s="458" t="s">
        <v>5699</v>
      </c>
      <c r="I320" s="502"/>
      <c r="J320" s="458">
        <v>3</v>
      </c>
      <c r="K320" s="458" t="s">
        <v>16</v>
      </c>
      <c r="L320" s="502"/>
    </row>
    <row r="321" spans="1:12" ht="15.8" customHeight="1" x14ac:dyDescent="0.2">
      <c r="A321" s="456" t="s">
        <v>10</v>
      </c>
      <c r="B321" s="456" t="s">
        <v>2162</v>
      </c>
      <c r="C321" s="573"/>
      <c r="D321" s="457">
        <v>46244</v>
      </c>
      <c r="E321" s="456" t="s">
        <v>91</v>
      </c>
      <c r="F321" s="456" t="s">
        <v>5700</v>
      </c>
      <c r="G321" s="456" t="s">
        <v>95</v>
      </c>
      <c r="H321" s="456" t="s">
        <v>5701</v>
      </c>
      <c r="I321" s="503"/>
      <c r="J321" s="456">
        <v>8</v>
      </c>
      <c r="K321" s="456" t="s">
        <v>34</v>
      </c>
      <c r="L321" s="503"/>
    </row>
    <row r="322" spans="1:12" ht="15.8" customHeight="1" x14ac:dyDescent="0.2">
      <c r="A322" s="458" t="s">
        <v>10</v>
      </c>
      <c r="B322" s="458" t="s">
        <v>2162</v>
      </c>
      <c r="C322" s="573"/>
      <c r="D322" s="459">
        <v>46244</v>
      </c>
      <c r="E322" s="458" t="s">
        <v>1520</v>
      </c>
      <c r="F322" s="458" t="s">
        <v>5702</v>
      </c>
      <c r="G322" s="458" t="s">
        <v>355</v>
      </c>
      <c r="H322" s="458" t="s">
        <v>5703</v>
      </c>
      <c r="I322" s="502"/>
      <c r="J322" s="458">
        <v>3</v>
      </c>
      <c r="K322" s="458" t="s">
        <v>16</v>
      </c>
      <c r="L322" s="502"/>
    </row>
    <row r="323" spans="1:12" ht="15.8" customHeight="1" x14ac:dyDescent="0.2">
      <c r="A323" s="456" t="s">
        <v>10</v>
      </c>
      <c r="B323" s="456" t="s">
        <v>2162</v>
      </c>
      <c r="C323" s="573"/>
      <c r="D323" s="457">
        <v>46244</v>
      </c>
      <c r="E323" s="456" t="s">
        <v>1520</v>
      </c>
      <c r="F323" s="456" t="s">
        <v>5704</v>
      </c>
      <c r="G323" s="456" t="s">
        <v>355</v>
      </c>
      <c r="H323" s="456" t="s">
        <v>5705</v>
      </c>
      <c r="I323" s="503"/>
      <c r="J323" s="456">
        <v>3</v>
      </c>
      <c r="K323" s="456" t="s">
        <v>16</v>
      </c>
      <c r="L323" s="503"/>
    </row>
    <row r="324" spans="1:12" ht="15.8" customHeight="1" x14ac:dyDescent="0.2">
      <c r="A324" s="458" t="s">
        <v>51</v>
      </c>
      <c r="B324" s="458" t="s">
        <v>451</v>
      </c>
      <c r="C324" s="573"/>
      <c r="D324" s="459">
        <v>46245</v>
      </c>
      <c r="E324" s="458" t="s">
        <v>180</v>
      </c>
      <c r="F324" s="458" t="s">
        <v>5706</v>
      </c>
      <c r="G324" s="458" t="s">
        <v>85</v>
      </c>
      <c r="H324" s="458" t="s">
        <v>5707</v>
      </c>
      <c r="I324" s="458" t="s">
        <v>5708</v>
      </c>
      <c r="J324" s="458">
        <v>6</v>
      </c>
      <c r="K324" s="458" t="s">
        <v>56</v>
      </c>
      <c r="L324" s="458" t="s">
        <v>3721</v>
      </c>
    </row>
    <row r="325" spans="1:12" ht="15.8" customHeight="1" x14ac:dyDescent="0.2">
      <c r="A325" s="456" t="s">
        <v>146</v>
      </c>
      <c r="B325" s="456" t="s">
        <v>11</v>
      </c>
      <c r="C325" s="573"/>
      <c r="D325" s="457">
        <v>46246</v>
      </c>
      <c r="E325" s="456" t="s">
        <v>180</v>
      </c>
      <c r="F325" s="456" t="s">
        <v>5709</v>
      </c>
      <c r="G325" s="456" t="s">
        <v>85</v>
      </c>
      <c r="H325" s="456" t="s">
        <v>5710</v>
      </c>
      <c r="I325" s="456" t="s">
        <v>4658</v>
      </c>
      <c r="J325" s="456">
        <v>2</v>
      </c>
      <c r="K325" s="456" t="s">
        <v>192</v>
      </c>
      <c r="L325" s="456" t="s">
        <v>3721</v>
      </c>
    </row>
    <row r="326" spans="1:12" ht="15.8" customHeight="1" x14ac:dyDescent="0.2">
      <c r="A326" s="458" t="s">
        <v>10</v>
      </c>
      <c r="B326" s="458" t="s">
        <v>2162</v>
      </c>
      <c r="C326" s="573"/>
      <c r="D326" s="459">
        <v>46244</v>
      </c>
      <c r="E326" s="458" t="s">
        <v>1520</v>
      </c>
      <c r="F326" s="458" t="s">
        <v>5711</v>
      </c>
      <c r="G326" s="502"/>
      <c r="H326" s="458" t="s">
        <v>5712</v>
      </c>
      <c r="I326" s="502"/>
      <c r="J326" s="458">
        <v>8</v>
      </c>
      <c r="K326" s="458" t="s">
        <v>34</v>
      </c>
      <c r="L326" s="502"/>
    </row>
    <row r="327" spans="1:12" ht="15.8" customHeight="1" x14ac:dyDescent="0.2">
      <c r="A327" s="456" t="s">
        <v>10</v>
      </c>
      <c r="B327" s="456" t="s">
        <v>2162</v>
      </c>
      <c r="C327" s="573"/>
      <c r="D327" s="457">
        <v>46244</v>
      </c>
      <c r="E327" s="456" t="s">
        <v>1010</v>
      </c>
      <c r="F327" s="456" t="s">
        <v>5713</v>
      </c>
      <c r="G327" s="456" t="s">
        <v>95</v>
      </c>
      <c r="H327" s="456" t="s">
        <v>5714</v>
      </c>
      <c r="I327" s="503"/>
      <c r="J327" s="456">
        <v>8</v>
      </c>
      <c r="K327" s="456" t="s">
        <v>34</v>
      </c>
      <c r="L327" s="503"/>
    </row>
    <row r="328" spans="1:12" ht="15.8" customHeight="1" x14ac:dyDescent="0.2">
      <c r="A328" s="458" t="s">
        <v>10</v>
      </c>
      <c r="B328" s="458" t="s">
        <v>2162</v>
      </c>
      <c r="C328" s="573"/>
      <c r="D328" s="459">
        <v>46244</v>
      </c>
      <c r="E328" s="458" t="s">
        <v>1520</v>
      </c>
      <c r="F328" s="458" t="s">
        <v>5715</v>
      </c>
      <c r="G328" s="458" t="s">
        <v>5179</v>
      </c>
      <c r="H328" s="458" t="s">
        <v>5716</v>
      </c>
      <c r="I328" s="502"/>
      <c r="J328" s="458">
        <v>8</v>
      </c>
      <c r="K328" s="458" t="s">
        <v>34</v>
      </c>
      <c r="L328" s="502"/>
    </row>
    <row r="329" spans="1:12" ht="15.8" customHeight="1" x14ac:dyDescent="0.2">
      <c r="A329" s="456" t="s">
        <v>10</v>
      </c>
      <c r="B329" s="456" t="s">
        <v>2162</v>
      </c>
      <c r="C329" s="573"/>
      <c r="D329" s="457">
        <v>46244</v>
      </c>
      <c r="E329" s="456" t="s">
        <v>91</v>
      </c>
      <c r="F329" s="456" t="s">
        <v>5717</v>
      </c>
      <c r="G329" s="456" t="s">
        <v>5179</v>
      </c>
      <c r="H329" s="456" t="s">
        <v>5718</v>
      </c>
      <c r="I329" s="503"/>
      <c r="J329" s="456">
        <v>8</v>
      </c>
      <c r="K329" s="456" t="s">
        <v>34</v>
      </c>
      <c r="L329" s="503"/>
    </row>
    <row r="330" spans="1:12" ht="15.8" customHeight="1" x14ac:dyDescent="0.2">
      <c r="A330" s="458" t="s">
        <v>10</v>
      </c>
      <c r="B330" s="458" t="s">
        <v>2162</v>
      </c>
      <c r="C330" s="573"/>
      <c r="D330" s="459">
        <v>46244</v>
      </c>
      <c r="E330" s="458" t="s">
        <v>1516</v>
      </c>
      <c r="F330" s="458" t="s">
        <v>5719</v>
      </c>
      <c r="G330" s="458" t="s">
        <v>5179</v>
      </c>
      <c r="H330" s="458" t="s">
        <v>5720</v>
      </c>
      <c r="I330" s="502"/>
      <c r="J330" s="458">
        <v>8</v>
      </c>
      <c r="K330" s="458" t="s">
        <v>34</v>
      </c>
      <c r="L330" s="502"/>
    </row>
    <row r="331" spans="1:12" ht="15.8" customHeight="1" x14ac:dyDescent="0.2">
      <c r="A331" s="456" t="s">
        <v>10</v>
      </c>
      <c r="B331" s="456" t="s">
        <v>2162</v>
      </c>
      <c r="C331" s="573"/>
      <c r="D331" s="457">
        <v>46244</v>
      </c>
      <c r="E331" s="456" t="s">
        <v>1700</v>
      </c>
      <c r="F331" s="456" t="s">
        <v>5721</v>
      </c>
      <c r="G331" s="456" t="s">
        <v>5179</v>
      </c>
      <c r="H331" s="456" t="s">
        <v>5722</v>
      </c>
      <c r="I331" s="503"/>
      <c r="J331" s="456">
        <v>8</v>
      </c>
      <c r="K331" s="456" t="s">
        <v>34</v>
      </c>
      <c r="L331" s="503"/>
    </row>
    <row r="332" spans="1:12" ht="15.8" customHeight="1" x14ac:dyDescent="0.2">
      <c r="A332" s="458" t="s">
        <v>10</v>
      </c>
      <c r="B332" s="458" t="s">
        <v>2162</v>
      </c>
      <c r="C332" s="573"/>
      <c r="D332" s="459">
        <v>46244</v>
      </c>
      <c r="E332" s="458" t="s">
        <v>1520</v>
      </c>
      <c r="F332" s="458" t="s">
        <v>5179</v>
      </c>
      <c r="G332" s="502"/>
      <c r="H332" s="458" t="s">
        <v>5723</v>
      </c>
      <c r="I332" s="502"/>
      <c r="J332" s="458">
        <v>8</v>
      </c>
      <c r="K332" s="458" t="s">
        <v>34</v>
      </c>
      <c r="L332" s="502"/>
    </row>
    <row r="333" spans="1:12" ht="15.8" customHeight="1" x14ac:dyDescent="0.2">
      <c r="A333" s="456" t="s">
        <v>10</v>
      </c>
      <c r="B333" s="456" t="s">
        <v>2162</v>
      </c>
      <c r="C333" s="573"/>
      <c r="D333" s="457">
        <v>46244</v>
      </c>
      <c r="E333" s="456" t="s">
        <v>1010</v>
      </c>
      <c r="F333" s="456" t="s">
        <v>5724</v>
      </c>
      <c r="G333" s="456" t="s">
        <v>4940</v>
      </c>
      <c r="H333" s="456" t="s">
        <v>5725</v>
      </c>
      <c r="I333" s="503"/>
      <c r="J333" s="456">
        <v>8</v>
      </c>
      <c r="K333" s="456" t="s">
        <v>34</v>
      </c>
      <c r="L333" s="503"/>
    </row>
    <row r="334" spans="1:12" ht="15.8" customHeight="1" x14ac:dyDescent="0.2">
      <c r="A334" s="458" t="s">
        <v>10</v>
      </c>
      <c r="B334" s="458" t="s">
        <v>2162</v>
      </c>
      <c r="C334" s="573"/>
      <c r="D334" s="459">
        <v>46244</v>
      </c>
      <c r="E334" s="458" t="s">
        <v>91</v>
      </c>
      <c r="F334" s="458" t="s">
        <v>5726</v>
      </c>
      <c r="G334" s="458" t="s">
        <v>4940</v>
      </c>
      <c r="H334" s="458" t="s">
        <v>5727</v>
      </c>
      <c r="I334" s="502"/>
      <c r="J334" s="458">
        <v>8</v>
      </c>
      <c r="K334" s="458" t="s">
        <v>34</v>
      </c>
      <c r="L334" s="502"/>
    </row>
    <row r="335" spans="1:12" ht="15.8" customHeight="1" x14ac:dyDescent="0.2">
      <c r="A335" s="456" t="s">
        <v>10</v>
      </c>
      <c r="B335" s="456" t="s">
        <v>2162</v>
      </c>
      <c r="C335" s="573"/>
      <c r="D335" s="457">
        <v>46244</v>
      </c>
      <c r="E335" s="456" t="s">
        <v>1520</v>
      </c>
      <c r="F335" s="456" t="s">
        <v>4940</v>
      </c>
      <c r="G335" s="503"/>
      <c r="H335" s="456" t="s">
        <v>5728</v>
      </c>
      <c r="I335" s="503"/>
      <c r="J335" s="456">
        <v>8</v>
      </c>
      <c r="K335" s="456" t="s">
        <v>34</v>
      </c>
      <c r="L335" s="503"/>
    </row>
    <row r="336" spans="1:12" ht="15.8" customHeight="1" x14ac:dyDescent="0.2">
      <c r="A336" s="458" t="s">
        <v>10</v>
      </c>
      <c r="B336" s="458" t="s">
        <v>2162</v>
      </c>
      <c r="C336" s="573"/>
      <c r="D336" s="459">
        <v>46244</v>
      </c>
      <c r="E336" s="458" t="s">
        <v>91</v>
      </c>
      <c r="F336" s="458" t="s">
        <v>5729</v>
      </c>
      <c r="G336" s="458" t="s">
        <v>4940</v>
      </c>
      <c r="H336" s="458" t="s">
        <v>5730</v>
      </c>
      <c r="I336" s="502"/>
      <c r="J336" s="458">
        <v>8</v>
      </c>
      <c r="K336" s="458" t="s">
        <v>34</v>
      </c>
      <c r="L336" s="502"/>
    </row>
    <row r="337" spans="1:12" ht="15.8" customHeight="1" x14ac:dyDescent="0.2">
      <c r="A337" s="456" t="s">
        <v>10</v>
      </c>
      <c r="B337" s="456" t="s">
        <v>2162</v>
      </c>
      <c r="C337" s="573"/>
      <c r="D337" s="457">
        <v>46244</v>
      </c>
      <c r="E337" s="456" t="s">
        <v>1010</v>
      </c>
      <c r="F337" s="456" t="s">
        <v>5731</v>
      </c>
      <c r="G337" s="456" t="s">
        <v>5732</v>
      </c>
      <c r="H337" s="456" t="s">
        <v>5733</v>
      </c>
      <c r="I337" s="503"/>
      <c r="J337" s="456">
        <v>8</v>
      </c>
      <c r="K337" s="456" t="s">
        <v>34</v>
      </c>
      <c r="L337" s="503"/>
    </row>
    <row r="338" spans="1:12" ht="15.8" customHeight="1" x14ac:dyDescent="0.2">
      <c r="A338" s="458" t="s">
        <v>10</v>
      </c>
      <c r="B338" s="458" t="s">
        <v>2162</v>
      </c>
      <c r="C338" s="573"/>
      <c r="D338" s="459">
        <v>46244</v>
      </c>
      <c r="E338" s="458" t="s">
        <v>1010</v>
      </c>
      <c r="F338" s="458" t="s">
        <v>5734</v>
      </c>
      <c r="G338" s="458" t="s">
        <v>5735</v>
      </c>
      <c r="H338" s="458" t="s">
        <v>5736</v>
      </c>
      <c r="I338" s="502"/>
      <c r="J338" s="458">
        <v>8</v>
      </c>
      <c r="K338" s="458" t="s">
        <v>34</v>
      </c>
      <c r="L338" s="502"/>
    </row>
    <row r="339" spans="1:12" ht="15.8" customHeight="1" x14ac:dyDescent="0.2">
      <c r="A339" s="456" t="s">
        <v>10</v>
      </c>
      <c r="B339" s="456" t="s">
        <v>2162</v>
      </c>
      <c r="C339" s="573"/>
      <c r="D339" s="457">
        <v>46244</v>
      </c>
      <c r="E339" s="456" t="s">
        <v>5737</v>
      </c>
      <c r="F339" s="456" t="s">
        <v>5738</v>
      </c>
      <c r="G339" s="456" t="s">
        <v>355</v>
      </c>
      <c r="H339" s="456" t="s">
        <v>5739</v>
      </c>
      <c r="I339" s="456" t="s">
        <v>3864</v>
      </c>
      <c r="J339" s="456">
        <v>4</v>
      </c>
      <c r="K339" s="456" t="s">
        <v>192</v>
      </c>
      <c r="L339" s="456" t="s">
        <v>3864</v>
      </c>
    </row>
    <row r="340" spans="1:12" ht="15.8" customHeight="1" x14ac:dyDescent="0.2">
      <c r="A340" s="458" t="s">
        <v>10</v>
      </c>
      <c r="B340" s="458" t="s">
        <v>2162</v>
      </c>
      <c r="C340" s="573"/>
      <c r="D340" s="459">
        <v>46244</v>
      </c>
      <c r="E340" s="458" t="s">
        <v>91</v>
      </c>
      <c r="F340" s="458" t="s">
        <v>5740</v>
      </c>
      <c r="G340" s="458" t="s">
        <v>5741</v>
      </c>
      <c r="H340" s="458" t="s">
        <v>5742</v>
      </c>
      <c r="I340" s="502"/>
      <c r="J340" s="458">
        <v>5</v>
      </c>
      <c r="K340" s="458" t="s">
        <v>50</v>
      </c>
      <c r="L340" s="502"/>
    </row>
    <row r="341" spans="1:12" ht="15.8" customHeight="1" x14ac:dyDescent="0.2">
      <c r="A341" s="456" t="s">
        <v>10</v>
      </c>
      <c r="B341" s="456" t="s">
        <v>2162</v>
      </c>
      <c r="C341" s="573"/>
      <c r="D341" s="457">
        <v>46244</v>
      </c>
      <c r="E341" s="456" t="s">
        <v>534</v>
      </c>
      <c r="F341" s="456" t="s">
        <v>5743</v>
      </c>
      <c r="G341" s="456" t="s">
        <v>5744</v>
      </c>
      <c r="H341" s="456" t="s">
        <v>5745</v>
      </c>
      <c r="I341" s="456" t="s">
        <v>3864</v>
      </c>
      <c r="J341" s="456">
        <v>4</v>
      </c>
      <c r="K341" s="456" t="s">
        <v>192</v>
      </c>
      <c r="L341" s="456" t="s">
        <v>3864</v>
      </c>
    </row>
    <row r="342" spans="1:12" ht="15.8" customHeight="1" x14ac:dyDescent="0.2">
      <c r="A342" s="458" t="s">
        <v>10</v>
      </c>
      <c r="B342" s="458" t="s">
        <v>2162</v>
      </c>
      <c r="C342" s="573"/>
      <c r="D342" s="459">
        <v>46245</v>
      </c>
      <c r="E342" s="458" t="s">
        <v>1010</v>
      </c>
      <c r="F342" s="458" t="s">
        <v>4094</v>
      </c>
      <c r="G342" s="458" t="s">
        <v>32</v>
      </c>
      <c r="H342" s="458" t="s">
        <v>5746</v>
      </c>
      <c r="I342" s="502"/>
      <c r="J342" s="458">
        <v>5</v>
      </c>
      <c r="K342" s="458" t="s">
        <v>50</v>
      </c>
      <c r="L342" s="502"/>
    </row>
    <row r="343" spans="1:12" ht="15.8" customHeight="1" x14ac:dyDescent="0.2">
      <c r="A343" s="456" t="s">
        <v>10</v>
      </c>
      <c r="B343" s="456" t="s">
        <v>2162</v>
      </c>
      <c r="C343" s="573"/>
      <c r="D343" s="457">
        <v>46244</v>
      </c>
      <c r="E343" s="456" t="s">
        <v>534</v>
      </c>
      <c r="F343" s="456"/>
      <c r="G343" s="456" t="s">
        <v>5744</v>
      </c>
      <c r="H343" s="456" t="s">
        <v>5747</v>
      </c>
      <c r="I343" s="456" t="s">
        <v>3864</v>
      </c>
      <c r="J343" s="456">
        <v>4</v>
      </c>
      <c r="K343" s="456" t="s">
        <v>192</v>
      </c>
      <c r="L343" s="456" t="s">
        <v>3864</v>
      </c>
    </row>
    <row r="344" spans="1:12" ht="15.8" customHeight="1" x14ac:dyDescent="0.2">
      <c r="A344" s="458" t="s">
        <v>10</v>
      </c>
      <c r="B344" s="458" t="s">
        <v>2162</v>
      </c>
      <c r="C344" s="573"/>
      <c r="D344" s="459">
        <v>46245</v>
      </c>
      <c r="E344" s="458" t="s">
        <v>1010</v>
      </c>
      <c r="F344" s="458" t="s">
        <v>5748</v>
      </c>
      <c r="G344" s="458" t="s">
        <v>32</v>
      </c>
      <c r="H344" s="458" t="s">
        <v>5749</v>
      </c>
      <c r="I344" s="502"/>
      <c r="J344" s="458">
        <v>5</v>
      </c>
      <c r="K344" s="458" t="s">
        <v>50</v>
      </c>
      <c r="L344" s="502"/>
    </row>
    <row r="345" spans="1:12" ht="15.8" customHeight="1" x14ac:dyDescent="0.2">
      <c r="A345" s="456" t="s">
        <v>10</v>
      </c>
      <c r="B345" s="456" t="s">
        <v>2162</v>
      </c>
      <c r="C345" s="573"/>
      <c r="D345" s="457">
        <v>46245</v>
      </c>
      <c r="E345" s="456" t="s">
        <v>1520</v>
      </c>
      <c r="F345" s="456" t="s">
        <v>5750</v>
      </c>
      <c r="G345" s="503"/>
      <c r="H345" s="456" t="s">
        <v>5751</v>
      </c>
      <c r="I345" s="503"/>
      <c r="J345" s="456">
        <v>5</v>
      </c>
      <c r="K345" s="456" t="s">
        <v>50</v>
      </c>
      <c r="L345" s="503"/>
    </row>
    <row r="346" spans="1:12" ht="15.8" customHeight="1" x14ac:dyDescent="0.2">
      <c r="A346" s="458" t="s">
        <v>10</v>
      </c>
      <c r="B346" s="458" t="s">
        <v>2162</v>
      </c>
      <c r="C346" s="573"/>
      <c r="D346" s="459">
        <v>46245</v>
      </c>
      <c r="E346" s="458" t="s">
        <v>1520</v>
      </c>
      <c r="F346" s="458" t="s">
        <v>58</v>
      </c>
      <c r="G346" s="502"/>
      <c r="H346" s="458" t="s">
        <v>5752</v>
      </c>
      <c r="I346" s="502"/>
      <c r="J346" s="458">
        <v>5</v>
      </c>
      <c r="K346" s="458" t="s">
        <v>50</v>
      </c>
      <c r="L346" s="502"/>
    </row>
    <row r="347" spans="1:12" ht="15.8" customHeight="1" x14ac:dyDescent="0.2">
      <c r="A347" s="456" t="s">
        <v>10</v>
      </c>
      <c r="B347" s="456" t="s">
        <v>2162</v>
      </c>
      <c r="C347" s="573"/>
      <c r="D347" s="457">
        <v>46245</v>
      </c>
      <c r="E347" s="456" t="s">
        <v>534</v>
      </c>
      <c r="F347" s="456" t="s">
        <v>5753</v>
      </c>
      <c r="G347" s="456" t="s">
        <v>95</v>
      </c>
      <c r="H347" s="456" t="s">
        <v>5754</v>
      </c>
      <c r="I347" s="456" t="s">
        <v>3864</v>
      </c>
      <c r="J347" s="456">
        <v>4</v>
      </c>
      <c r="K347" s="456" t="s">
        <v>34</v>
      </c>
      <c r="L347" s="456" t="s">
        <v>3864</v>
      </c>
    </row>
    <row r="348" spans="1:12" ht="15.8" customHeight="1" x14ac:dyDescent="0.2">
      <c r="A348" s="458" t="s">
        <v>10</v>
      </c>
      <c r="B348" s="458" t="s">
        <v>2162</v>
      </c>
      <c r="C348" s="573"/>
      <c r="D348" s="459">
        <v>46245</v>
      </c>
      <c r="E348" s="458" t="s">
        <v>1010</v>
      </c>
      <c r="F348" s="458" t="s">
        <v>5755</v>
      </c>
      <c r="G348" s="502"/>
      <c r="H348" s="458" t="s">
        <v>5756</v>
      </c>
      <c r="I348" s="502"/>
      <c r="J348" s="458">
        <v>8</v>
      </c>
      <c r="K348" s="458" t="s">
        <v>50</v>
      </c>
      <c r="L348" s="502"/>
    </row>
    <row r="349" spans="1:12" ht="15.8" customHeight="1" x14ac:dyDescent="0.2">
      <c r="A349" s="456" t="s">
        <v>10</v>
      </c>
      <c r="B349" s="456" t="s">
        <v>2162</v>
      </c>
      <c r="C349" s="573"/>
      <c r="D349" s="457">
        <v>46245</v>
      </c>
      <c r="E349" s="456" t="s">
        <v>534</v>
      </c>
      <c r="F349" s="456" t="s">
        <v>5757</v>
      </c>
      <c r="G349" s="456" t="s">
        <v>1206</v>
      </c>
      <c r="H349" s="456" t="s">
        <v>5758</v>
      </c>
      <c r="I349" s="456" t="s">
        <v>3864</v>
      </c>
      <c r="J349" s="456">
        <v>4</v>
      </c>
      <c r="K349" s="456" t="s">
        <v>34</v>
      </c>
      <c r="L349" s="456" t="s">
        <v>3864</v>
      </c>
    </row>
    <row r="350" spans="1:12" ht="15.8" customHeight="1" x14ac:dyDescent="0.2">
      <c r="A350" s="458" t="s">
        <v>10</v>
      </c>
      <c r="B350" s="458" t="s">
        <v>2162</v>
      </c>
      <c r="C350" s="573"/>
      <c r="D350" s="459">
        <v>46245</v>
      </c>
      <c r="E350" s="458" t="s">
        <v>91</v>
      </c>
      <c r="F350" s="458" t="s">
        <v>5759</v>
      </c>
      <c r="G350" s="502"/>
      <c r="H350" s="458" t="s">
        <v>5760</v>
      </c>
      <c r="I350" s="502"/>
      <c r="J350" s="458">
        <v>5</v>
      </c>
      <c r="K350" s="458" t="s">
        <v>50</v>
      </c>
      <c r="L350" s="502"/>
    </row>
    <row r="351" spans="1:12" ht="15.8" customHeight="1" x14ac:dyDescent="0.2">
      <c r="A351" s="456" t="s">
        <v>10</v>
      </c>
      <c r="B351" s="456" t="s">
        <v>2162</v>
      </c>
      <c r="C351" s="573"/>
      <c r="D351" s="457">
        <v>46245</v>
      </c>
      <c r="E351" s="456" t="s">
        <v>1010</v>
      </c>
      <c r="F351" s="456" t="s">
        <v>5761</v>
      </c>
      <c r="G351" s="503"/>
      <c r="H351" s="456" t="s">
        <v>5762</v>
      </c>
      <c r="I351" s="503"/>
      <c r="J351" s="456">
        <v>5</v>
      </c>
      <c r="K351" s="456" t="s">
        <v>50</v>
      </c>
      <c r="L351" s="503"/>
    </row>
    <row r="352" spans="1:12" ht="15.8" customHeight="1" x14ac:dyDescent="0.2">
      <c r="A352" s="458" t="s">
        <v>10</v>
      </c>
      <c r="B352" s="458" t="s">
        <v>2162</v>
      </c>
      <c r="C352" s="573"/>
      <c r="D352" s="459">
        <v>46245</v>
      </c>
      <c r="E352" s="458" t="s">
        <v>534</v>
      </c>
      <c r="F352" s="458" t="s">
        <v>5763</v>
      </c>
      <c r="G352" s="458" t="s">
        <v>446</v>
      </c>
      <c r="H352" s="458" t="s">
        <v>5764</v>
      </c>
      <c r="I352" s="458" t="s">
        <v>3864</v>
      </c>
      <c r="J352" s="458">
        <v>4</v>
      </c>
      <c r="K352" s="458" t="s">
        <v>16</v>
      </c>
      <c r="L352" s="458" t="s">
        <v>3864</v>
      </c>
    </row>
    <row r="353" spans="1:12" ht="15.8" customHeight="1" x14ac:dyDescent="0.2">
      <c r="A353" s="456" t="s">
        <v>10</v>
      </c>
      <c r="B353" s="456" t="s">
        <v>2162</v>
      </c>
      <c r="C353" s="573"/>
      <c r="D353" s="457">
        <v>46245</v>
      </c>
      <c r="E353" s="456" t="s">
        <v>91</v>
      </c>
      <c r="F353" s="456" t="s">
        <v>5555</v>
      </c>
      <c r="G353" s="503"/>
      <c r="H353" s="456" t="s">
        <v>5765</v>
      </c>
      <c r="I353" s="503"/>
      <c r="J353" s="456">
        <v>4</v>
      </c>
      <c r="K353" s="456" t="s">
        <v>78</v>
      </c>
      <c r="L353" s="503"/>
    </row>
    <row r="354" spans="1:12" ht="15.8" customHeight="1" x14ac:dyDescent="0.2">
      <c r="A354" s="458" t="s">
        <v>10</v>
      </c>
      <c r="B354" s="458" t="s">
        <v>2162</v>
      </c>
      <c r="C354" s="573"/>
      <c r="D354" s="459">
        <v>46245</v>
      </c>
      <c r="E354" s="458" t="s">
        <v>534</v>
      </c>
      <c r="F354" s="458" t="s">
        <v>5766</v>
      </c>
      <c r="G354" s="458" t="s">
        <v>95</v>
      </c>
      <c r="H354" s="458" t="s">
        <v>5767</v>
      </c>
      <c r="I354" s="458" t="s">
        <v>3864</v>
      </c>
      <c r="J354" s="458">
        <v>8</v>
      </c>
      <c r="K354" s="458" t="s">
        <v>34</v>
      </c>
      <c r="L354" s="458" t="s">
        <v>3864</v>
      </c>
    </row>
    <row r="355" spans="1:12" ht="15.8" customHeight="1" x14ac:dyDescent="0.2">
      <c r="A355" s="456" t="s">
        <v>10</v>
      </c>
      <c r="B355" s="456" t="s">
        <v>2162</v>
      </c>
      <c r="C355" s="573"/>
      <c r="D355" s="457">
        <v>46245</v>
      </c>
      <c r="E355" s="456" t="s">
        <v>91</v>
      </c>
      <c r="F355" s="456" t="s">
        <v>5768</v>
      </c>
      <c r="G355" s="503"/>
      <c r="H355" s="456" t="s">
        <v>5769</v>
      </c>
      <c r="I355" s="503"/>
      <c r="J355" s="456">
        <v>4</v>
      </c>
      <c r="K355" s="456" t="s">
        <v>78</v>
      </c>
      <c r="L355" s="503"/>
    </row>
    <row r="356" spans="1:12" ht="15.8" customHeight="1" x14ac:dyDescent="0.2">
      <c r="A356" s="458" t="s">
        <v>10</v>
      </c>
      <c r="B356" s="458" t="s">
        <v>2162</v>
      </c>
      <c r="C356" s="573"/>
      <c r="D356" s="459">
        <v>46245</v>
      </c>
      <c r="E356" s="458" t="s">
        <v>1520</v>
      </c>
      <c r="F356" s="458" t="s">
        <v>5770</v>
      </c>
      <c r="G356" s="502"/>
      <c r="H356" s="458" t="s">
        <v>5771</v>
      </c>
      <c r="I356" s="502"/>
      <c r="J356" s="458">
        <v>4</v>
      </c>
      <c r="K356" s="458" t="s">
        <v>78</v>
      </c>
      <c r="L356" s="502"/>
    </row>
    <row r="357" spans="1:12" ht="15.8" customHeight="1" x14ac:dyDescent="0.2">
      <c r="A357" s="456" t="s">
        <v>10</v>
      </c>
      <c r="B357" s="456" t="s">
        <v>2162</v>
      </c>
      <c r="C357" s="573"/>
      <c r="D357" s="457">
        <v>46245</v>
      </c>
      <c r="E357" s="456" t="s">
        <v>534</v>
      </c>
      <c r="F357" s="456" t="s">
        <v>5772</v>
      </c>
      <c r="G357" s="456" t="s">
        <v>95</v>
      </c>
      <c r="H357" s="456" t="s">
        <v>5773</v>
      </c>
      <c r="I357" s="456" t="s">
        <v>3864</v>
      </c>
      <c r="J357" s="456">
        <v>8</v>
      </c>
      <c r="K357" s="456" t="s">
        <v>34</v>
      </c>
      <c r="L357" s="456" t="s">
        <v>3864</v>
      </c>
    </row>
    <row r="358" spans="1:12" ht="15.8" customHeight="1" x14ac:dyDescent="0.2">
      <c r="A358" s="458" t="s">
        <v>10</v>
      </c>
      <c r="B358" s="458" t="s">
        <v>2162</v>
      </c>
      <c r="C358" s="573"/>
      <c r="D358" s="459">
        <v>46245</v>
      </c>
      <c r="E358" s="458" t="s">
        <v>534</v>
      </c>
      <c r="F358" s="458" t="s">
        <v>5774</v>
      </c>
      <c r="G358" s="458" t="s">
        <v>95</v>
      </c>
      <c r="H358" s="458" t="s">
        <v>5775</v>
      </c>
      <c r="I358" s="458" t="s">
        <v>3864</v>
      </c>
      <c r="J358" s="458">
        <v>8</v>
      </c>
      <c r="K358" s="458" t="s">
        <v>34</v>
      </c>
      <c r="L358" s="458" t="s">
        <v>3864</v>
      </c>
    </row>
    <row r="359" spans="1:12" ht="15.8" customHeight="1" x14ac:dyDescent="0.2">
      <c r="A359" s="456" t="s">
        <v>10</v>
      </c>
      <c r="B359" s="456" t="s">
        <v>2162</v>
      </c>
      <c r="C359" s="573"/>
      <c r="D359" s="457">
        <v>46245</v>
      </c>
      <c r="E359" s="456" t="s">
        <v>5776</v>
      </c>
      <c r="F359" s="456" t="s">
        <v>5777</v>
      </c>
      <c r="G359" s="456" t="s">
        <v>95</v>
      </c>
      <c r="H359" s="456" t="s">
        <v>5778</v>
      </c>
      <c r="I359" s="456" t="s">
        <v>3864</v>
      </c>
      <c r="J359" s="456">
        <v>8</v>
      </c>
      <c r="K359" s="456" t="s">
        <v>34</v>
      </c>
      <c r="L359" s="456" t="s">
        <v>3864</v>
      </c>
    </row>
    <row r="360" spans="1:12" ht="15.8" customHeight="1" x14ac:dyDescent="0.2">
      <c r="A360" s="458" t="s">
        <v>10</v>
      </c>
      <c r="B360" s="458" t="s">
        <v>2162</v>
      </c>
      <c r="C360" s="573"/>
      <c r="D360" s="459">
        <v>46245</v>
      </c>
      <c r="E360" s="458" t="s">
        <v>1516</v>
      </c>
      <c r="F360" s="458" t="s">
        <v>5779</v>
      </c>
      <c r="G360" s="458" t="s">
        <v>5741</v>
      </c>
      <c r="H360" s="458" t="s">
        <v>5780</v>
      </c>
      <c r="I360" s="502"/>
      <c r="J360" s="458">
        <v>4</v>
      </c>
      <c r="K360" s="458" t="s">
        <v>78</v>
      </c>
      <c r="L360" s="502"/>
    </row>
    <row r="361" spans="1:12" ht="15.8" customHeight="1" x14ac:dyDescent="0.2">
      <c r="A361" s="456" t="s">
        <v>10</v>
      </c>
      <c r="B361" s="456" t="s">
        <v>2162</v>
      </c>
      <c r="C361" s="573"/>
      <c r="D361" s="457">
        <v>46245</v>
      </c>
      <c r="E361" s="456" t="s">
        <v>5781</v>
      </c>
      <c r="F361" s="456" t="s">
        <v>5782</v>
      </c>
      <c r="G361" s="456" t="s">
        <v>95</v>
      </c>
      <c r="H361" s="456" t="s">
        <v>5783</v>
      </c>
      <c r="I361" s="503"/>
      <c r="J361" s="456">
        <v>3</v>
      </c>
      <c r="K361" s="456" t="s">
        <v>16</v>
      </c>
      <c r="L361" s="503"/>
    </row>
    <row r="362" spans="1:12" ht="15.8" customHeight="1" x14ac:dyDescent="0.2">
      <c r="A362" s="458" t="s">
        <v>10</v>
      </c>
      <c r="B362" s="458" t="s">
        <v>2162</v>
      </c>
      <c r="C362" s="573"/>
      <c r="D362" s="459">
        <v>46245</v>
      </c>
      <c r="E362" s="458" t="s">
        <v>1520</v>
      </c>
      <c r="F362" s="458" t="s">
        <v>5784</v>
      </c>
      <c r="G362" s="458" t="s">
        <v>5741</v>
      </c>
      <c r="H362" s="458" t="s">
        <v>5785</v>
      </c>
      <c r="I362" s="502"/>
      <c r="J362" s="458">
        <v>4</v>
      </c>
      <c r="K362" s="458" t="s">
        <v>78</v>
      </c>
      <c r="L362" s="502"/>
    </row>
    <row r="363" spans="1:12" ht="15.8" customHeight="1" x14ac:dyDescent="0.2">
      <c r="A363" s="456" t="s">
        <v>10</v>
      </c>
      <c r="B363" s="456" t="s">
        <v>2162</v>
      </c>
      <c r="C363" s="573"/>
      <c r="D363" s="457">
        <v>46245</v>
      </c>
      <c r="E363" s="456" t="s">
        <v>829</v>
      </c>
      <c r="F363" s="456" t="s">
        <v>5786</v>
      </c>
      <c r="G363" s="503"/>
      <c r="H363" s="456" t="s">
        <v>5787</v>
      </c>
      <c r="I363" s="503"/>
      <c r="J363" s="456">
        <v>4</v>
      </c>
      <c r="K363" s="456" t="s">
        <v>78</v>
      </c>
      <c r="L363" s="503"/>
    </row>
    <row r="364" spans="1:12" ht="15.8" customHeight="1" x14ac:dyDescent="0.2">
      <c r="A364" s="458" t="s">
        <v>10</v>
      </c>
      <c r="B364" s="458" t="s">
        <v>2162</v>
      </c>
      <c r="C364" s="573"/>
      <c r="D364" s="459">
        <v>46245</v>
      </c>
      <c r="E364" s="458" t="s">
        <v>91</v>
      </c>
      <c r="F364" s="458" t="s">
        <v>5788</v>
      </c>
      <c r="G364" s="458" t="s">
        <v>150</v>
      </c>
      <c r="H364" s="458" t="s">
        <v>5789</v>
      </c>
      <c r="I364" s="502"/>
      <c r="J364" s="458">
        <v>4</v>
      </c>
      <c r="K364" s="458" t="s">
        <v>78</v>
      </c>
      <c r="L364" s="502"/>
    </row>
    <row r="365" spans="1:12" ht="15.8" customHeight="1" x14ac:dyDescent="0.2">
      <c r="A365" s="456" t="s">
        <v>10</v>
      </c>
      <c r="B365" s="456" t="s">
        <v>2162</v>
      </c>
      <c r="C365" s="573"/>
      <c r="D365" s="457">
        <v>46245</v>
      </c>
      <c r="E365" s="456" t="s">
        <v>829</v>
      </c>
      <c r="F365" s="456" t="s">
        <v>5790</v>
      </c>
      <c r="G365" s="456" t="s">
        <v>95</v>
      </c>
      <c r="H365" s="456" t="s">
        <v>5791</v>
      </c>
      <c r="I365" s="503"/>
      <c r="J365" s="456">
        <v>8</v>
      </c>
      <c r="K365" s="456" t="s">
        <v>34</v>
      </c>
      <c r="L365" s="503"/>
    </row>
    <row r="366" spans="1:12" ht="15.8" customHeight="1" x14ac:dyDescent="0.2">
      <c r="A366" s="458" t="s">
        <v>10</v>
      </c>
      <c r="B366" s="458" t="s">
        <v>2162</v>
      </c>
      <c r="C366" s="573"/>
      <c r="D366" s="459">
        <v>46245</v>
      </c>
      <c r="E366" s="458" t="s">
        <v>1010</v>
      </c>
      <c r="F366" s="458" t="s">
        <v>5792</v>
      </c>
      <c r="G366" s="458" t="s">
        <v>85</v>
      </c>
      <c r="H366" s="458" t="s">
        <v>5793</v>
      </c>
      <c r="I366" s="502"/>
      <c r="J366" s="458">
        <v>4</v>
      </c>
      <c r="K366" s="458" t="s">
        <v>78</v>
      </c>
      <c r="L366" s="502"/>
    </row>
    <row r="367" spans="1:12" ht="15.8" customHeight="1" x14ac:dyDescent="0.2">
      <c r="A367" s="456" t="s">
        <v>10</v>
      </c>
      <c r="B367" s="456" t="s">
        <v>2162</v>
      </c>
      <c r="C367" s="573"/>
      <c r="D367" s="457">
        <v>46245</v>
      </c>
      <c r="E367" s="456" t="s">
        <v>91</v>
      </c>
      <c r="F367" s="456" t="s">
        <v>5794</v>
      </c>
      <c r="G367" s="456" t="s">
        <v>95</v>
      </c>
      <c r="H367" s="456" t="s">
        <v>5795</v>
      </c>
      <c r="I367" s="503"/>
      <c r="J367" s="456">
        <v>8</v>
      </c>
      <c r="K367" s="456" t="s">
        <v>34</v>
      </c>
      <c r="L367" s="503"/>
    </row>
    <row r="368" spans="1:12" ht="15.8" customHeight="1" x14ac:dyDescent="0.2">
      <c r="A368" s="458" t="s">
        <v>10</v>
      </c>
      <c r="B368" s="458" t="s">
        <v>2162</v>
      </c>
      <c r="C368" s="573"/>
      <c r="D368" s="459">
        <v>46245</v>
      </c>
      <c r="E368" s="458" t="s">
        <v>91</v>
      </c>
      <c r="F368" s="458" t="s">
        <v>5796</v>
      </c>
      <c r="G368" s="502"/>
      <c r="H368" s="458" t="s">
        <v>5797</v>
      </c>
      <c r="I368" s="502"/>
      <c r="J368" s="458">
        <v>4</v>
      </c>
      <c r="K368" s="458" t="s">
        <v>78</v>
      </c>
      <c r="L368" s="502"/>
    </row>
    <row r="369" spans="1:12" ht="15.8" customHeight="1" x14ac:dyDescent="0.2">
      <c r="A369" s="456" t="s">
        <v>10</v>
      </c>
      <c r="B369" s="456" t="s">
        <v>2162</v>
      </c>
      <c r="C369" s="573"/>
      <c r="D369" s="457">
        <v>46245</v>
      </c>
      <c r="E369" s="456" t="s">
        <v>1520</v>
      </c>
      <c r="F369" s="456" t="s">
        <v>5798</v>
      </c>
      <c r="G369" s="456" t="s">
        <v>95</v>
      </c>
      <c r="H369" s="456" t="s">
        <v>5799</v>
      </c>
      <c r="I369" s="503"/>
      <c r="J369" s="456">
        <v>8</v>
      </c>
      <c r="K369" s="456" t="s">
        <v>34</v>
      </c>
      <c r="L369" s="503"/>
    </row>
    <row r="370" spans="1:12" ht="15.8" customHeight="1" x14ac:dyDescent="0.2">
      <c r="A370" s="458" t="s">
        <v>10</v>
      </c>
      <c r="B370" s="458" t="s">
        <v>2162</v>
      </c>
      <c r="C370" s="573"/>
      <c r="D370" s="459">
        <v>46245</v>
      </c>
      <c r="E370" s="458" t="s">
        <v>1520</v>
      </c>
      <c r="F370" s="458" t="s">
        <v>5800</v>
      </c>
      <c r="G370" s="458" t="s">
        <v>95</v>
      </c>
      <c r="H370" s="458" t="s">
        <v>5801</v>
      </c>
      <c r="I370" s="502"/>
      <c r="J370" s="458">
        <v>8</v>
      </c>
      <c r="K370" s="458" t="s">
        <v>34</v>
      </c>
      <c r="L370" s="502"/>
    </row>
    <row r="371" spans="1:12" ht="15.8" customHeight="1" x14ac:dyDescent="0.2">
      <c r="A371" s="456" t="s">
        <v>10</v>
      </c>
      <c r="B371" s="456" t="s">
        <v>2162</v>
      </c>
      <c r="C371" s="573"/>
      <c r="D371" s="457">
        <v>46245</v>
      </c>
      <c r="E371" s="456" t="s">
        <v>829</v>
      </c>
      <c r="F371" s="456" t="s">
        <v>5621</v>
      </c>
      <c r="G371" s="503"/>
      <c r="H371" s="456" t="s">
        <v>5802</v>
      </c>
      <c r="I371" s="503"/>
      <c r="J371" s="456">
        <v>4</v>
      </c>
      <c r="K371" s="456" t="s">
        <v>78</v>
      </c>
      <c r="L371" s="503"/>
    </row>
    <row r="372" spans="1:12" ht="15.8" customHeight="1" x14ac:dyDescent="0.2">
      <c r="A372" s="458" t="s">
        <v>10</v>
      </c>
      <c r="B372" s="458" t="s">
        <v>2162</v>
      </c>
      <c r="C372" s="573"/>
      <c r="D372" s="459">
        <v>46245</v>
      </c>
      <c r="E372" s="458" t="s">
        <v>829</v>
      </c>
      <c r="F372" s="458" t="s">
        <v>5803</v>
      </c>
      <c r="G372" s="502"/>
      <c r="H372" s="458" t="s">
        <v>5804</v>
      </c>
      <c r="I372" s="502"/>
      <c r="J372" s="458">
        <v>8</v>
      </c>
      <c r="K372" s="458" t="s">
        <v>34</v>
      </c>
      <c r="L372" s="502"/>
    </row>
    <row r="373" spans="1:12" ht="15.8" customHeight="1" x14ac:dyDescent="0.2">
      <c r="A373" s="456" t="s">
        <v>10</v>
      </c>
      <c r="B373" s="456" t="s">
        <v>2162</v>
      </c>
      <c r="C373" s="573"/>
      <c r="D373" s="457">
        <v>46245</v>
      </c>
      <c r="E373" s="456" t="s">
        <v>91</v>
      </c>
      <c r="F373" s="456" t="s">
        <v>5805</v>
      </c>
      <c r="G373" s="503"/>
      <c r="H373" s="456" t="s">
        <v>5806</v>
      </c>
      <c r="I373" s="503"/>
      <c r="J373" s="456">
        <v>4</v>
      </c>
      <c r="K373" s="456" t="s">
        <v>34</v>
      </c>
      <c r="L373" s="503"/>
    </row>
    <row r="374" spans="1:12" ht="15.8" customHeight="1" x14ac:dyDescent="0.2">
      <c r="A374" s="458" t="s">
        <v>10</v>
      </c>
      <c r="B374" s="458" t="s">
        <v>2162</v>
      </c>
      <c r="C374" s="573"/>
      <c r="D374" s="459">
        <v>46245</v>
      </c>
      <c r="E374" s="458" t="s">
        <v>829</v>
      </c>
      <c r="F374" s="458" t="s">
        <v>5807</v>
      </c>
      <c r="G374" s="502"/>
      <c r="H374" s="458" t="s">
        <v>5808</v>
      </c>
      <c r="I374" s="502"/>
      <c r="J374" s="458">
        <v>4</v>
      </c>
      <c r="K374" s="458" t="s">
        <v>78</v>
      </c>
      <c r="L374" s="502"/>
    </row>
    <row r="375" spans="1:12" ht="15.8" customHeight="1" x14ac:dyDescent="0.2">
      <c r="A375" s="456" t="s">
        <v>10</v>
      </c>
      <c r="B375" s="456" t="s">
        <v>2162</v>
      </c>
      <c r="C375" s="573"/>
      <c r="D375" s="457">
        <v>46245</v>
      </c>
      <c r="E375" s="456" t="s">
        <v>1520</v>
      </c>
      <c r="F375" s="456" t="s">
        <v>5809</v>
      </c>
      <c r="G375" s="456" t="s">
        <v>95</v>
      </c>
      <c r="H375" s="456" t="s">
        <v>5810</v>
      </c>
      <c r="I375" s="503"/>
      <c r="J375" s="456">
        <v>8</v>
      </c>
      <c r="K375" s="456" t="s">
        <v>34</v>
      </c>
      <c r="L375" s="503"/>
    </row>
    <row r="376" spans="1:12" ht="15.8" customHeight="1" x14ac:dyDescent="0.2">
      <c r="A376" s="458" t="s">
        <v>10</v>
      </c>
      <c r="B376" s="458" t="s">
        <v>2162</v>
      </c>
      <c r="C376" s="573"/>
      <c r="D376" s="459">
        <v>46245</v>
      </c>
      <c r="E376" s="458" t="s">
        <v>1520</v>
      </c>
      <c r="F376" s="458" t="s">
        <v>5811</v>
      </c>
      <c r="G376" s="458" t="s">
        <v>95</v>
      </c>
      <c r="H376" s="458" t="s">
        <v>5812</v>
      </c>
      <c r="I376" s="502"/>
      <c r="J376" s="458">
        <v>8</v>
      </c>
      <c r="K376" s="458" t="s">
        <v>34</v>
      </c>
      <c r="L376" s="502"/>
    </row>
    <row r="377" spans="1:12" ht="15.8" customHeight="1" x14ac:dyDescent="0.2">
      <c r="A377" s="456" t="s">
        <v>10</v>
      </c>
      <c r="B377" s="456" t="s">
        <v>2162</v>
      </c>
      <c r="C377" s="573"/>
      <c r="D377" s="457">
        <v>46245</v>
      </c>
      <c r="E377" s="456" t="s">
        <v>1516</v>
      </c>
      <c r="F377" s="456" t="s">
        <v>5813</v>
      </c>
      <c r="G377" s="503"/>
      <c r="H377" s="456" t="s">
        <v>5814</v>
      </c>
      <c r="I377" s="503"/>
      <c r="J377" s="456">
        <v>4</v>
      </c>
      <c r="K377" s="456" t="s">
        <v>78</v>
      </c>
      <c r="L377" s="503"/>
    </row>
    <row r="378" spans="1:12" ht="15.8" customHeight="1" x14ac:dyDescent="0.2">
      <c r="A378" s="458" t="s">
        <v>10</v>
      </c>
      <c r="B378" s="458" t="s">
        <v>2162</v>
      </c>
      <c r="C378" s="573"/>
      <c r="D378" s="459">
        <v>46245</v>
      </c>
      <c r="E378" s="458" t="s">
        <v>91</v>
      </c>
      <c r="F378" s="458" t="s">
        <v>5207</v>
      </c>
      <c r="G378" s="502"/>
      <c r="H378" s="458" t="s">
        <v>5815</v>
      </c>
      <c r="I378" s="502"/>
      <c r="J378" s="458">
        <v>4</v>
      </c>
      <c r="K378" s="458" t="s">
        <v>78</v>
      </c>
      <c r="L378" s="502"/>
    </row>
    <row r="379" spans="1:12" ht="15.8" customHeight="1" x14ac:dyDescent="0.2">
      <c r="A379" s="456" t="s">
        <v>10</v>
      </c>
      <c r="B379" s="456" t="s">
        <v>2162</v>
      </c>
      <c r="C379" s="573"/>
      <c r="D379" s="457">
        <v>46245</v>
      </c>
      <c r="E379" s="456" t="s">
        <v>91</v>
      </c>
      <c r="F379" s="456" t="s">
        <v>5816</v>
      </c>
      <c r="G379" s="503"/>
      <c r="H379" s="456" t="s">
        <v>5817</v>
      </c>
      <c r="I379" s="503"/>
      <c r="J379" s="456">
        <v>3</v>
      </c>
      <c r="K379" s="456" t="s">
        <v>16</v>
      </c>
      <c r="L379" s="503"/>
    </row>
    <row r="380" spans="1:12" ht="15.8" customHeight="1" x14ac:dyDescent="0.2">
      <c r="A380" s="458" t="s">
        <v>10</v>
      </c>
      <c r="B380" s="458" t="s">
        <v>2162</v>
      </c>
      <c r="C380" s="573"/>
      <c r="D380" s="459">
        <v>46245</v>
      </c>
      <c r="E380" s="458" t="s">
        <v>829</v>
      </c>
      <c r="F380" s="458" t="s">
        <v>5207</v>
      </c>
      <c r="G380" s="502"/>
      <c r="H380" s="458" t="s">
        <v>5818</v>
      </c>
      <c r="I380" s="502"/>
      <c r="J380" s="458">
        <v>4</v>
      </c>
      <c r="K380" s="458" t="s">
        <v>78</v>
      </c>
      <c r="L380" s="502"/>
    </row>
    <row r="381" spans="1:12" ht="15.8" customHeight="1" x14ac:dyDescent="0.2">
      <c r="A381" s="456" t="s">
        <v>10</v>
      </c>
      <c r="B381" s="456" t="s">
        <v>2162</v>
      </c>
      <c r="C381" s="573"/>
      <c r="D381" s="457">
        <v>46245</v>
      </c>
      <c r="E381" s="456" t="s">
        <v>91</v>
      </c>
      <c r="F381" s="456" t="s">
        <v>5819</v>
      </c>
      <c r="G381" s="503"/>
      <c r="H381" s="456" t="s">
        <v>5820</v>
      </c>
      <c r="I381" s="503"/>
      <c r="J381" s="456">
        <v>3</v>
      </c>
      <c r="K381" s="456" t="s">
        <v>16</v>
      </c>
      <c r="L381" s="503"/>
    </row>
    <row r="382" spans="1:12" ht="15.8" customHeight="1" x14ac:dyDescent="0.2">
      <c r="A382" s="458" t="s">
        <v>10</v>
      </c>
      <c r="B382" s="458" t="s">
        <v>2162</v>
      </c>
      <c r="C382" s="573"/>
      <c r="D382" s="459">
        <v>46245</v>
      </c>
      <c r="E382" s="458" t="s">
        <v>829</v>
      </c>
      <c r="F382" s="458" t="s">
        <v>5821</v>
      </c>
      <c r="G382" s="502"/>
      <c r="H382" s="458" t="s">
        <v>5822</v>
      </c>
      <c r="I382" s="502"/>
      <c r="J382" s="458">
        <v>3</v>
      </c>
      <c r="K382" s="458" t="s">
        <v>16</v>
      </c>
      <c r="L382" s="502"/>
    </row>
    <row r="383" spans="1:12" ht="15.8" customHeight="1" x14ac:dyDescent="0.2">
      <c r="A383" s="456" t="s">
        <v>10</v>
      </c>
      <c r="B383" s="456" t="s">
        <v>2162</v>
      </c>
      <c r="C383" s="573"/>
      <c r="D383" s="457">
        <v>46245</v>
      </c>
      <c r="E383" s="456" t="s">
        <v>91</v>
      </c>
      <c r="F383" s="456" t="s">
        <v>5823</v>
      </c>
      <c r="G383" s="503"/>
      <c r="H383" s="456" t="s">
        <v>5824</v>
      </c>
      <c r="I383" s="503"/>
      <c r="J383" s="456">
        <v>3</v>
      </c>
      <c r="K383" s="456" t="s">
        <v>16</v>
      </c>
      <c r="L383" s="503"/>
    </row>
    <row r="384" spans="1:12" ht="15.8" customHeight="1" x14ac:dyDescent="0.2">
      <c r="A384" s="458" t="s">
        <v>10</v>
      </c>
      <c r="B384" s="458" t="s">
        <v>2162</v>
      </c>
      <c r="C384" s="573"/>
      <c r="D384" s="459">
        <v>46245</v>
      </c>
      <c r="E384" s="458" t="s">
        <v>91</v>
      </c>
      <c r="F384" s="458" t="s">
        <v>292</v>
      </c>
      <c r="G384" s="502"/>
      <c r="H384" s="458" t="s">
        <v>5825</v>
      </c>
      <c r="I384" s="502"/>
      <c r="J384" s="458">
        <v>3</v>
      </c>
      <c r="K384" s="458" t="s">
        <v>16</v>
      </c>
      <c r="L384" s="502"/>
    </row>
    <row r="385" spans="1:12" ht="15.8" customHeight="1" x14ac:dyDescent="0.2">
      <c r="A385" s="456" t="s">
        <v>10</v>
      </c>
      <c r="B385" s="456" t="s">
        <v>2162</v>
      </c>
      <c r="C385" s="573"/>
      <c r="D385" s="457">
        <v>46245</v>
      </c>
      <c r="E385" s="456" t="s">
        <v>829</v>
      </c>
      <c r="F385" s="456" t="s">
        <v>5826</v>
      </c>
      <c r="G385" s="503"/>
      <c r="H385" s="456" t="s">
        <v>5827</v>
      </c>
      <c r="I385" s="503"/>
      <c r="J385" s="456">
        <v>3</v>
      </c>
      <c r="K385" s="456" t="s">
        <v>16</v>
      </c>
      <c r="L385" s="503"/>
    </row>
    <row r="386" spans="1:12" ht="15.8" customHeight="1" x14ac:dyDescent="0.2">
      <c r="A386" s="458" t="s">
        <v>10</v>
      </c>
      <c r="B386" s="458" t="s">
        <v>2162</v>
      </c>
      <c r="C386" s="573"/>
      <c r="D386" s="459">
        <v>46245</v>
      </c>
      <c r="E386" s="458" t="s">
        <v>1520</v>
      </c>
      <c r="F386" s="458" t="s">
        <v>5828</v>
      </c>
      <c r="G386" s="502"/>
      <c r="H386" s="458" t="s">
        <v>5829</v>
      </c>
      <c r="I386" s="502"/>
      <c r="J386" s="458">
        <v>3</v>
      </c>
      <c r="K386" s="458" t="s">
        <v>16</v>
      </c>
      <c r="L386" s="502"/>
    </row>
    <row r="387" spans="1:12" ht="15.8" customHeight="1" x14ac:dyDescent="0.2">
      <c r="A387" s="456" t="s">
        <v>10</v>
      </c>
      <c r="B387" s="456" t="s">
        <v>2162</v>
      </c>
      <c r="C387" s="573"/>
      <c r="D387" s="457">
        <v>46245</v>
      </c>
      <c r="E387" s="456" t="s">
        <v>1520</v>
      </c>
      <c r="F387" s="456" t="s">
        <v>5830</v>
      </c>
      <c r="G387" s="503"/>
      <c r="H387" s="456" t="s">
        <v>5831</v>
      </c>
      <c r="I387" s="503"/>
      <c r="J387" s="456">
        <v>4</v>
      </c>
      <c r="K387" s="456" t="s">
        <v>78</v>
      </c>
      <c r="L387" s="503"/>
    </row>
    <row r="388" spans="1:12" ht="15.8" customHeight="1" x14ac:dyDescent="0.2">
      <c r="A388" s="458" t="s">
        <v>10</v>
      </c>
      <c r="B388" s="458" t="s">
        <v>2162</v>
      </c>
      <c r="C388" s="573"/>
      <c r="D388" s="459">
        <v>46245</v>
      </c>
      <c r="E388" s="458" t="s">
        <v>91</v>
      </c>
      <c r="F388" s="458" t="s">
        <v>5832</v>
      </c>
      <c r="G388" s="502"/>
      <c r="H388" s="458" t="s">
        <v>5833</v>
      </c>
      <c r="I388" s="502"/>
      <c r="J388" s="458">
        <v>3</v>
      </c>
      <c r="K388" s="458" t="s">
        <v>16</v>
      </c>
      <c r="L388" s="502"/>
    </row>
    <row r="389" spans="1:12" ht="15.8" customHeight="1" x14ac:dyDescent="0.2">
      <c r="A389" s="456" t="s">
        <v>10</v>
      </c>
      <c r="B389" s="456" t="s">
        <v>2162</v>
      </c>
      <c r="C389" s="573"/>
      <c r="D389" s="457">
        <v>46245</v>
      </c>
      <c r="E389" s="456" t="s">
        <v>829</v>
      </c>
      <c r="F389" s="456" t="s">
        <v>5565</v>
      </c>
      <c r="G389" s="503"/>
      <c r="H389" s="456" t="s">
        <v>5834</v>
      </c>
      <c r="I389" s="503"/>
      <c r="J389" s="456">
        <v>4</v>
      </c>
      <c r="K389" s="456" t="s">
        <v>78</v>
      </c>
      <c r="L389" s="503"/>
    </row>
    <row r="390" spans="1:12" ht="15.8" customHeight="1" x14ac:dyDescent="0.2">
      <c r="A390" s="458" t="s">
        <v>10</v>
      </c>
      <c r="B390" s="458" t="s">
        <v>2162</v>
      </c>
      <c r="C390" s="573"/>
      <c r="D390" s="459">
        <v>46245</v>
      </c>
      <c r="E390" s="458" t="s">
        <v>829</v>
      </c>
      <c r="F390" s="458" t="s">
        <v>5835</v>
      </c>
      <c r="G390" s="502"/>
      <c r="H390" s="458" t="s">
        <v>5836</v>
      </c>
      <c r="I390" s="502"/>
      <c r="J390" s="458">
        <v>4</v>
      </c>
      <c r="K390" s="458" t="s">
        <v>78</v>
      </c>
      <c r="L390" s="502"/>
    </row>
    <row r="391" spans="1:12" ht="15.8" customHeight="1" x14ac:dyDescent="0.2">
      <c r="A391" s="456" t="s">
        <v>10</v>
      </c>
      <c r="B391" s="456" t="s">
        <v>2162</v>
      </c>
      <c r="C391" s="573"/>
      <c r="D391" s="457">
        <v>46245</v>
      </c>
      <c r="E391" s="456" t="s">
        <v>91</v>
      </c>
      <c r="F391" s="456" t="s">
        <v>5837</v>
      </c>
      <c r="G391" s="503"/>
      <c r="H391" s="456" t="s">
        <v>5838</v>
      </c>
      <c r="I391" s="503"/>
      <c r="J391" s="456">
        <v>3</v>
      </c>
      <c r="K391" s="456" t="s">
        <v>16</v>
      </c>
      <c r="L391" s="503"/>
    </row>
    <row r="392" spans="1:12" ht="15.8" customHeight="1" x14ac:dyDescent="0.2">
      <c r="A392" s="458" t="s">
        <v>10</v>
      </c>
      <c r="B392" s="458" t="s">
        <v>2162</v>
      </c>
      <c r="C392" s="573"/>
      <c r="D392" s="459">
        <v>46245</v>
      </c>
      <c r="E392" s="458" t="s">
        <v>91</v>
      </c>
      <c r="F392" s="458" t="s">
        <v>5839</v>
      </c>
      <c r="G392" s="502"/>
      <c r="H392" s="458" t="s">
        <v>5840</v>
      </c>
      <c r="I392" s="502"/>
      <c r="J392" s="458">
        <v>4</v>
      </c>
      <c r="K392" s="458" t="s">
        <v>78</v>
      </c>
      <c r="L392" s="502"/>
    </row>
    <row r="393" spans="1:12" ht="15.8" customHeight="1" x14ac:dyDescent="0.2">
      <c r="A393" s="456" t="s">
        <v>10</v>
      </c>
      <c r="B393" s="456" t="s">
        <v>2162</v>
      </c>
      <c r="C393" s="573"/>
      <c r="D393" s="457">
        <v>46245</v>
      </c>
      <c r="E393" s="456" t="s">
        <v>829</v>
      </c>
      <c r="F393" s="456" t="s">
        <v>5841</v>
      </c>
      <c r="G393" s="503"/>
      <c r="H393" s="456" t="s">
        <v>5827</v>
      </c>
      <c r="I393" s="503"/>
      <c r="J393" s="456">
        <v>3</v>
      </c>
      <c r="K393" s="456" t="s">
        <v>16</v>
      </c>
      <c r="L393" s="503"/>
    </row>
    <row r="394" spans="1:12" ht="15.8" customHeight="1" x14ac:dyDescent="0.2">
      <c r="A394" s="458" t="s">
        <v>10</v>
      </c>
      <c r="B394" s="458" t="s">
        <v>2162</v>
      </c>
      <c r="C394" s="573"/>
      <c r="D394" s="459">
        <v>46245</v>
      </c>
      <c r="E394" s="458" t="s">
        <v>829</v>
      </c>
      <c r="F394" s="458" t="s">
        <v>5842</v>
      </c>
      <c r="G394" s="502"/>
      <c r="H394" s="458" t="s">
        <v>5843</v>
      </c>
      <c r="I394" s="502"/>
      <c r="J394" s="458">
        <v>3</v>
      </c>
      <c r="K394" s="458" t="s">
        <v>16</v>
      </c>
      <c r="L394" s="502"/>
    </row>
    <row r="395" spans="1:12" ht="15.8" customHeight="1" x14ac:dyDescent="0.2">
      <c r="A395" s="456" t="s">
        <v>10</v>
      </c>
      <c r="B395" s="456" t="s">
        <v>2162</v>
      </c>
      <c r="C395" s="573"/>
      <c r="D395" s="457">
        <v>46245</v>
      </c>
      <c r="E395" s="456" t="s">
        <v>91</v>
      </c>
      <c r="F395" s="456" t="s">
        <v>5844</v>
      </c>
      <c r="G395" s="503"/>
      <c r="H395" s="456" t="s">
        <v>5845</v>
      </c>
      <c r="I395" s="503"/>
      <c r="J395" s="456">
        <v>3</v>
      </c>
      <c r="K395" s="456" t="s">
        <v>192</v>
      </c>
      <c r="L395" s="503"/>
    </row>
    <row r="396" spans="1:12" ht="15.8" customHeight="1" x14ac:dyDescent="0.2">
      <c r="A396" s="458" t="s">
        <v>10</v>
      </c>
      <c r="B396" s="458" t="s">
        <v>2162</v>
      </c>
      <c r="C396" s="573"/>
      <c r="D396" s="459">
        <v>46245</v>
      </c>
      <c r="E396" s="458" t="s">
        <v>829</v>
      </c>
      <c r="F396" s="458" t="s">
        <v>5846</v>
      </c>
      <c r="G396" s="502"/>
      <c r="H396" s="458" t="s">
        <v>5847</v>
      </c>
      <c r="I396" s="502"/>
      <c r="J396" s="458">
        <v>3</v>
      </c>
      <c r="K396" s="458" t="s">
        <v>16</v>
      </c>
      <c r="L396" s="502"/>
    </row>
    <row r="397" spans="1:12" ht="15.8" customHeight="1" x14ac:dyDescent="0.2">
      <c r="A397" s="456" t="s">
        <v>10</v>
      </c>
      <c r="B397" s="456" t="s">
        <v>2162</v>
      </c>
      <c r="C397" s="573"/>
      <c r="D397" s="457">
        <v>46245</v>
      </c>
      <c r="E397" s="456" t="s">
        <v>91</v>
      </c>
      <c r="F397" s="456" t="s">
        <v>5848</v>
      </c>
      <c r="G397" s="503"/>
      <c r="H397" s="456" t="s">
        <v>5758</v>
      </c>
      <c r="I397" s="503"/>
      <c r="J397" s="456">
        <v>3</v>
      </c>
      <c r="K397" s="456" t="s">
        <v>192</v>
      </c>
      <c r="L397" s="503"/>
    </row>
    <row r="398" spans="1:12" ht="15.8" customHeight="1" x14ac:dyDescent="0.2">
      <c r="A398" s="458" t="s">
        <v>10</v>
      </c>
      <c r="B398" s="458" t="s">
        <v>2162</v>
      </c>
      <c r="C398" s="573"/>
      <c r="D398" s="459">
        <v>46245</v>
      </c>
      <c r="E398" s="458" t="s">
        <v>829</v>
      </c>
      <c r="F398" s="458" t="s">
        <v>5504</v>
      </c>
      <c r="G398" s="502"/>
      <c r="H398" s="458" t="s">
        <v>5849</v>
      </c>
      <c r="I398" s="502"/>
      <c r="J398" s="458">
        <v>3</v>
      </c>
      <c r="K398" s="458" t="s">
        <v>192</v>
      </c>
      <c r="L398" s="502"/>
    </row>
    <row r="399" spans="1:12" ht="15.8" customHeight="1" x14ac:dyDescent="0.2">
      <c r="A399" s="456" t="s">
        <v>10</v>
      </c>
      <c r="B399" s="456" t="s">
        <v>2162</v>
      </c>
      <c r="C399" s="573"/>
      <c r="D399" s="457">
        <v>46245</v>
      </c>
      <c r="E399" s="456" t="s">
        <v>91</v>
      </c>
      <c r="F399" s="456" t="s">
        <v>5850</v>
      </c>
      <c r="G399" s="456" t="s">
        <v>355</v>
      </c>
      <c r="H399" s="456" t="s">
        <v>5851</v>
      </c>
      <c r="I399" s="503"/>
      <c r="J399" s="456">
        <v>3</v>
      </c>
      <c r="K399" s="456" t="s">
        <v>16</v>
      </c>
      <c r="L399" s="503"/>
    </row>
    <row r="400" spans="1:12" ht="15.8" customHeight="1" x14ac:dyDescent="0.2">
      <c r="A400" s="458" t="s">
        <v>10</v>
      </c>
      <c r="B400" s="458" t="s">
        <v>2162</v>
      </c>
      <c r="C400" s="573"/>
      <c r="D400" s="459">
        <v>46245</v>
      </c>
      <c r="E400" s="458" t="s">
        <v>91</v>
      </c>
      <c r="F400" s="458" t="s">
        <v>5852</v>
      </c>
      <c r="G400" s="502"/>
      <c r="H400" s="458" t="s">
        <v>5853</v>
      </c>
      <c r="I400" s="502"/>
      <c r="J400" s="458">
        <v>3</v>
      </c>
      <c r="K400" s="458" t="s">
        <v>192</v>
      </c>
      <c r="L400" s="502"/>
    </row>
    <row r="401" spans="1:12" ht="15.8" customHeight="1" x14ac:dyDescent="0.2">
      <c r="A401" s="456" t="s">
        <v>10</v>
      </c>
      <c r="B401" s="456" t="s">
        <v>2162</v>
      </c>
      <c r="C401" s="573"/>
      <c r="D401" s="457">
        <v>46245</v>
      </c>
      <c r="E401" s="456" t="s">
        <v>2376</v>
      </c>
      <c r="F401" s="456" t="s">
        <v>5854</v>
      </c>
      <c r="G401" s="456" t="s">
        <v>355</v>
      </c>
      <c r="H401" s="456" t="s">
        <v>5855</v>
      </c>
      <c r="I401" s="503"/>
      <c r="J401" s="456">
        <v>3</v>
      </c>
      <c r="K401" s="456" t="s">
        <v>16</v>
      </c>
      <c r="L401" s="503"/>
    </row>
    <row r="402" spans="1:12" ht="15.8" customHeight="1" x14ac:dyDescent="0.2">
      <c r="A402" s="458" t="s">
        <v>10</v>
      </c>
      <c r="B402" s="458" t="s">
        <v>2162</v>
      </c>
      <c r="C402" s="573"/>
      <c r="D402" s="459">
        <v>46245</v>
      </c>
      <c r="E402" s="458" t="s">
        <v>829</v>
      </c>
      <c r="F402" s="458" t="s">
        <v>5507</v>
      </c>
      <c r="G402" s="502"/>
      <c r="H402" s="458" t="s">
        <v>5853</v>
      </c>
      <c r="I402" s="502"/>
      <c r="J402" s="458">
        <v>3</v>
      </c>
      <c r="K402" s="458" t="s">
        <v>192</v>
      </c>
      <c r="L402" s="502"/>
    </row>
    <row r="403" spans="1:12" ht="15.8" customHeight="1" x14ac:dyDescent="0.2">
      <c r="A403" s="456" t="s">
        <v>10</v>
      </c>
      <c r="B403" s="456" t="s">
        <v>2162</v>
      </c>
      <c r="C403" s="573"/>
      <c r="D403" s="457">
        <v>46245</v>
      </c>
      <c r="E403" s="456" t="s">
        <v>829</v>
      </c>
      <c r="F403" s="456" t="s">
        <v>5856</v>
      </c>
      <c r="G403" s="456" t="s">
        <v>355</v>
      </c>
      <c r="H403" s="456" t="s">
        <v>5857</v>
      </c>
      <c r="I403" s="503"/>
      <c r="J403" s="456">
        <v>3</v>
      </c>
      <c r="K403" s="456" t="s">
        <v>16</v>
      </c>
      <c r="L403" s="503"/>
    </row>
    <row r="404" spans="1:12" ht="15.8" customHeight="1" x14ac:dyDescent="0.2">
      <c r="A404" s="458" t="s">
        <v>10</v>
      </c>
      <c r="B404" s="458" t="s">
        <v>2162</v>
      </c>
      <c r="C404" s="573"/>
      <c r="D404" s="459">
        <v>46245</v>
      </c>
      <c r="E404" s="458" t="s">
        <v>829</v>
      </c>
      <c r="F404" s="458" t="s">
        <v>5858</v>
      </c>
      <c r="G404" s="502"/>
      <c r="H404" s="458" t="s">
        <v>5859</v>
      </c>
      <c r="I404" s="502"/>
      <c r="J404" s="458">
        <v>3</v>
      </c>
      <c r="K404" s="458" t="s">
        <v>192</v>
      </c>
      <c r="L404" s="502"/>
    </row>
    <row r="405" spans="1:12" ht="15.8" customHeight="1" x14ac:dyDescent="0.2">
      <c r="A405" s="456" t="s">
        <v>10</v>
      </c>
      <c r="B405" s="456" t="s">
        <v>2162</v>
      </c>
      <c r="C405" s="573"/>
      <c r="D405" s="457">
        <v>46245</v>
      </c>
      <c r="E405" s="456" t="s">
        <v>829</v>
      </c>
      <c r="F405" s="456" t="s">
        <v>5860</v>
      </c>
      <c r="G405" s="456" t="s">
        <v>355</v>
      </c>
      <c r="H405" s="456" t="s">
        <v>5861</v>
      </c>
      <c r="I405" s="503"/>
      <c r="J405" s="456">
        <v>3</v>
      </c>
      <c r="K405" s="456" t="s">
        <v>16</v>
      </c>
      <c r="L405" s="503"/>
    </row>
    <row r="406" spans="1:12" ht="15.8" customHeight="1" x14ac:dyDescent="0.2">
      <c r="A406" s="458" t="s">
        <v>10</v>
      </c>
      <c r="B406" s="458" t="s">
        <v>2162</v>
      </c>
      <c r="C406" s="573"/>
      <c r="D406" s="459">
        <v>46245</v>
      </c>
      <c r="E406" s="458" t="s">
        <v>1516</v>
      </c>
      <c r="F406" s="458" t="s">
        <v>5862</v>
      </c>
      <c r="G406" s="502"/>
      <c r="H406" s="458" t="s">
        <v>5863</v>
      </c>
      <c r="I406" s="502"/>
      <c r="J406" s="458">
        <v>3</v>
      </c>
      <c r="K406" s="458" t="s">
        <v>34</v>
      </c>
      <c r="L406" s="502"/>
    </row>
    <row r="407" spans="1:12" ht="15.8" customHeight="1" x14ac:dyDescent="0.2">
      <c r="A407" s="456" t="s">
        <v>10</v>
      </c>
      <c r="B407" s="456" t="s">
        <v>2162</v>
      </c>
      <c r="C407" s="573"/>
      <c r="D407" s="457">
        <v>46245</v>
      </c>
      <c r="E407" s="456" t="s">
        <v>1010</v>
      </c>
      <c r="F407" s="456" t="s">
        <v>5512</v>
      </c>
      <c r="G407" s="503"/>
      <c r="H407" s="456" t="s">
        <v>5863</v>
      </c>
      <c r="I407" s="503"/>
      <c r="J407" s="456">
        <v>3</v>
      </c>
      <c r="K407" s="456" t="s">
        <v>34</v>
      </c>
      <c r="L407" s="503"/>
    </row>
    <row r="408" spans="1:12" ht="15.8" customHeight="1" x14ac:dyDescent="0.2">
      <c r="A408" s="458" t="s">
        <v>10</v>
      </c>
      <c r="B408" s="458" t="s">
        <v>2162</v>
      </c>
      <c r="C408" s="573"/>
      <c r="D408" s="459">
        <v>46245</v>
      </c>
      <c r="E408" s="458" t="s">
        <v>1010</v>
      </c>
      <c r="F408" s="458" t="s">
        <v>5864</v>
      </c>
      <c r="G408" s="502"/>
      <c r="H408" s="458" t="s">
        <v>5863</v>
      </c>
      <c r="I408" s="502"/>
      <c r="J408" s="458">
        <v>3</v>
      </c>
      <c r="K408" s="458" t="s">
        <v>192</v>
      </c>
      <c r="L408" s="502"/>
    </row>
    <row r="409" spans="1:12" ht="15.8" customHeight="1" x14ac:dyDescent="0.2">
      <c r="A409" s="456" t="s">
        <v>10</v>
      </c>
      <c r="B409" s="456" t="s">
        <v>2162</v>
      </c>
      <c r="C409" s="573"/>
      <c r="D409" s="457">
        <v>46245</v>
      </c>
      <c r="E409" s="456" t="s">
        <v>1520</v>
      </c>
      <c r="F409" s="456" t="s">
        <v>5865</v>
      </c>
      <c r="G409" s="456" t="s">
        <v>355</v>
      </c>
      <c r="H409" s="456" t="s">
        <v>5866</v>
      </c>
      <c r="I409" s="503"/>
      <c r="J409" s="456">
        <v>3</v>
      </c>
      <c r="K409" s="456" t="s">
        <v>192</v>
      </c>
      <c r="L409" s="503"/>
    </row>
    <row r="410" spans="1:12" ht="15.8" customHeight="1" x14ac:dyDescent="0.2">
      <c r="A410" s="458" t="s">
        <v>10</v>
      </c>
      <c r="B410" s="458" t="s">
        <v>2162</v>
      </c>
      <c r="C410" s="573"/>
      <c r="D410" s="459">
        <v>46245</v>
      </c>
      <c r="E410" s="458" t="s">
        <v>91</v>
      </c>
      <c r="F410" s="458" t="s">
        <v>5516</v>
      </c>
      <c r="G410" s="458" t="s">
        <v>355</v>
      </c>
      <c r="H410" s="458" t="s">
        <v>5867</v>
      </c>
      <c r="I410" s="502"/>
      <c r="J410" s="458">
        <v>3</v>
      </c>
      <c r="K410" s="458" t="s">
        <v>192</v>
      </c>
      <c r="L410" s="502"/>
    </row>
    <row r="411" spans="1:12" ht="15.8" customHeight="1" x14ac:dyDescent="0.2">
      <c r="A411" s="456" t="s">
        <v>10</v>
      </c>
      <c r="B411" s="456" t="s">
        <v>2162</v>
      </c>
      <c r="C411" s="573"/>
      <c r="D411" s="457">
        <v>46245</v>
      </c>
      <c r="E411" s="456" t="s">
        <v>1516</v>
      </c>
      <c r="F411" s="456" t="s">
        <v>5868</v>
      </c>
      <c r="G411" s="456" t="s">
        <v>355</v>
      </c>
      <c r="H411" s="456" t="s">
        <v>5869</v>
      </c>
      <c r="I411" s="503"/>
      <c r="J411" s="456">
        <v>3</v>
      </c>
      <c r="K411" s="456" t="s">
        <v>192</v>
      </c>
      <c r="L411" s="503"/>
    </row>
    <row r="412" spans="1:12" ht="15.8" customHeight="1" x14ac:dyDescent="0.2">
      <c r="A412" s="458" t="s">
        <v>10</v>
      </c>
      <c r="B412" s="458" t="s">
        <v>2162</v>
      </c>
      <c r="C412" s="573"/>
      <c r="D412" s="459">
        <v>46245</v>
      </c>
      <c r="E412" s="458" t="s">
        <v>1010</v>
      </c>
      <c r="F412" s="458" t="s">
        <v>5870</v>
      </c>
      <c r="G412" s="502"/>
      <c r="H412" s="458" t="s">
        <v>5871</v>
      </c>
      <c r="I412" s="502"/>
      <c r="J412" s="458">
        <v>3</v>
      </c>
      <c r="K412" s="458" t="s">
        <v>192</v>
      </c>
      <c r="L412" s="502"/>
    </row>
    <row r="413" spans="1:12" ht="15.8" customHeight="1" x14ac:dyDescent="0.2">
      <c r="A413" s="456" t="s">
        <v>10</v>
      </c>
      <c r="B413" s="456" t="s">
        <v>2162</v>
      </c>
      <c r="C413" s="573"/>
      <c r="D413" s="457">
        <v>46245</v>
      </c>
      <c r="E413" s="456" t="s">
        <v>1520</v>
      </c>
      <c r="F413" s="456" t="s">
        <v>5872</v>
      </c>
      <c r="G413" s="503"/>
      <c r="H413" s="456" t="s">
        <v>5873</v>
      </c>
      <c r="I413" s="503"/>
      <c r="J413" s="456">
        <v>3</v>
      </c>
      <c r="K413" s="456" t="s">
        <v>192</v>
      </c>
      <c r="L413" s="503"/>
    </row>
    <row r="414" spans="1:12" ht="15.8" customHeight="1" x14ac:dyDescent="0.2">
      <c r="A414" s="458" t="s">
        <v>10</v>
      </c>
      <c r="B414" s="458" t="s">
        <v>2162</v>
      </c>
      <c r="C414" s="573"/>
      <c r="D414" s="459">
        <v>46245</v>
      </c>
      <c r="E414" s="458" t="s">
        <v>1010</v>
      </c>
      <c r="F414" s="458" t="s">
        <v>5874</v>
      </c>
      <c r="G414" s="502"/>
      <c r="H414" s="458" t="s">
        <v>5875</v>
      </c>
      <c r="I414" s="502"/>
      <c r="J414" s="458">
        <v>3</v>
      </c>
      <c r="K414" s="458" t="s">
        <v>192</v>
      </c>
      <c r="L414" s="502"/>
    </row>
    <row r="415" spans="1:12" ht="15.8" customHeight="1" x14ac:dyDescent="0.2">
      <c r="A415" s="456" t="s">
        <v>10</v>
      </c>
      <c r="B415" s="456" t="s">
        <v>2162</v>
      </c>
      <c r="C415" s="573"/>
      <c r="D415" s="457">
        <v>46245</v>
      </c>
      <c r="E415" s="456" t="s">
        <v>829</v>
      </c>
      <c r="F415" s="456" t="s">
        <v>5874</v>
      </c>
      <c r="G415" s="503"/>
      <c r="H415" s="456" t="s">
        <v>5876</v>
      </c>
      <c r="I415" s="503"/>
      <c r="J415" s="456">
        <v>3</v>
      </c>
      <c r="K415" s="456" t="s">
        <v>192</v>
      </c>
      <c r="L415" s="503"/>
    </row>
    <row r="416" spans="1:12" ht="15.8" customHeight="1" x14ac:dyDescent="0.2">
      <c r="A416" s="458" t="s">
        <v>10</v>
      </c>
      <c r="B416" s="458" t="s">
        <v>2162</v>
      </c>
      <c r="C416" s="573"/>
      <c r="D416" s="459">
        <v>46245</v>
      </c>
      <c r="E416" s="458" t="s">
        <v>91</v>
      </c>
      <c r="F416" s="458" t="s">
        <v>5877</v>
      </c>
      <c r="G416" s="502"/>
      <c r="H416" s="458" t="s">
        <v>5878</v>
      </c>
      <c r="I416" s="502"/>
      <c r="J416" s="458">
        <v>3</v>
      </c>
      <c r="K416" s="458" t="s">
        <v>192</v>
      </c>
      <c r="L416" s="502"/>
    </row>
    <row r="417" spans="1:12" ht="15.8" customHeight="1" x14ac:dyDescent="0.2">
      <c r="A417" s="456" t="s">
        <v>10</v>
      </c>
      <c r="B417" s="456" t="s">
        <v>2162</v>
      </c>
      <c r="C417" s="573"/>
      <c r="D417" s="457">
        <v>46245</v>
      </c>
      <c r="E417" s="456" t="s">
        <v>1010</v>
      </c>
      <c r="F417" s="456" t="s">
        <v>5879</v>
      </c>
      <c r="G417" s="503"/>
      <c r="H417" s="456" t="s">
        <v>5880</v>
      </c>
      <c r="I417" s="503"/>
      <c r="J417" s="456">
        <v>3</v>
      </c>
      <c r="K417" s="456" t="s">
        <v>192</v>
      </c>
      <c r="L417" s="503"/>
    </row>
    <row r="418" spans="1:12" ht="15.8" customHeight="1" x14ac:dyDescent="0.2">
      <c r="A418" s="458" t="s">
        <v>10</v>
      </c>
      <c r="B418" s="458" t="s">
        <v>2162</v>
      </c>
      <c r="C418" s="573"/>
      <c r="D418" s="459">
        <v>46245</v>
      </c>
      <c r="E418" s="458" t="s">
        <v>91</v>
      </c>
      <c r="F418" s="458" t="s">
        <v>5881</v>
      </c>
      <c r="G418" s="502"/>
      <c r="H418" s="458" t="s">
        <v>5869</v>
      </c>
      <c r="I418" s="502"/>
      <c r="J418" s="458">
        <v>3</v>
      </c>
      <c r="K418" s="458" t="s">
        <v>192</v>
      </c>
      <c r="L418" s="502"/>
    </row>
    <row r="419" spans="1:12" ht="15.8" customHeight="1" x14ac:dyDescent="0.2">
      <c r="A419" s="456" t="s">
        <v>10</v>
      </c>
      <c r="B419" s="456" t="s">
        <v>2162</v>
      </c>
      <c r="C419" s="573"/>
      <c r="D419" s="457">
        <v>46245</v>
      </c>
      <c r="E419" s="456" t="s">
        <v>829</v>
      </c>
      <c r="F419" s="456" t="s">
        <v>292</v>
      </c>
      <c r="G419" s="503"/>
      <c r="H419" s="456" t="s">
        <v>5869</v>
      </c>
      <c r="I419" s="503"/>
      <c r="J419" s="456">
        <v>3</v>
      </c>
      <c r="K419" s="456" t="s">
        <v>192</v>
      </c>
      <c r="L419" s="503"/>
    </row>
    <row r="420" spans="1:12" ht="15.8" customHeight="1" x14ac:dyDescent="0.2">
      <c r="A420" s="458" t="s">
        <v>10</v>
      </c>
      <c r="B420" s="458" t="s">
        <v>2162</v>
      </c>
      <c r="C420" s="573"/>
      <c r="D420" s="459">
        <v>46245</v>
      </c>
      <c r="E420" s="458" t="s">
        <v>829</v>
      </c>
      <c r="F420" s="458" t="s">
        <v>5882</v>
      </c>
      <c r="G420" s="502"/>
      <c r="H420" s="458" t="s">
        <v>5883</v>
      </c>
      <c r="I420" s="502"/>
      <c r="J420" s="458">
        <v>3</v>
      </c>
      <c r="K420" s="458" t="s">
        <v>192</v>
      </c>
      <c r="L420" s="502"/>
    </row>
    <row r="421" spans="1:12" ht="15.8" customHeight="1" x14ac:dyDescent="0.2">
      <c r="A421" s="456" t="s">
        <v>10</v>
      </c>
      <c r="B421" s="456" t="s">
        <v>2162</v>
      </c>
      <c r="C421" s="573"/>
      <c r="D421" s="457">
        <v>46245</v>
      </c>
      <c r="E421" s="456" t="s">
        <v>5884</v>
      </c>
      <c r="F421" s="456" t="s">
        <v>5826</v>
      </c>
      <c r="G421" s="503"/>
      <c r="H421" s="456" t="s">
        <v>5869</v>
      </c>
      <c r="I421" s="503"/>
      <c r="J421" s="456">
        <v>3</v>
      </c>
      <c r="K421" s="456" t="s">
        <v>192</v>
      </c>
      <c r="L421" s="503"/>
    </row>
    <row r="422" spans="1:12" ht="15.8" customHeight="1" x14ac:dyDescent="0.2">
      <c r="A422" s="458" t="s">
        <v>10</v>
      </c>
      <c r="B422" s="458" t="s">
        <v>2162</v>
      </c>
      <c r="C422" s="573"/>
      <c r="D422" s="459">
        <v>46245</v>
      </c>
      <c r="E422" s="458" t="s">
        <v>829</v>
      </c>
      <c r="F422" s="458" t="s">
        <v>5828</v>
      </c>
      <c r="G422" s="502"/>
      <c r="H422" s="458" t="s">
        <v>5849</v>
      </c>
      <c r="I422" s="502"/>
      <c r="J422" s="458">
        <v>3</v>
      </c>
      <c r="K422" s="458" t="s">
        <v>192</v>
      </c>
      <c r="L422" s="502"/>
    </row>
    <row r="423" spans="1:12" ht="15.8" customHeight="1" x14ac:dyDescent="0.2">
      <c r="A423" s="456" t="s">
        <v>10</v>
      </c>
      <c r="B423" s="456" t="s">
        <v>2162</v>
      </c>
      <c r="C423" s="573"/>
      <c r="D423" s="457">
        <v>46245</v>
      </c>
      <c r="E423" s="456" t="s">
        <v>519</v>
      </c>
      <c r="F423" s="456" t="s">
        <v>5885</v>
      </c>
      <c r="G423" s="503"/>
      <c r="H423" s="456" t="s">
        <v>5886</v>
      </c>
      <c r="I423" s="503"/>
      <c r="J423" s="456">
        <v>4</v>
      </c>
      <c r="K423" s="456" t="s">
        <v>34</v>
      </c>
      <c r="L423" s="503"/>
    </row>
    <row r="424" spans="1:12" ht="15.8" customHeight="1" x14ac:dyDescent="0.2">
      <c r="A424" s="458" t="s">
        <v>10</v>
      </c>
      <c r="B424" s="458" t="s">
        <v>2162</v>
      </c>
      <c r="C424" s="573"/>
      <c r="D424" s="459">
        <v>46245</v>
      </c>
      <c r="E424" s="458" t="s">
        <v>519</v>
      </c>
      <c r="F424" s="458" t="s">
        <v>5887</v>
      </c>
      <c r="G424" s="502"/>
      <c r="H424" s="458" t="s">
        <v>5888</v>
      </c>
      <c r="I424" s="502"/>
      <c r="J424" s="458">
        <v>4</v>
      </c>
      <c r="K424" s="458" t="s">
        <v>34</v>
      </c>
      <c r="L424" s="502"/>
    </row>
    <row r="425" spans="1:12" ht="15.8" customHeight="1" x14ac:dyDescent="0.2">
      <c r="A425" s="456" t="s">
        <v>10</v>
      </c>
      <c r="B425" s="456" t="s">
        <v>2162</v>
      </c>
      <c r="C425" s="573"/>
      <c r="D425" s="457">
        <v>46245</v>
      </c>
      <c r="E425" s="456" t="s">
        <v>829</v>
      </c>
      <c r="F425" s="456" t="s">
        <v>5889</v>
      </c>
      <c r="G425" s="503"/>
      <c r="H425" s="456" t="s">
        <v>5890</v>
      </c>
      <c r="I425" s="503"/>
      <c r="J425" s="456">
        <v>3</v>
      </c>
      <c r="K425" s="456" t="s">
        <v>192</v>
      </c>
      <c r="L425" s="503"/>
    </row>
    <row r="426" spans="1:12" ht="15.8" customHeight="1" x14ac:dyDescent="0.2">
      <c r="A426" s="458" t="s">
        <v>10</v>
      </c>
      <c r="B426" s="458" t="s">
        <v>2162</v>
      </c>
      <c r="C426" s="573"/>
      <c r="D426" s="459">
        <v>46245</v>
      </c>
      <c r="E426" s="458" t="s">
        <v>2376</v>
      </c>
      <c r="F426" s="458" t="s">
        <v>5891</v>
      </c>
      <c r="G426" s="502"/>
      <c r="H426" s="458" t="s">
        <v>5827</v>
      </c>
      <c r="I426" s="502"/>
      <c r="J426" s="458">
        <v>4</v>
      </c>
      <c r="K426" s="458" t="s">
        <v>34</v>
      </c>
      <c r="L426" s="502"/>
    </row>
    <row r="427" spans="1:12" ht="15.8" customHeight="1" x14ac:dyDescent="0.2">
      <c r="A427" s="456" t="s">
        <v>10</v>
      </c>
      <c r="B427" s="456" t="s">
        <v>2162</v>
      </c>
      <c r="C427" s="573"/>
      <c r="D427" s="457">
        <v>46245</v>
      </c>
      <c r="E427" s="456" t="s">
        <v>829</v>
      </c>
      <c r="F427" s="456" t="s">
        <v>4094</v>
      </c>
      <c r="G427" s="456" t="s">
        <v>106</v>
      </c>
      <c r="H427" s="456" t="s">
        <v>5892</v>
      </c>
      <c r="I427" s="503"/>
      <c r="J427" s="456">
        <v>3</v>
      </c>
      <c r="K427" s="456" t="s">
        <v>78</v>
      </c>
      <c r="L427" s="503"/>
    </row>
    <row r="428" spans="1:12" ht="15.8" customHeight="1" x14ac:dyDescent="0.2">
      <c r="A428" s="458" t="s">
        <v>10</v>
      </c>
      <c r="B428" s="458" t="s">
        <v>2162</v>
      </c>
      <c r="C428" s="573"/>
      <c r="D428" s="459">
        <v>46245</v>
      </c>
      <c r="E428" s="458" t="s">
        <v>1520</v>
      </c>
      <c r="F428" s="458" t="s">
        <v>5893</v>
      </c>
      <c r="G428" s="458" t="s">
        <v>106</v>
      </c>
      <c r="H428" s="458" t="s">
        <v>5894</v>
      </c>
      <c r="I428" s="502"/>
      <c r="J428" s="458">
        <v>3</v>
      </c>
      <c r="K428" s="458" t="s">
        <v>78</v>
      </c>
      <c r="L428" s="502"/>
    </row>
    <row r="429" spans="1:12" ht="15.8" customHeight="1" x14ac:dyDescent="0.2">
      <c r="A429" s="456" t="s">
        <v>10</v>
      </c>
      <c r="B429" s="456" t="s">
        <v>2162</v>
      </c>
      <c r="C429" s="573"/>
      <c r="D429" s="457">
        <v>46245</v>
      </c>
      <c r="E429" s="456" t="s">
        <v>91</v>
      </c>
      <c r="F429" s="456" t="s">
        <v>5895</v>
      </c>
      <c r="G429" s="503"/>
      <c r="H429" s="456" t="s">
        <v>5896</v>
      </c>
      <c r="I429" s="503"/>
      <c r="J429" s="456">
        <v>4</v>
      </c>
      <c r="K429" s="456" t="s">
        <v>34</v>
      </c>
      <c r="L429" s="503"/>
    </row>
    <row r="430" spans="1:12" ht="15.8" customHeight="1" x14ac:dyDescent="0.2">
      <c r="A430" s="458" t="s">
        <v>10</v>
      </c>
      <c r="B430" s="458" t="s">
        <v>2162</v>
      </c>
      <c r="C430" s="573"/>
      <c r="D430" s="459">
        <v>46245</v>
      </c>
      <c r="E430" s="458" t="s">
        <v>1516</v>
      </c>
      <c r="F430" s="458" t="s">
        <v>5897</v>
      </c>
      <c r="G430" s="458" t="s">
        <v>217</v>
      </c>
      <c r="H430" s="458" t="s">
        <v>5898</v>
      </c>
      <c r="I430" s="502"/>
      <c r="J430" s="458">
        <v>3</v>
      </c>
      <c r="K430" s="458" t="s">
        <v>78</v>
      </c>
      <c r="L430" s="502"/>
    </row>
    <row r="431" spans="1:12" ht="15.8" customHeight="1" x14ac:dyDescent="0.2">
      <c r="A431" s="456" t="s">
        <v>10</v>
      </c>
      <c r="B431" s="456" t="s">
        <v>2162</v>
      </c>
      <c r="C431" s="573"/>
      <c r="D431" s="457">
        <v>46245</v>
      </c>
      <c r="E431" s="456" t="s">
        <v>2376</v>
      </c>
      <c r="F431" s="456" t="s">
        <v>5899</v>
      </c>
      <c r="G431" s="456" t="s">
        <v>95</v>
      </c>
      <c r="H431" s="456" t="s">
        <v>5900</v>
      </c>
      <c r="I431" s="503"/>
      <c r="J431" s="456">
        <v>4</v>
      </c>
      <c r="K431" s="456" t="s">
        <v>34</v>
      </c>
      <c r="L431" s="456" t="s">
        <v>5853</v>
      </c>
    </row>
    <row r="432" spans="1:12" ht="15.8" customHeight="1" x14ac:dyDescent="0.2">
      <c r="A432" s="458" t="s">
        <v>10</v>
      </c>
      <c r="B432" s="458" t="s">
        <v>2162</v>
      </c>
      <c r="C432" s="573"/>
      <c r="D432" s="459">
        <v>46245</v>
      </c>
      <c r="E432" s="458" t="s">
        <v>1520</v>
      </c>
      <c r="F432" s="458" t="s">
        <v>5901</v>
      </c>
      <c r="G432" s="502"/>
      <c r="H432" s="458" t="s">
        <v>5902</v>
      </c>
      <c r="I432" s="502"/>
      <c r="J432" s="458">
        <v>3</v>
      </c>
      <c r="K432" s="458" t="s">
        <v>78</v>
      </c>
      <c r="L432" s="502"/>
    </row>
    <row r="433" spans="1:12" ht="15.8" customHeight="1" x14ac:dyDescent="0.2">
      <c r="A433" s="456" t="s">
        <v>10</v>
      </c>
      <c r="B433" s="456" t="s">
        <v>2162</v>
      </c>
      <c r="C433" s="573"/>
      <c r="D433" s="457">
        <v>46245</v>
      </c>
      <c r="E433" s="456" t="s">
        <v>91</v>
      </c>
      <c r="F433" s="456" t="s">
        <v>5903</v>
      </c>
      <c r="G433" s="503"/>
      <c r="H433" s="456" t="s">
        <v>5904</v>
      </c>
      <c r="I433" s="503"/>
      <c r="J433" s="456">
        <v>4</v>
      </c>
      <c r="K433" s="456" t="s">
        <v>34</v>
      </c>
      <c r="L433" s="503"/>
    </row>
    <row r="434" spans="1:12" ht="15.8" customHeight="1" x14ac:dyDescent="0.2">
      <c r="A434" s="458" t="s">
        <v>10</v>
      </c>
      <c r="B434" s="458" t="s">
        <v>2162</v>
      </c>
      <c r="C434" s="573"/>
      <c r="D434" s="459">
        <v>46245</v>
      </c>
      <c r="E434" s="458" t="s">
        <v>1520</v>
      </c>
      <c r="F434" s="458" t="s">
        <v>5905</v>
      </c>
      <c r="G434" s="458" t="s">
        <v>85</v>
      </c>
      <c r="H434" s="458" t="s">
        <v>5906</v>
      </c>
      <c r="I434" s="502"/>
      <c r="J434" s="458">
        <v>3</v>
      </c>
      <c r="K434" s="458" t="s">
        <v>78</v>
      </c>
      <c r="L434" s="502"/>
    </row>
    <row r="435" spans="1:12" ht="15.8" customHeight="1" x14ac:dyDescent="0.2">
      <c r="A435" s="456" t="s">
        <v>10</v>
      </c>
      <c r="B435" s="456" t="s">
        <v>2162</v>
      </c>
      <c r="C435" s="573"/>
      <c r="D435" s="457">
        <v>46245</v>
      </c>
      <c r="E435" s="456" t="s">
        <v>519</v>
      </c>
      <c r="F435" s="456" t="s">
        <v>5907</v>
      </c>
      <c r="G435" s="503"/>
      <c r="H435" s="456" t="s">
        <v>5853</v>
      </c>
      <c r="I435" s="503"/>
      <c r="J435" s="456">
        <v>4</v>
      </c>
      <c r="K435" s="456" t="s">
        <v>34</v>
      </c>
      <c r="L435" s="503"/>
    </row>
    <row r="436" spans="1:12" ht="15.8" customHeight="1" x14ac:dyDescent="0.2">
      <c r="A436" s="458" t="s">
        <v>10</v>
      </c>
      <c r="B436" s="458" t="s">
        <v>2162</v>
      </c>
      <c r="C436" s="573"/>
      <c r="D436" s="459">
        <v>46245</v>
      </c>
      <c r="E436" s="458" t="s">
        <v>1520</v>
      </c>
      <c r="F436" s="458" t="s">
        <v>5908</v>
      </c>
      <c r="G436" s="458" t="s">
        <v>1343</v>
      </c>
      <c r="H436" s="458" t="s">
        <v>5909</v>
      </c>
      <c r="I436" s="502"/>
      <c r="J436" s="458">
        <v>3</v>
      </c>
      <c r="K436" s="458" t="s">
        <v>78</v>
      </c>
      <c r="L436" s="502"/>
    </row>
    <row r="437" spans="1:12" ht="15.8" customHeight="1" x14ac:dyDescent="0.2">
      <c r="A437" s="456" t="s">
        <v>10</v>
      </c>
      <c r="B437" s="456" t="s">
        <v>2162</v>
      </c>
      <c r="C437" s="573"/>
      <c r="D437" s="457">
        <v>46245</v>
      </c>
      <c r="E437" s="456" t="s">
        <v>1520</v>
      </c>
      <c r="F437" s="456" t="s">
        <v>5910</v>
      </c>
      <c r="G437" s="456" t="s">
        <v>5911</v>
      </c>
      <c r="H437" s="456" t="s">
        <v>5912</v>
      </c>
      <c r="I437" s="503"/>
      <c r="J437" s="456">
        <v>3</v>
      </c>
      <c r="K437" s="456" t="s">
        <v>78</v>
      </c>
      <c r="L437" s="503"/>
    </row>
    <row r="438" spans="1:12" ht="15.8" customHeight="1" x14ac:dyDescent="0.2">
      <c r="A438" s="458" t="s">
        <v>10</v>
      </c>
      <c r="B438" s="458" t="s">
        <v>2162</v>
      </c>
      <c r="C438" s="573"/>
      <c r="D438" s="459">
        <v>46245</v>
      </c>
      <c r="E438" s="458" t="s">
        <v>1520</v>
      </c>
      <c r="F438" s="458" t="s">
        <v>5913</v>
      </c>
      <c r="G438" s="502"/>
      <c r="H438" s="458" t="s">
        <v>5914</v>
      </c>
      <c r="I438" s="502"/>
      <c r="J438" s="458">
        <v>3</v>
      </c>
      <c r="K438" s="458" t="s">
        <v>78</v>
      </c>
      <c r="L438" s="502"/>
    </row>
    <row r="439" spans="1:12" ht="15.8" customHeight="1" x14ac:dyDescent="0.2">
      <c r="A439" s="456" t="s">
        <v>10</v>
      </c>
      <c r="B439" s="456" t="s">
        <v>2162</v>
      </c>
      <c r="C439" s="573"/>
      <c r="D439" s="457">
        <v>46245</v>
      </c>
      <c r="E439" s="456" t="s">
        <v>2376</v>
      </c>
      <c r="F439" s="456" t="s">
        <v>5915</v>
      </c>
      <c r="G439" s="456" t="s">
        <v>3983</v>
      </c>
      <c r="H439" s="456" t="s">
        <v>5916</v>
      </c>
      <c r="I439" s="503"/>
      <c r="J439" s="456">
        <v>4</v>
      </c>
      <c r="K439" s="456" t="s">
        <v>34</v>
      </c>
      <c r="L439" s="503"/>
    </row>
    <row r="440" spans="1:12" ht="15.8" customHeight="1" x14ac:dyDescent="0.2">
      <c r="A440" s="458" t="s">
        <v>10</v>
      </c>
      <c r="B440" s="458" t="s">
        <v>2162</v>
      </c>
      <c r="C440" s="573"/>
      <c r="D440" s="459">
        <v>46245</v>
      </c>
      <c r="E440" s="458" t="s">
        <v>1520</v>
      </c>
      <c r="F440" s="458" t="s">
        <v>5917</v>
      </c>
      <c r="G440" s="458" t="s">
        <v>21</v>
      </c>
      <c r="H440" s="458" t="s">
        <v>5918</v>
      </c>
      <c r="I440" s="502"/>
      <c r="J440" s="458">
        <v>3</v>
      </c>
      <c r="K440" s="458" t="s">
        <v>78</v>
      </c>
      <c r="L440" s="502"/>
    </row>
    <row r="441" spans="1:12" ht="15.8" customHeight="1" x14ac:dyDescent="0.2">
      <c r="A441" s="456" t="s">
        <v>10</v>
      </c>
      <c r="B441" s="456" t="s">
        <v>2162</v>
      </c>
      <c r="C441" s="573"/>
      <c r="D441" s="457">
        <v>46245</v>
      </c>
      <c r="E441" s="456" t="s">
        <v>519</v>
      </c>
      <c r="F441" s="456" t="s">
        <v>5919</v>
      </c>
      <c r="G441" s="456" t="s">
        <v>3983</v>
      </c>
      <c r="H441" s="456" t="s">
        <v>5920</v>
      </c>
      <c r="I441" s="503"/>
      <c r="J441" s="456">
        <v>4</v>
      </c>
      <c r="K441" s="456" t="s">
        <v>34</v>
      </c>
      <c r="L441" s="503"/>
    </row>
    <row r="442" spans="1:12" ht="15.8" customHeight="1" x14ac:dyDescent="0.2">
      <c r="A442" s="458" t="s">
        <v>10</v>
      </c>
      <c r="B442" s="458" t="s">
        <v>2162</v>
      </c>
      <c r="C442" s="573"/>
      <c r="D442" s="459">
        <v>46245</v>
      </c>
      <c r="E442" s="458" t="s">
        <v>1520</v>
      </c>
      <c r="F442" s="458" t="s">
        <v>5921</v>
      </c>
      <c r="G442" s="458" t="s">
        <v>95</v>
      </c>
      <c r="H442" s="458" t="s">
        <v>5922</v>
      </c>
      <c r="I442" s="502"/>
      <c r="J442" s="458">
        <v>3</v>
      </c>
      <c r="K442" s="458" t="s">
        <v>78</v>
      </c>
      <c r="L442" s="502"/>
    </row>
    <row r="443" spans="1:12" ht="15.8" customHeight="1" x14ac:dyDescent="0.2">
      <c r="A443" s="456" t="s">
        <v>10</v>
      </c>
      <c r="B443" s="456" t="s">
        <v>2162</v>
      </c>
      <c r="C443" s="573"/>
      <c r="D443" s="457">
        <v>46245</v>
      </c>
      <c r="E443" s="456" t="s">
        <v>1700</v>
      </c>
      <c r="F443" s="456" t="s">
        <v>5923</v>
      </c>
      <c r="G443" s="503"/>
      <c r="H443" s="456" t="s">
        <v>5924</v>
      </c>
      <c r="I443" s="503"/>
      <c r="J443" s="456">
        <v>4</v>
      </c>
      <c r="K443" s="456" t="s">
        <v>34</v>
      </c>
      <c r="L443" s="503"/>
    </row>
    <row r="444" spans="1:12" ht="15.8" customHeight="1" x14ac:dyDescent="0.2">
      <c r="A444" s="458" t="s">
        <v>10</v>
      </c>
      <c r="B444" s="458" t="s">
        <v>2162</v>
      </c>
      <c r="C444" s="573"/>
      <c r="D444" s="459">
        <v>46245</v>
      </c>
      <c r="E444" s="458" t="s">
        <v>2339</v>
      </c>
      <c r="F444" s="458" t="s">
        <v>5925</v>
      </c>
      <c r="G444" s="458" t="s">
        <v>95</v>
      </c>
      <c r="H444" s="458" t="s">
        <v>5926</v>
      </c>
      <c r="I444" s="502"/>
      <c r="J444" s="458">
        <v>4</v>
      </c>
      <c r="K444" s="458" t="s">
        <v>34</v>
      </c>
      <c r="L444" s="502"/>
    </row>
    <row r="445" spans="1:12" ht="15.8" customHeight="1" x14ac:dyDescent="0.2">
      <c r="A445" s="456" t="s">
        <v>10</v>
      </c>
      <c r="B445" s="456" t="s">
        <v>2162</v>
      </c>
      <c r="C445" s="573"/>
      <c r="D445" s="457">
        <v>46245</v>
      </c>
      <c r="E445" s="456" t="s">
        <v>519</v>
      </c>
      <c r="F445" s="456" t="s">
        <v>5925</v>
      </c>
      <c r="G445" s="456" t="s">
        <v>95</v>
      </c>
      <c r="H445" s="456" t="s">
        <v>5927</v>
      </c>
      <c r="I445" s="503"/>
      <c r="J445" s="456">
        <v>4</v>
      </c>
      <c r="K445" s="456" t="s">
        <v>34</v>
      </c>
      <c r="L445" s="503"/>
    </row>
    <row r="446" spans="1:12" ht="15.8" customHeight="1" x14ac:dyDescent="0.2">
      <c r="A446" s="458" t="s">
        <v>146</v>
      </c>
      <c r="B446" s="458" t="s">
        <v>11</v>
      </c>
      <c r="C446" s="573"/>
      <c r="D446" s="459">
        <v>46245</v>
      </c>
      <c r="E446" s="458" t="s">
        <v>91</v>
      </c>
      <c r="F446" s="458" t="s">
        <v>5555</v>
      </c>
      <c r="G446" s="502"/>
      <c r="H446" s="458" t="s">
        <v>844</v>
      </c>
      <c r="I446" s="502"/>
      <c r="J446" s="458">
        <v>3</v>
      </c>
      <c r="K446" s="458" t="s">
        <v>192</v>
      </c>
      <c r="L446" s="502"/>
    </row>
    <row r="447" spans="1:12" ht="15.8" customHeight="1" x14ac:dyDescent="0.2">
      <c r="A447" s="456" t="s">
        <v>10</v>
      </c>
      <c r="B447" s="456" t="s">
        <v>2162</v>
      </c>
      <c r="C447" s="573"/>
      <c r="D447" s="457">
        <v>46245</v>
      </c>
      <c r="E447" s="456" t="s">
        <v>534</v>
      </c>
      <c r="F447" s="456" t="s">
        <v>5928</v>
      </c>
      <c r="G447" s="503"/>
      <c r="H447" s="456" t="s">
        <v>5929</v>
      </c>
      <c r="I447" s="456" t="s">
        <v>3864</v>
      </c>
      <c r="J447" s="456">
        <v>4</v>
      </c>
      <c r="K447" s="456" t="s">
        <v>34</v>
      </c>
      <c r="L447" s="456" t="s">
        <v>3864</v>
      </c>
    </row>
    <row r="448" spans="1:12" ht="15.8" customHeight="1" x14ac:dyDescent="0.2">
      <c r="A448" s="458" t="s">
        <v>10</v>
      </c>
      <c r="B448" s="458" t="s">
        <v>2162</v>
      </c>
      <c r="C448" s="573"/>
      <c r="D448" s="459">
        <v>46245</v>
      </c>
      <c r="E448" s="458" t="s">
        <v>1981</v>
      </c>
      <c r="F448" s="458" t="s">
        <v>5870</v>
      </c>
      <c r="G448" s="502"/>
      <c r="H448" s="458" t="s">
        <v>5930</v>
      </c>
      <c r="I448" s="458" t="s">
        <v>3864</v>
      </c>
      <c r="J448" s="458">
        <v>4</v>
      </c>
      <c r="K448" s="458" t="s">
        <v>34</v>
      </c>
      <c r="L448" s="458" t="s">
        <v>3864</v>
      </c>
    </row>
    <row r="449" spans="1:12" ht="15.8" customHeight="1" x14ac:dyDescent="0.2">
      <c r="A449" s="456" t="s">
        <v>10</v>
      </c>
      <c r="B449" s="456" t="s">
        <v>2162</v>
      </c>
      <c r="C449" s="573"/>
      <c r="D449" s="457">
        <v>46245</v>
      </c>
      <c r="E449" s="456" t="s">
        <v>5931</v>
      </c>
      <c r="F449" s="456" t="s">
        <v>5932</v>
      </c>
      <c r="G449" s="503"/>
      <c r="H449" s="456" t="s">
        <v>5933</v>
      </c>
      <c r="I449" s="503"/>
      <c r="J449" s="456">
        <v>3</v>
      </c>
      <c r="K449" s="456" t="s">
        <v>34</v>
      </c>
      <c r="L449" s="503"/>
    </row>
    <row r="450" spans="1:12" ht="15.8" customHeight="1" x14ac:dyDescent="0.2">
      <c r="A450" s="458" t="s">
        <v>10</v>
      </c>
      <c r="B450" s="458" t="s">
        <v>2162</v>
      </c>
      <c r="C450" s="573"/>
      <c r="D450" s="459">
        <v>46245</v>
      </c>
      <c r="E450" s="458" t="s">
        <v>2339</v>
      </c>
      <c r="F450" s="458" t="s">
        <v>5934</v>
      </c>
      <c r="G450" s="458" t="s">
        <v>95</v>
      </c>
      <c r="H450" s="458" t="s">
        <v>5935</v>
      </c>
      <c r="I450" s="502"/>
      <c r="J450" s="458">
        <v>4</v>
      </c>
      <c r="K450" s="458" t="s">
        <v>34</v>
      </c>
      <c r="L450" s="502"/>
    </row>
    <row r="451" spans="1:12" ht="15.8" customHeight="1" x14ac:dyDescent="0.2">
      <c r="A451" s="456" t="s">
        <v>10</v>
      </c>
      <c r="B451" s="456" t="s">
        <v>2162</v>
      </c>
      <c r="C451" s="573"/>
      <c r="D451" s="457">
        <v>46245</v>
      </c>
      <c r="E451" s="456" t="s">
        <v>5936</v>
      </c>
      <c r="F451" s="456" t="s">
        <v>5937</v>
      </c>
      <c r="G451" s="503"/>
      <c r="H451" s="456" t="s">
        <v>5938</v>
      </c>
      <c r="I451" s="503"/>
      <c r="J451" s="456">
        <v>3</v>
      </c>
      <c r="K451" s="456" t="s">
        <v>34</v>
      </c>
      <c r="L451" s="503"/>
    </row>
    <row r="452" spans="1:12" ht="15.8" customHeight="1" x14ac:dyDescent="0.2">
      <c r="A452" s="458" t="s">
        <v>10</v>
      </c>
      <c r="B452" s="458" t="s">
        <v>2162</v>
      </c>
      <c r="C452" s="573"/>
      <c r="D452" s="459">
        <v>46245</v>
      </c>
      <c r="E452" s="458" t="s">
        <v>534</v>
      </c>
      <c r="F452" s="458" t="s">
        <v>5939</v>
      </c>
      <c r="G452" s="502"/>
      <c r="H452" s="458" t="s">
        <v>5940</v>
      </c>
      <c r="I452" s="502"/>
      <c r="J452" s="458">
        <v>4</v>
      </c>
      <c r="K452" s="458" t="s">
        <v>34</v>
      </c>
      <c r="L452" s="502"/>
    </row>
    <row r="453" spans="1:12" ht="15.8" customHeight="1" x14ac:dyDescent="0.2">
      <c r="A453" s="456" t="s">
        <v>10</v>
      </c>
      <c r="B453" s="456" t="s">
        <v>2162</v>
      </c>
      <c r="C453" s="573"/>
      <c r="D453" s="457">
        <v>46245</v>
      </c>
      <c r="E453" s="456" t="s">
        <v>1520</v>
      </c>
      <c r="F453" s="456" t="s">
        <v>5941</v>
      </c>
      <c r="G453" s="503"/>
      <c r="H453" s="456" t="s">
        <v>5942</v>
      </c>
      <c r="I453" s="503"/>
      <c r="J453" s="456">
        <v>3</v>
      </c>
      <c r="K453" s="456" t="s">
        <v>192</v>
      </c>
      <c r="L453" s="503"/>
    </row>
    <row r="454" spans="1:12" ht="15.8" customHeight="1" x14ac:dyDescent="0.2">
      <c r="A454" s="458" t="s">
        <v>10</v>
      </c>
      <c r="B454" s="458" t="s">
        <v>2162</v>
      </c>
      <c r="C454" s="573"/>
      <c r="D454" s="459">
        <v>46245</v>
      </c>
      <c r="E454" s="458" t="s">
        <v>2376</v>
      </c>
      <c r="F454" s="458" t="s">
        <v>5943</v>
      </c>
      <c r="G454" s="502"/>
      <c r="H454" s="458" t="s">
        <v>5944</v>
      </c>
      <c r="I454" s="502"/>
      <c r="J454" s="458">
        <v>4</v>
      </c>
      <c r="K454" s="458" t="s">
        <v>34</v>
      </c>
      <c r="L454" s="502"/>
    </row>
    <row r="455" spans="1:12" ht="15.8" customHeight="1" x14ac:dyDescent="0.2">
      <c r="A455" s="456" t="s">
        <v>10</v>
      </c>
      <c r="B455" s="456" t="s">
        <v>2162</v>
      </c>
      <c r="C455" s="573"/>
      <c r="D455" s="457">
        <v>46245</v>
      </c>
      <c r="E455" s="456" t="s">
        <v>5945</v>
      </c>
      <c r="F455" s="456" t="s">
        <v>5946</v>
      </c>
      <c r="G455" s="503"/>
      <c r="H455" s="456" t="s">
        <v>5947</v>
      </c>
      <c r="I455" s="503"/>
      <c r="J455" s="456">
        <v>5</v>
      </c>
      <c r="K455" s="456" t="s">
        <v>16</v>
      </c>
      <c r="L455" s="503"/>
    </row>
    <row r="456" spans="1:12" ht="15.8" customHeight="1" x14ac:dyDescent="0.2">
      <c r="A456" s="458" t="s">
        <v>10</v>
      </c>
      <c r="B456" s="458" t="s">
        <v>2162</v>
      </c>
      <c r="C456" s="573"/>
      <c r="D456" s="459">
        <v>46245</v>
      </c>
      <c r="E456" s="458" t="s">
        <v>1520</v>
      </c>
      <c r="F456" s="458" t="s">
        <v>5948</v>
      </c>
      <c r="G456" s="458" t="s">
        <v>831</v>
      </c>
      <c r="H456" s="458" t="s">
        <v>5829</v>
      </c>
      <c r="I456" s="502"/>
      <c r="J456" s="458">
        <v>3</v>
      </c>
      <c r="K456" s="458" t="s">
        <v>192</v>
      </c>
      <c r="L456" s="502"/>
    </row>
    <row r="457" spans="1:12" ht="15.8" customHeight="1" x14ac:dyDescent="0.2">
      <c r="A457" s="456" t="s">
        <v>10</v>
      </c>
      <c r="B457" s="456" t="s">
        <v>2162</v>
      </c>
      <c r="C457" s="573"/>
      <c r="D457" s="457">
        <v>46245</v>
      </c>
      <c r="E457" s="456" t="s">
        <v>5949</v>
      </c>
      <c r="F457" s="456" t="s">
        <v>5950</v>
      </c>
      <c r="G457" s="503"/>
      <c r="H457" s="456" t="s">
        <v>5951</v>
      </c>
      <c r="I457" s="503"/>
      <c r="J457" s="456">
        <v>4</v>
      </c>
      <c r="K457" s="456" t="s">
        <v>192</v>
      </c>
      <c r="L457" s="503"/>
    </row>
    <row r="458" spans="1:12" ht="15.8" customHeight="1" x14ac:dyDescent="0.2">
      <c r="A458" s="458" t="s">
        <v>10</v>
      </c>
      <c r="B458" s="458" t="s">
        <v>2162</v>
      </c>
      <c r="C458" s="573"/>
      <c r="D458" s="459">
        <v>46245</v>
      </c>
      <c r="E458" s="458" t="s">
        <v>91</v>
      </c>
      <c r="F458" s="458" t="s">
        <v>5952</v>
      </c>
      <c r="G458" s="502"/>
      <c r="H458" s="458" t="s">
        <v>5829</v>
      </c>
      <c r="I458" s="502"/>
      <c r="J458" s="458">
        <v>3</v>
      </c>
      <c r="K458" s="458" t="s">
        <v>192</v>
      </c>
      <c r="L458" s="502"/>
    </row>
    <row r="459" spans="1:12" ht="15.8" customHeight="1" x14ac:dyDescent="0.2">
      <c r="A459" s="456" t="s">
        <v>10</v>
      </c>
      <c r="B459" s="456" t="s">
        <v>2162</v>
      </c>
      <c r="C459" s="573"/>
      <c r="D459" s="457">
        <v>46245</v>
      </c>
      <c r="E459" s="456" t="s">
        <v>519</v>
      </c>
      <c r="F459" s="456" t="s">
        <v>5953</v>
      </c>
      <c r="G459" s="503"/>
      <c r="H459" s="456" t="s">
        <v>5954</v>
      </c>
      <c r="I459" s="503"/>
      <c r="J459" s="456">
        <v>4</v>
      </c>
      <c r="K459" s="456" t="s">
        <v>34</v>
      </c>
      <c r="L459" s="503"/>
    </row>
    <row r="460" spans="1:12" ht="15.8" customHeight="1" x14ac:dyDescent="0.2">
      <c r="A460" s="458" t="s">
        <v>10</v>
      </c>
      <c r="B460" s="458" t="s">
        <v>2162</v>
      </c>
      <c r="C460" s="573"/>
      <c r="D460" s="459">
        <v>46245</v>
      </c>
      <c r="E460" s="458" t="s">
        <v>534</v>
      </c>
      <c r="F460" s="458" t="s">
        <v>5955</v>
      </c>
      <c r="G460" s="502"/>
      <c r="H460" s="458" t="s">
        <v>5956</v>
      </c>
      <c r="I460" s="502"/>
      <c r="J460" s="458">
        <v>4</v>
      </c>
      <c r="K460" s="458" t="s">
        <v>192</v>
      </c>
      <c r="L460" s="502"/>
    </row>
    <row r="461" spans="1:12" ht="15.8" customHeight="1" x14ac:dyDescent="0.2">
      <c r="A461" s="456" t="s">
        <v>10</v>
      </c>
      <c r="B461" s="456" t="s">
        <v>2162</v>
      </c>
      <c r="C461" s="573"/>
      <c r="D461" s="457">
        <v>46245</v>
      </c>
      <c r="E461" s="456" t="s">
        <v>1520</v>
      </c>
      <c r="F461" s="456" t="s">
        <v>5957</v>
      </c>
      <c r="G461" s="503"/>
      <c r="H461" s="456" t="s">
        <v>5958</v>
      </c>
      <c r="I461" s="503"/>
      <c r="J461" s="456">
        <v>3</v>
      </c>
      <c r="K461" s="456" t="s">
        <v>192</v>
      </c>
      <c r="L461" s="503"/>
    </row>
    <row r="462" spans="1:12" ht="15.8" customHeight="1" x14ac:dyDescent="0.2">
      <c r="A462" s="458" t="s">
        <v>10</v>
      </c>
      <c r="B462" s="458" t="s">
        <v>2162</v>
      </c>
      <c r="C462" s="573"/>
      <c r="D462" s="459">
        <v>46245</v>
      </c>
      <c r="E462" s="458" t="s">
        <v>2063</v>
      </c>
      <c r="F462" s="458" t="s">
        <v>5959</v>
      </c>
      <c r="G462" s="458" t="s">
        <v>355</v>
      </c>
      <c r="H462" s="458" t="s">
        <v>5960</v>
      </c>
      <c r="I462" s="502"/>
      <c r="J462" s="458">
        <v>5</v>
      </c>
      <c r="K462" s="458" t="s">
        <v>34</v>
      </c>
      <c r="L462" s="502"/>
    </row>
    <row r="463" spans="1:12" ht="15.8" customHeight="1" x14ac:dyDescent="0.2">
      <c r="A463" s="456" t="s">
        <v>10</v>
      </c>
      <c r="B463" s="456" t="s">
        <v>2162</v>
      </c>
      <c r="C463" s="573"/>
      <c r="D463" s="457">
        <v>46245</v>
      </c>
      <c r="E463" s="456" t="s">
        <v>2339</v>
      </c>
      <c r="F463" s="456" t="s">
        <v>5961</v>
      </c>
      <c r="G463" s="503"/>
      <c r="H463" s="456" t="s">
        <v>5962</v>
      </c>
      <c r="I463" s="503"/>
      <c r="J463" s="456">
        <v>4</v>
      </c>
      <c r="K463" s="456" t="s">
        <v>34</v>
      </c>
      <c r="L463" s="503"/>
    </row>
    <row r="464" spans="1:12" ht="15.8" customHeight="1" x14ac:dyDescent="0.2">
      <c r="A464" s="458" t="s">
        <v>10</v>
      </c>
      <c r="B464" s="458" t="s">
        <v>2162</v>
      </c>
      <c r="C464" s="573"/>
      <c r="D464" s="459">
        <v>46245</v>
      </c>
      <c r="E464" s="458" t="s">
        <v>5963</v>
      </c>
      <c r="F464" s="458" t="s">
        <v>5964</v>
      </c>
      <c r="G464" s="502"/>
      <c r="H464" s="458" t="s">
        <v>5965</v>
      </c>
      <c r="I464" s="502"/>
      <c r="J464" s="458">
        <v>3</v>
      </c>
      <c r="K464" s="458" t="s">
        <v>192</v>
      </c>
      <c r="L464" s="502"/>
    </row>
    <row r="465" spans="1:12" ht="15.8" customHeight="1" x14ac:dyDescent="0.2">
      <c r="A465" s="456" t="s">
        <v>10</v>
      </c>
      <c r="B465" s="456" t="s">
        <v>2162</v>
      </c>
      <c r="C465" s="573"/>
      <c r="D465" s="457">
        <v>46245</v>
      </c>
      <c r="E465" s="456" t="s">
        <v>91</v>
      </c>
      <c r="F465" s="456" t="s">
        <v>5966</v>
      </c>
      <c r="G465" s="503"/>
      <c r="H465" s="456" t="s">
        <v>5967</v>
      </c>
      <c r="I465" s="503"/>
      <c r="J465" s="456">
        <v>4</v>
      </c>
      <c r="K465" s="456" t="s">
        <v>34</v>
      </c>
      <c r="L465" s="503"/>
    </row>
    <row r="466" spans="1:12" ht="15.8" customHeight="1" x14ac:dyDescent="0.2">
      <c r="A466" s="458" t="s">
        <v>10</v>
      </c>
      <c r="B466" s="458" t="s">
        <v>2162</v>
      </c>
      <c r="C466" s="573"/>
      <c r="D466" s="459">
        <v>46245</v>
      </c>
      <c r="E466" s="458" t="s">
        <v>534</v>
      </c>
      <c r="F466" s="458" t="s">
        <v>5968</v>
      </c>
      <c r="G466" s="458" t="s">
        <v>21</v>
      </c>
      <c r="H466" s="458" t="s">
        <v>5969</v>
      </c>
      <c r="I466" s="502"/>
      <c r="J466" s="458">
        <v>4</v>
      </c>
      <c r="K466" s="458" t="s">
        <v>34</v>
      </c>
      <c r="L466" s="502"/>
    </row>
    <row r="467" spans="1:12" ht="15.8" customHeight="1" x14ac:dyDescent="0.2">
      <c r="A467" s="456" t="s">
        <v>10</v>
      </c>
      <c r="B467" s="456" t="s">
        <v>2162</v>
      </c>
      <c r="C467" s="573"/>
      <c r="D467" s="457">
        <v>46245</v>
      </c>
      <c r="E467" s="456" t="s">
        <v>519</v>
      </c>
      <c r="F467" s="456" t="s">
        <v>5970</v>
      </c>
      <c r="G467" s="456" t="s">
        <v>5971</v>
      </c>
      <c r="H467" s="456" t="s">
        <v>5972</v>
      </c>
      <c r="I467" s="503"/>
      <c r="J467" s="456">
        <v>4</v>
      </c>
      <c r="K467" s="456" t="s">
        <v>34</v>
      </c>
      <c r="L467" s="503"/>
    </row>
    <row r="468" spans="1:12" ht="15.8" customHeight="1" x14ac:dyDescent="0.2">
      <c r="A468" s="458" t="s">
        <v>10</v>
      </c>
      <c r="B468" s="458" t="s">
        <v>2162</v>
      </c>
      <c r="C468" s="573"/>
      <c r="D468" s="459">
        <v>46245</v>
      </c>
      <c r="E468" s="458" t="s">
        <v>519</v>
      </c>
      <c r="F468" s="458" t="s">
        <v>5973</v>
      </c>
      <c r="G468" s="458" t="s">
        <v>95</v>
      </c>
      <c r="H468" s="458" t="s">
        <v>5974</v>
      </c>
      <c r="I468" s="502"/>
      <c r="J468" s="458">
        <v>4</v>
      </c>
      <c r="K468" s="458" t="s">
        <v>34</v>
      </c>
      <c r="L468" s="502"/>
    </row>
    <row r="469" spans="1:12" ht="15.8" customHeight="1" x14ac:dyDescent="0.2">
      <c r="A469" s="456" t="s">
        <v>10</v>
      </c>
      <c r="B469" s="456" t="s">
        <v>2162</v>
      </c>
      <c r="C469" s="573"/>
      <c r="D469" s="457">
        <v>46247</v>
      </c>
      <c r="E469" s="456" t="s">
        <v>164</v>
      </c>
      <c r="F469" s="456" t="s">
        <v>5285</v>
      </c>
      <c r="G469" s="456" t="s">
        <v>167</v>
      </c>
      <c r="H469" s="456" t="s">
        <v>5975</v>
      </c>
      <c r="I469" s="456" t="s">
        <v>167</v>
      </c>
      <c r="J469" s="456">
        <v>2</v>
      </c>
      <c r="K469" s="456" t="s">
        <v>78</v>
      </c>
      <c r="L469" s="456" t="s">
        <v>167</v>
      </c>
    </row>
    <row r="470" spans="1:12" ht="15.8" customHeight="1" x14ac:dyDescent="0.2">
      <c r="A470" s="458" t="s">
        <v>10</v>
      </c>
      <c r="B470" s="458" t="s">
        <v>188</v>
      </c>
      <c r="C470" s="573"/>
      <c r="D470" s="459">
        <v>46246</v>
      </c>
      <c r="E470" s="458" t="s">
        <v>72</v>
      </c>
      <c r="F470" s="458" t="s">
        <v>5976</v>
      </c>
      <c r="G470" s="502"/>
      <c r="H470" s="458" t="s">
        <v>5977</v>
      </c>
      <c r="I470" s="458" t="s">
        <v>167</v>
      </c>
      <c r="J470" s="458">
        <v>2</v>
      </c>
      <c r="K470" s="458" t="s">
        <v>192</v>
      </c>
      <c r="L470" s="458" t="s">
        <v>167</v>
      </c>
    </row>
    <row r="471" spans="1:12" ht="15.8" customHeight="1" x14ac:dyDescent="0.2">
      <c r="A471" s="456" t="s">
        <v>10</v>
      </c>
      <c r="B471" s="456" t="s">
        <v>188</v>
      </c>
      <c r="C471" s="573"/>
      <c r="D471" s="457">
        <v>46245</v>
      </c>
      <c r="E471" s="456" t="s">
        <v>57</v>
      </c>
      <c r="F471" s="456" t="s">
        <v>5978</v>
      </c>
      <c r="G471" s="503"/>
      <c r="H471" s="456" t="s">
        <v>5979</v>
      </c>
      <c r="I471" s="456" t="s">
        <v>167</v>
      </c>
      <c r="J471" s="456">
        <v>2</v>
      </c>
      <c r="K471" s="456" t="s">
        <v>5980</v>
      </c>
      <c r="L471" s="456" t="s">
        <v>167</v>
      </c>
    </row>
    <row r="472" spans="1:12" ht="15.8" customHeight="1" x14ac:dyDescent="0.2">
      <c r="A472" s="458" t="s">
        <v>10</v>
      </c>
      <c r="B472" s="458" t="s">
        <v>188</v>
      </c>
      <c r="C472" s="573"/>
      <c r="D472" s="459">
        <v>46247</v>
      </c>
      <c r="E472" s="458" t="s">
        <v>72</v>
      </c>
      <c r="F472" s="458" t="s">
        <v>996</v>
      </c>
      <c r="G472" s="502"/>
      <c r="H472" s="458" t="s">
        <v>5981</v>
      </c>
      <c r="I472" s="458" t="s">
        <v>167</v>
      </c>
      <c r="J472" s="458">
        <v>2</v>
      </c>
      <c r="K472" s="458" t="s">
        <v>5980</v>
      </c>
      <c r="L472" s="458" t="s">
        <v>167</v>
      </c>
    </row>
    <row r="473" spans="1:12" ht="15.8" customHeight="1" x14ac:dyDescent="0.2">
      <c r="A473" s="456" t="s">
        <v>10</v>
      </c>
      <c r="B473" s="456" t="s">
        <v>2162</v>
      </c>
      <c r="C473" s="573"/>
      <c r="D473" s="457">
        <v>46247</v>
      </c>
      <c r="E473" s="456" t="s">
        <v>4173</v>
      </c>
      <c r="F473" s="456" t="s">
        <v>5982</v>
      </c>
      <c r="G473" s="503"/>
      <c r="H473" s="456" t="s">
        <v>5983</v>
      </c>
      <c r="I473" s="456" t="s">
        <v>167</v>
      </c>
      <c r="J473" s="456">
        <v>3</v>
      </c>
      <c r="K473" s="456" t="s">
        <v>5980</v>
      </c>
      <c r="L473" s="456" t="s">
        <v>167</v>
      </c>
    </row>
    <row r="474" spans="1:12" ht="15.8" customHeight="1" x14ac:dyDescent="0.2">
      <c r="A474" s="458" t="s">
        <v>10</v>
      </c>
      <c r="B474" s="458" t="s">
        <v>188</v>
      </c>
      <c r="C474" s="573"/>
      <c r="D474" s="459">
        <v>46245</v>
      </c>
      <c r="E474" s="458" t="s">
        <v>1449</v>
      </c>
      <c r="F474" s="458" t="s">
        <v>5984</v>
      </c>
      <c r="G474" s="502"/>
      <c r="H474" s="458" t="s">
        <v>5985</v>
      </c>
      <c r="I474" s="458" t="s">
        <v>167</v>
      </c>
      <c r="J474" s="458">
        <v>2</v>
      </c>
      <c r="K474" s="458" t="s">
        <v>16</v>
      </c>
      <c r="L474" s="458" t="s">
        <v>167</v>
      </c>
    </row>
    <row r="475" spans="1:12" ht="15.8" customHeight="1" x14ac:dyDescent="0.2">
      <c r="A475" s="456" t="s">
        <v>10</v>
      </c>
      <c r="B475" s="456" t="s">
        <v>188</v>
      </c>
      <c r="C475" s="573"/>
      <c r="D475" s="457">
        <v>46246</v>
      </c>
      <c r="E475" s="456" t="s">
        <v>57</v>
      </c>
      <c r="F475" s="456" t="s">
        <v>189</v>
      </c>
      <c r="G475" s="503"/>
      <c r="H475" s="456" t="s">
        <v>5986</v>
      </c>
      <c r="I475" s="456" t="s">
        <v>167</v>
      </c>
      <c r="J475" s="456">
        <v>2</v>
      </c>
      <c r="K475" s="456" t="s">
        <v>16</v>
      </c>
      <c r="L475" s="456" t="s">
        <v>167</v>
      </c>
    </row>
    <row r="476" spans="1:12" ht="15.8" customHeight="1" x14ac:dyDescent="0.2">
      <c r="A476" s="458" t="s">
        <v>10</v>
      </c>
      <c r="B476" s="458" t="s">
        <v>188</v>
      </c>
      <c r="C476" s="573"/>
      <c r="D476" s="459">
        <v>46246</v>
      </c>
      <c r="E476" s="458" t="s">
        <v>4173</v>
      </c>
      <c r="F476" s="458" t="s">
        <v>189</v>
      </c>
      <c r="G476" s="502"/>
      <c r="H476" s="458" t="s">
        <v>5987</v>
      </c>
      <c r="I476" s="458" t="s">
        <v>167</v>
      </c>
      <c r="J476" s="458">
        <v>2</v>
      </c>
      <c r="K476" s="458" t="s">
        <v>16</v>
      </c>
      <c r="L476" s="458" t="s">
        <v>167</v>
      </c>
    </row>
    <row r="477" spans="1:12" ht="15.8" customHeight="1" x14ac:dyDescent="0.2">
      <c r="A477" s="456" t="s">
        <v>10</v>
      </c>
      <c r="B477" s="456" t="s">
        <v>188</v>
      </c>
      <c r="C477" s="573"/>
      <c r="D477" s="457">
        <v>46246</v>
      </c>
      <c r="E477" s="456" t="s">
        <v>72</v>
      </c>
      <c r="F477" s="456" t="s">
        <v>189</v>
      </c>
      <c r="G477" s="503"/>
      <c r="H477" s="456" t="s">
        <v>5988</v>
      </c>
      <c r="I477" s="456" t="s">
        <v>167</v>
      </c>
      <c r="J477" s="456">
        <v>2</v>
      </c>
      <c r="K477" s="456" t="s">
        <v>16</v>
      </c>
      <c r="L477" s="456" t="s">
        <v>167</v>
      </c>
    </row>
    <row r="478" spans="1:12" ht="15.8" customHeight="1" x14ac:dyDescent="0.2">
      <c r="A478" s="458" t="s">
        <v>10</v>
      </c>
      <c r="B478" s="458" t="s">
        <v>188</v>
      </c>
      <c r="C478" s="573"/>
      <c r="D478" s="459">
        <v>46246</v>
      </c>
      <c r="E478" s="458" t="s">
        <v>57</v>
      </c>
      <c r="F478" s="458" t="s">
        <v>654</v>
      </c>
      <c r="G478" s="502"/>
      <c r="H478" s="458" t="s">
        <v>5989</v>
      </c>
      <c r="I478" s="458" t="s">
        <v>167</v>
      </c>
      <c r="J478" s="458">
        <v>3</v>
      </c>
      <c r="K478" s="458" t="s">
        <v>192</v>
      </c>
      <c r="L478" s="458" t="s">
        <v>167</v>
      </c>
    </row>
    <row r="479" spans="1:12" ht="15.8" customHeight="1" x14ac:dyDescent="0.2">
      <c r="A479" s="456" t="s">
        <v>10</v>
      </c>
      <c r="B479" s="456" t="s">
        <v>188</v>
      </c>
      <c r="C479" s="573"/>
      <c r="D479" s="457">
        <v>46246</v>
      </c>
      <c r="E479" s="456" t="s">
        <v>57</v>
      </c>
      <c r="F479" s="456" t="s">
        <v>1189</v>
      </c>
      <c r="G479" s="503"/>
      <c r="H479" s="456" t="s">
        <v>5990</v>
      </c>
      <c r="I479" s="456" t="s">
        <v>167</v>
      </c>
      <c r="J479" s="456">
        <v>2</v>
      </c>
      <c r="K479" s="456" t="s">
        <v>192</v>
      </c>
      <c r="L479" s="456" t="s">
        <v>167</v>
      </c>
    </row>
    <row r="480" spans="1:12" ht="15.8" customHeight="1" x14ac:dyDescent="0.2">
      <c r="A480" s="458" t="s">
        <v>10</v>
      </c>
      <c r="B480" s="458" t="s">
        <v>188</v>
      </c>
      <c r="C480" s="573"/>
      <c r="D480" s="459">
        <v>46246</v>
      </c>
      <c r="E480" s="458" t="s">
        <v>72</v>
      </c>
      <c r="F480" s="458" t="s">
        <v>2475</v>
      </c>
      <c r="G480" s="502"/>
      <c r="H480" s="458" t="s">
        <v>5991</v>
      </c>
      <c r="I480" s="458" t="s">
        <v>167</v>
      </c>
      <c r="J480" s="458">
        <v>2</v>
      </c>
      <c r="K480" s="458" t="s">
        <v>192</v>
      </c>
      <c r="L480" s="458" t="s">
        <v>167</v>
      </c>
    </row>
    <row r="481" spans="1:12" ht="15.8" customHeight="1" x14ac:dyDescent="0.2">
      <c r="A481" s="456" t="s">
        <v>146</v>
      </c>
      <c r="B481" s="456" t="s">
        <v>11</v>
      </c>
      <c r="C481" s="573"/>
      <c r="D481" s="457">
        <v>46247</v>
      </c>
      <c r="E481" s="456" t="s">
        <v>57</v>
      </c>
      <c r="F481" s="456" t="s">
        <v>5992</v>
      </c>
      <c r="G481" s="456" t="s">
        <v>27</v>
      </c>
      <c r="H481" s="456" t="s">
        <v>5993</v>
      </c>
      <c r="I481" s="456" t="s">
        <v>167</v>
      </c>
      <c r="J481" s="456">
        <v>2</v>
      </c>
      <c r="K481" s="456" t="s">
        <v>192</v>
      </c>
      <c r="L481" s="456" t="s">
        <v>167</v>
      </c>
    </row>
    <row r="482" spans="1:12" ht="15.8" customHeight="1" x14ac:dyDescent="0.2">
      <c r="A482" s="458" t="s">
        <v>10</v>
      </c>
      <c r="B482" s="458" t="s">
        <v>188</v>
      </c>
      <c r="C482" s="573"/>
      <c r="D482" s="459">
        <v>46247</v>
      </c>
      <c r="E482" s="458" t="s">
        <v>57</v>
      </c>
      <c r="F482" s="458" t="s">
        <v>189</v>
      </c>
      <c r="G482" s="502"/>
      <c r="H482" s="458" t="s">
        <v>5994</v>
      </c>
      <c r="I482" s="458" t="s">
        <v>3937</v>
      </c>
      <c r="J482" s="458">
        <v>2</v>
      </c>
      <c r="K482" s="458" t="s">
        <v>192</v>
      </c>
      <c r="L482" s="458" t="s">
        <v>3937</v>
      </c>
    </row>
    <row r="483" spans="1:12" ht="15.8" customHeight="1" x14ac:dyDescent="0.2">
      <c r="A483" s="456" t="s">
        <v>10</v>
      </c>
      <c r="B483" s="456" t="s">
        <v>29</v>
      </c>
      <c r="C483" s="573"/>
      <c r="D483" s="457">
        <v>46246</v>
      </c>
      <c r="E483" s="456" t="s">
        <v>72</v>
      </c>
      <c r="F483" s="456" t="s">
        <v>217</v>
      </c>
      <c r="G483" s="503"/>
      <c r="H483" s="456" t="s">
        <v>5995</v>
      </c>
      <c r="I483" s="503"/>
      <c r="J483" s="456">
        <v>2</v>
      </c>
      <c r="K483" s="456" t="s">
        <v>78</v>
      </c>
      <c r="L483" s="503"/>
    </row>
    <row r="484" spans="1:12" ht="15.8" customHeight="1" x14ac:dyDescent="0.2">
      <c r="A484" s="458" t="s">
        <v>10</v>
      </c>
      <c r="B484" s="458" t="s">
        <v>451</v>
      </c>
      <c r="C484" s="573"/>
      <c r="D484" s="459">
        <v>46246</v>
      </c>
      <c r="E484" s="458" t="s">
        <v>57</v>
      </c>
      <c r="F484" s="458" t="s">
        <v>5996</v>
      </c>
      <c r="G484" s="458" t="s">
        <v>27</v>
      </c>
      <c r="H484" s="458" t="s">
        <v>5997</v>
      </c>
      <c r="I484" s="502"/>
      <c r="J484" s="458">
        <v>2</v>
      </c>
      <c r="K484" s="458" t="s">
        <v>23</v>
      </c>
      <c r="L484" s="502"/>
    </row>
    <row r="485" spans="1:12" ht="15.8" customHeight="1" x14ac:dyDescent="0.2">
      <c r="A485" s="458" t="s">
        <v>10</v>
      </c>
      <c r="B485" s="456" t="s">
        <v>2162</v>
      </c>
      <c r="C485" s="573"/>
      <c r="D485" s="457">
        <v>46245</v>
      </c>
      <c r="E485" s="458" t="s">
        <v>57</v>
      </c>
      <c r="F485" s="458" t="s">
        <v>5998</v>
      </c>
      <c r="G485" s="502"/>
      <c r="H485" s="458" t="s">
        <v>5999</v>
      </c>
      <c r="I485" s="502"/>
      <c r="J485" s="456">
        <v>2</v>
      </c>
      <c r="K485" s="458" t="s">
        <v>78</v>
      </c>
      <c r="L485" s="502"/>
    </row>
    <row r="486" spans="1:12" ht="15.8" customHeight="1" x14ac:dyDescent="0.2">
      <c r="A486" s="456" t="s">
        <v>10</v>
      </c>
      <c r="B486" s="456" t="s">
        <v>2162</v>
      </c>
      <c r="C486" s="573"/>
      <c r="D486" s="459">
        <v>46246</v>
      </c>
      <c r="E486" s="456" t="s">
        <v>57</v>
      </c>
      <c r="F486" s="456" t="s">
        <v>6000</v>
      </c>
      <c r="G486" s="503"/>
      <c r="H486" s="456" t="s">
        <v>5999</v>
      </c>
      <c r="I486" s="503"/>
      <c r="J486" s="458">
        <v>2</v>
      </c>
      <c r="K486" s="456" t="s">
        <v>78</v>
      </c>
      <c r="L486" s="503"/>
    </row>
    <row r="487" spans="1:12" ht="15.8" customHeight="1" x14ac:dyDescent="0.2">
      <c r="A487" s="458" t="s">
        <v>10</v>
      </c>
      <c r="B487" s="456" t="s">
        <v>2162</v>
      </c>
      <c r="C487" s="573"/>
      <c r="D487" s="457">
        <v>46245</v>
      </c>
      <c r="E487" s="458" t="s">
        <v>57</v>
      </c>
      <c r="F487" s="458" t="s">
        <v>6001</v>
      </c>
      <c r="G487" s="502"/>
      <c r="H487" s="458" t="s">
        <v>5999</v>
      </c>
      <c r="I487" s="502"/>
      <c r="J487" s="456">
        <v>2</v>
      </c>
      <c r="K487" s="458" t="s">
        <v>78</v>
      </c>
      <c r="L487" s="502"/>
    </row>
    <row r="488" spans="1:12" ht="15.8" customHeight="1" x14ac:dyDescent="0.2">
      <c r="A488" s="456" t="s">
        <v>10</v>
      </c>
      <c r="B488" s="456" t="s">
        <v>2162</v>
      </c>
      <c r="C488" s="573"/>
      <c r="D488" s="459">
        <v>46246</v>
      </c>
      <c r="E488" s="456" t="s">
        <v>57</v>
      </c>
      <c r="F488" s="456" t="s">
        <v>6002</v>
      </c>
      <c r="G488" s="503"/>
      <c r="H488" s="456" t="s">
        <v>5999</v>
      </c>
      <c r="I488" s="503"/>
      <c r="J488" s="458">
        <v>2</v>
      </c>
      <c r="K488" s="456" t="s">
        <v>78</v>
      </c>
      <c r="L488" s="503"/>
    </row>
    <row r="489" spans="1:12" ht="15.8" customHeight="1" x14ac:dyDescent="0.2">
      <c r="A489" s="458" t="s">
        <v>10</v>
      </c>
      <c r="B489" s="456" t="s">
        <v>2162</v>
      </c>
      <c r="C489" s="573"/>
      <c r="D489" s="457">
        <v>46245</v>
      </c>
      <c r="E489" s="458" t="s">
        <v>57</v>
      </c>
      <c r="F489" s="458" t="s">
        <v>6003</v>
      </c>
      <c r="G489" s="502"/>
      <c r="H489" s="458" t="s">
        <v>5999</v>
      </c>
      <c r="I489" s="502"/>
      <c r="J489" s="456">
        <v>2</v>
      </c>
      <c r="K489" s="458" t="s">
        <v>78</v>
      </c>
      <c r="L489" s="502"/>
    </row>
    <row r="490" spans="1:12" ht="15.8" customHeight="1" x14ac:dyDescent="0.2">
      <c r="A490" s="456" t="s">
        <v>10</v>
      </c>
      <c r="B490" s="456" t="s">
        <v>2162</v>
      </c>
      <c r="C490" s="573"/>
      <c r="D490" s="459">
        <v>46246</v>
      </c>
      <c r="E490" s="456" t="s">
        <v>57</v>
      </c>
      <c r="F490" s="456" t="s">
        <v>6004</v>
      </c>
      <c r="G490" s="503"/>
      <c r="H490" s="456" t="s">
        <v>5999</v>
      </c>
      <c r="I490" s="503"/>
      <c r="J490" s="458">
        <v>2</v>
      </c>
      <c r="K490" s="456" t="s">
        <v>78</v>
      </c>
      <c r="L490" s="503"/>
    </row>
    <row r="491" spans="1:12" ht="15.8" customHeight="1" x14ac:dyDescent="0.2">
      <c r="A491" s="458" t="s">
        <v>10</v>
      </c>
      <c r="B491" s="456" t="s">
        <v>2162</v>
      </c>
      <c r="C491" s="573"/>
      <c r="D491" s="457">
        <v>46245</v>
      </c>
      <c r="E491" s="458" t="s">
        <v>57</v>
      </c>
      <c r="F491" s="458" t="s">
        <v>6005</v>
      </c>
      <c r="G491" s="502"/>
      <c r="H491" s="458" t="s">
        <v>5999</v>
      </c>
      <c r="I491" s="502"/>
      <c r="J491" s="456">
        <v>2</v>
      </c>
      <c r="K491" s="458" t="s">
        <v>78</v>
      </c>
      <c r="L491" s="502"/>
    </row>
    <row r="492" spans="1:12" ht="15.8" customHeight="1" x14ac:dyDescent="0.2">
      <c r="A492" s="456" t="s">
        <v>10</v>
      </c>
      <c r="B492" s="456" t="s">
        <v>2162</v>
      </c>
      <c r="C492" s="573"/>
      <c r="D492" s="459">
        <v>46246</v>
      </c>
      <c r="E492" s="456" t="s">
        <v>57</v>
      </c>
      <c r="F492" s="456" t="s">
        <v>6006</v>
      </c>
      <c r="G492" s="503"/>
      <c r="H492" s="456" t="s">
        <v>5999</v>
      </c>
      <c r="I492" s="503"/>
      <c r="J492" s="458">
        <v>2</v>
      </c>
      <c r="K492" s="456" t="s">
        <v>78</v>
      </c>
      <c r="L492" s="503"/>
    </row>
    <row r="493" spans="1:12" ht="15.8" customHeight="1" x14ac:dyDescent="0.2">
      <c r="A493" s="458" t="s">
        <v>10</v>
      </c>
      <c r="B493" s="456" t="s">
        <v>2162</v>
      </c>
      <c r="C493" s="573"/>
      <c r="D493" s="457">
        <v>46245</v>
      </c>
      <c r="E493" s="458" t="s">
        <v>57</v>
      </c>
      <c r="F493" s="458" t="s">
        <v>6007</v>
      </c>
      <c r="G493" s="502"/>
      <c r="H493" s="458" t="s">
        <v>5999</v>
      </c>
      <c r="I493" s="502"/>
      <c r="J493" s="456">
        <v>2</v>
      </c>
      <c r="K493" s="458" t="s">
        <v>78</v>
      </c>
      <c r="L493" s="502"/>
    </row>
    <row r="494" spans="1:12" ht="15.8" customHeight="1" x14ac:dyDescent="0.2">
      <c r="A494" s="456" t="s">
        <v>10</v>
      </c>
      <c r="B494" s="456" t="s">
        <v>2162</v>
      </c>
      <c r="C494" s="573"/>
      <c r="D494" s="459">
        <v>46246</v>
      </c>
      <c r="E494" s="456" t="s">
        <v>57</v>
      </c>
      <c r="F494" s="456" t="s">
        <v>6008</v>
      </c>
      <c r="G494" s="503"/>
      <c r="H494" s="456" t="s">
        <v>5999</v>
      </c>
      <c r="I494" s="503"/>
      <c r="J494" s="458">
        <v>2</v>
      </c>
      <c r="K494" s="456" t="s">
        <v>78</v>
      </c>
      <c r="L494" s="503"/>
    </row>
    <row r="495" spans="1:12" ht="15.8" customHeight="1" x14ac:dyDescent="0.2">
      <c r="A495" s="458" t="s">
        <v>10</v>
      </c>
      <c r="B495" s="456" t="s">
        <v>2162</v>
      </c>
      <c r="C495" s="573"/>
      <c r="D495" s="457">
        <v>46245</v>
      </c>
      <c r="E495" s="458" t="s">
        <v>57</v>
      </c>
      <c r="F495" s="458" t="s">
        <v>6009</v>
      </c>
      <c r="G495" s="502"/>
      <c r="H495" s="458" t="s">
        <v>5999</v>
      </c>
      <c r="I495" s="502"/>
      <c r="J495" s="456">
        <v>2</v>
      </c>
      <c r="K495" s="458" t="s">
        <v>78</v>
      </c>
      <c r="L495" s="502"/>
    </row>
    <row r="496" spans="1:12" ht="15.8" customHeight="1" x14ac:dyDescent="0.2">
      <c r="A496" s="456" t="s">
        <v>10</v>
      </c>
      <c r="B496" s="456" t="s">
        <v>2162</v>
      </c>
      <c r="C496" s="573"/>
      <c r="D496" s="459">
        <v>46246</v>
      </c>
      <c r="E496" s="456" t="s">
        <v>57</v>
      </c>
      <c r="F496" s="456" t="s">
        <v>6010</v>
      </c>
      <c r="G496" s="503"/>
      <c r="H496" s="456" t="s">
        <v>5999</v>
      </c>
      <c r="I496" s="503"/>
      <c r="J496" s="458">
        <v>2</v>
      </c>
      <c r="K496" s="456" t="s">
        <v>78</v>
      </c>
      <c r="L496" s="503"/>
    </row>
    <row r="497" spans="1:12" ht="15.8" customHeight="1" x14ac:dyDescent="0.2">
      <c r="A497" s="458" t="s">
        <v>10</v>
      </c>
      <c r="B497" s="456" t="s">
        <v>2162</v>
      </c>
      <c r="C497" s="573"/>
      <c r="D497" s="457">
        <v>46245</v>
      </c>
      <c r="E497" s="458" t="s">
        <v>57</v>
      </c>
      <c r="F497" s="458" t="s">
        <v>6011</v>
      </c>
      <c r="G497" s="502"/>
      <c r="H497" s="458" t="s">
        <v>5999</v>
      </c>
      <c r="I497" s="502"/>
      <c r="J497" s="456">
        <v>2</v>
      </c>
      <c r="K497" s="458" t="s">
        <v>78</v>
      </c>
      <c r="L497" s="502"/>
    </row>
    <row r="498" spans="1:12" ht="15.8" customHeight="1" x14ac:dyDescent="0.2">
      <c r="A498" s="456" t="s">
        <v>10</v>
      </c>
      <c r="B498" s="456" t="s">
        <v>2162</v>
      </c>
      <c r="C498" s="573"/>
      <c r="D498" s="459">
        <v>46246</v>
      </c>
      <c r="E498" s="456" t="s">
        <v>57</v>
      </c>
      <c r="F498" s="456" t="s">
        <v>6012</v>
      </c>
      <c r="G498" s="503"/>
      <c r="H498" s="456" t="s">
        <v>5999</v>
      </c>
      <c r="I498" s="503"/>
      <c r="J498" s="458">
        <v>2</v>
      </c>
      <c r="K498" s="456" t="s">
        <v>78</v>
      </c>
      <c r="L498" s="503"/>
    </row>
    <row r="499" spans="1:12" ht="15.8" customHeight="1" x14ac:dyDescent="0.2">
      <c r="A499" s="458" t="s">
        <v>10</v>
      </c>
      <c r="B499" s="456" t="s">
        <v>2162</v>
      </c>
      <c r="C499" s="573"/>
      <c r="D499" s="457">
        <v>46245</v>
      </c>
      <c r="E499" s="458" t="s">
        <v>57</v>
      </c>
      <c r="F499" s="458" t="s">
        <v>6013</v>
      </c>
      <c r="G499" s="502"/>
      <c r="H499" s="458" t="s">
        <v>5999</v>
      </c>
      <c r="I499" s="502"/>
      <c r="J499" s="456">
        <v>2</v>
      </c>
      <c r="K499" s="458" t="s">
        <v>78</v>
      </c>
      <c r="L499" s="502"/>
    </row>
    <row r="500" spans="1:12" ht="15.8" customHeight="1" x14ac:dyDescent="0.2">
      <c r="A500" s="456" t="s">
        <v>10</v>
      </c>
      <c r="B500" s="456" t="s">
        <v>2162</v>
      </c>
      <c r="C500" s="573"/>
      <c r="D500" s="459">
        <v>46246</v>
      </c>
      <c r="E500" s="456" t="s">
        <v>57</v>
      </c>
      <c r="F500" s="456" t="s">
        <v>6014</v>
      </c>
      <c r="G500" s="503"/>
      <c r="H500" s="456" t="s">
        <v>5999</v>
      </c>
      <c r="I500" s="503"/>
      <c r="J500" s="458">
        <v>2</v>
      </c>
      <c r="K500" s="456" t="s">
        <v>78</v>
      </c>
      <c r="L500" s="503"/>
    </row>
    <row r="501" spans="1:12" ht="15.8" customHeight="1" x14ac:dyDescent="0.2">
      <c r="A501" s="458" t="s">
        <v>10</v>
      </c>
      <c r="B501" s="456" t="s">
        <v>2162</v>
      </c>
      <c r="C501" s="573"/>
      <c r="D501" s="457">
        <v>46245</v>
      </c>
      <c r="E501" s="458" t="s">
        <v>57</v>
      </c>
      <c r="F501" s="458" t="s">
        <v>6015</v>
      </c>
      <c r="G501" s="502"/>
      <c r="H501" s="458" t="s">
        <v>5999</v>
      </c>
      <c r="I501" s="502"/>
      <c r="J501" s="456">
        <v>2</v>
      </c>
      <c r="K501" s="458" t="s">
        <v>78</v>
      </c>
      <c r="L501" s="502"/>
    </row>
    <row r="502" spans="1:12" ht="15.8" customHeight="1" x14ac:dyDescent="0.2">
      <c r="A502" s="456" t="s">
        <v>10</v>
      </c>
      <c r="B502" s="456" t="s">
        <v>2162</v>
      </c>
      <c r="C502" s="573"/>
      <c r="D502" s="459">
        <v>46247</v>
      </c>
      <c r="E502" s="456" t="s">
        <v>57</v>
      </c>
      <c r="F502" s="456" t="s">
        <v>115</v>
      </c>
      <c r="G502" s="503"/>
      <c r="H502" s="456" t="s">
        <v>5999</v>
      </c>
      <c r="I502" s="503"/>
      <c r="J502" s="458">
        <v>2</v>
      </c>
      <c r="K502" s="456" t="s">
        <v>78</v>
      </c>
      <c r="L502" s="503"/>
    </row>
    <row r="503" spans="1:12" ht="15.8" customHeight="1" x14ac:dyDescent="0.2">
      <c r="A503" s="458" t="s">
        <v>10</v>
      </c>
      <c r="B503" s="456" t="s">
        <v>2162</v>
      </c>
      <c r="C503" s="573"/>
      <c r="D503" s="457">
        <v>46247</v>
      </c>
      <c r="E503" s="458" t="s">
        <v>57</v>
      </c>
      <c r="F503" s="458" t="s">
        <v>772</v>
      </c>
      <c r="G503" s="502"/>
      <c r="H503" s="458" t="s">
        <v>5999</v>
      </c>
      <c r="I503" s="502"/>
      <c r="J503" s="456">
        <v>2</v>
      </c>
      <c r="K503" s="458" t="s">
        <v>78</v>
      </c>
      <c r="L503" s="502"/>
    </row>
    <row r="504" spans="1:12" ht="15.8" customHeight="1" x14ac:dyDescent="0.2">
      <c r="A504" s="456" t="s">
        <v>10</v>
      </c>
      <c r="B504" s="456" t="s">
        <v>2162</v>
      </c>
      <c r="C504" s="573"/>
      <c r="D504" s="459">
        <v>46247</v>
      </c>
      <c r="E504" s="456" t="s">
        <v>57</v>
      </c>
      <c r="F504" s="456" t="s">
        <v>6016</v>
      </c>
      <c r="G504" s="503"/>
      <c r="H504" s="456" t="s">
        <v>5999</v>
      </c>
      <c r="I504" s="503"/>
      <c r="J504" s="458">
        <v>2</v>
      </c>
      <c r="K504" s="456" t="s">
        <v>78</v>
      </c>
      <c r="L504" s="503"/>
    </row>
    <row r="505" spans="1:12" ht="15.8" customHeight="1" x14ac:dyDescent="0.2">
      <c r="A505" s="458" t="s">
        <v>10</v>
      </c>
      <c r="B505" s="456" t="s">
        <v>2162</v>
      </c>
      <c r="C505" s="573"/>
      <c r="D505" s="457">
        <v>46247</v>
      </c>
      <c r="E505" s="458" t="s">
        <v>57</v>
      </c>
      <c r="F505" s="458" t="s">
        <v>6017</v>
      </c>
      <c r="G505" s="502"/>
      <c r="H505" s="458" t="s">
        <v>5999</v>
      </c>
      <c r="I505" s="502"/>
      <c r="J505" s="456">
        <v>2</v>
      </c>
      <c r="K505" s="458" t="s">
        <v>78</v>
      </c>
      <c r="L505" s="502"/>
    </row>
    <row r="506" spans="1:12" ht="15.8" customHeight="1" x14ac:dyDescent="0.2">
      <c r="A506" s="458" t="s">
        <v>10</v>
      </c>
      <c r="B506" s="458" t="s">
        <v>188</v>
      </c>
      <c r="C506" s="573"/>
      <c r="D506" s="459">
        <v>46248</v>
      </c>
      <c r="E506" s="458" t="s">
        <v>6018</v>
      </c>
      <c r="F506" s="458" t="s">
        <v>654</v>
      </c>
      <c r="G506" s="502"/>
      <c r="H506" s="458" t="s">
        <v>6019</v>
      </c>
      <c r="I506" s="458" t="s">
        <v>167</v>
      </c>
      <c r="J506" s="458">
        <v>3</v>
      </c>
      <c r="K506" s="458" t="s">
        <v>5980</v>
      </c>
      <c r="L506" s="458" t="s">
        <v>167</v>
      </c>
    </row>
    <row r="507" spans="1:12" ht="15.8" customHeight="1" x14ac:dyDescent="0.2">
      <c r="A507" s="456" t="s">
        <v>51</v>
      </c>
      <c r="B507" s="456" t="s">
        <v>52</v>
      </c>
      <c r="C507" s="573"/>
      <c r="D507" s="457">
        <v>46249</v>
      </c>
      <c r="E507" s="456" t="s">
        <v>57</v>
      </c>
      <c r="F507" s="456" t="s">
        <v>70</v>
      </c>
      <c r="G507" s="456" t="s">
        <v>70</v>
      </c>
      <c r="H507" s="456" t="s">
        <v>6020</v>
      </c>
      <c r="I507" s="456" t="s">
        <v>3937</v>
      </c>
      <c r="J507" s="456">
        <v>4</v>
      </c>
      <c r="K507" s="456" t="s">
        <v>192</v>
      </c>
      <c r="L507" s="456" t="s">
        <v>3937</v>
      </c>
    </row>
    <row r="508" spans="1:12" ht="15.8" customHeight="1" x14ac:dyDescent="0.2">
      <c r="A508" s="458" t="s">
        <v>35</v>
      </c>
      <c r="B508" s="458" t="s">
        <v>2164</v>
      </c>
      <c r="C508" s="573"/>
      <c r="D508" s="459">
        <v>46249</v>
      </c>
      <c r="E508" s="458" t="s">
        <v>57</v>
      </c>
      <c r="F508" s="458" t="s">
        <v>6021</v>
      </c>
      <c r="G508" s="458" t="s">
        <v>32</v>
      </c>
      <c r="H508" s="458" t="s">
        <v>6022</v>
      </c>
      <c r="I508" s="458" t="s">
        <v>3937</v>
      </c>
      <c r="J508" s="458">
        <v>5</v>
      </c>
      <c r="K508" s="458" t="s">
        <v>1079</v>
      </c>
      <c r="L508" s="502"/>
    </row>
    <row r="509" spans="1:12" ht="15.8" customHeight="1" x14ac:dyDescent="0.2">
      <c r="A509" s="456" t="s">
        <v>10</v>
      </c>
      <c r="B509" s="456" t="s">
        <v>2162</v>
      </c>
      <c r="C509" s="573"/>
      <c r="D509" s="457">
        <v>46249</v>
      </c>
      <c r="E509" s="456" t="s">
        <v>6023</v>
      </c>
      <c r="F509" s="456" t="s">
        <v>6024</v>
      </c>
      <c r="G509" s="503"/>
      <c r="H509" s="456" t="s">
        <v>6025</v>
      </c>
      <c r="I509" s="456" t="s">
        <v>167</v>
      </c>
      <c r="J509" s="456">
        <v>4</v>
      </c>
      <c r="K509" s="456" t="s">
        <v>50</v>
      </c>
      <c r="L509" s="456" t="s">
        <v>167</v>
      </c>
    </row>
    <row r="510" spans="1:12" ht="15.8" customHeight="1" x14ac:dyDescent="0.2">
      <c r="A510" s="458" t="s">
        <v>10</v>
      </c>
      <c r="B510" s="458" t="s">
        <v>244</v>
      </c>
      <c r="C510" s="573"/>
      <c r="D510" s="459">
        <v>46249</v>
      </c>
      <c r="E510" s="458" t="s">
        <v>6026</v>
      </c>
      <c r="F510" s="458" t="s">
        <v>6027</v>
      </c>
      <c r="G510" s="458" t="s">
        <v>27</v>
      </c>
      <c r="H510" s="458" t="s">
        <v>6028</v>
      </c>
      <c r="I510" s="458" t="s">
        <v>167</v>
      </c>
      <c r="J510" s="458">
        <v>4</v>
      </c>
      <c r="K510" s="458" t="s">
        <v>50</v>
      </c>
      <c r="L510" s="458" t="s">
        <v>167</v>
      </c>
    </row>
    <row r="511" spans="1:12" ht="15.8" customHeight="1" x14ac:dyDescent="0.2">
      <c r="A511" s="456" t="s">
        <v>10</v>
      </c>
      <c r="B511" s="456" t="s">
        <v>2162</v>
      </c>
      <c r="C511" s="573"/>
      <c r="D511" s="457">
        <v>46250</v>
      </c>
      <c r="E511" s="456" t="s">
        <v>6029</v>
      </c>
      <c r="F511" s="456" t="s">
        <v>6030</v>
      </c>
      <c r="G511" s="456" t="s">
        <v>39</v>
      </c>
      <c r="H511" s="456" t="s">
        <v>6031</v>
      </c>
      <c r="I511" s="503"/>
      <c r="J511" s="456">
        <v>7</v>
      </c>
      <c r="K511" s="456" t="s">
        <v>99</v>
      </c>
      <c r="L511" s="503"/>
    </row>
    <row r="512" spans="1:12" ht="15.8" customHeight="1" x14ac:dyDescent="0.2">
      <c r="A512" s="458" t="s">
        <v>35</v>
      </c>
      <c r="B512" s="458" t="s">
        <v>137</v>
      </c>
      <c r="C512" s="573"/>
      <c r="D512" s="459">
        <v>46252</v>
      </c>
      <c r="E512" s="458" t="s">
        <v>57</v>
      </c>
      <c r="F512" s="458" t="s">
        <v>6032</v>
      </c>
      <c r="G512" s="458" t="s">
        <v>1027</v>
      </c>
      <c r="H512" s="458" t="s">
        <v>6033</v>
      </c>
      <c r="I512" s="502"/>
      <c r="J512" s="458">
        <v>2</v>
      </c>
      <c r="K512" s="458" t="s">
        <v>50</v>
      </c>
      <c r="L512" s="502"/>
    </row>
    <row r="513" spans="1:12" ht="15.8" customHeight="1" x14ac:dyDescent="0.2">
      <c r="A513" s="456" t="s">
        <v>10</v>
      </c>
      <c r="B513" s="456" t="s">
        <v>64</v>
      </c>
      <c r="C513" s="573"/>
      <c r="D513" s="457">
        <v>46253</v>
      </c>
      <c r="E513" s="456" t="s">
        <v>215</v>
      </c>
      <c r="F513" s="456" t="s">
        <v>950</v>
      </c>
      <c r="G513" s="456" t="s">
        <v>950</v>
      </c>
      <c r="H513" s="456" t="s">
        <v>64</v>
      </c>
      <c r="I513" s="503"/>
      <c r="J513" s="456">
        <v>2</v>
      </c>
      <c r="K513" s="456" t="s">
        <v>78</v>
      </c>
      <c r="L513" s="503"/>
    </row>
    <row r="514" spans="1:12" ht="15.8" customHeight="1" x14ac:dyDescent="0.2">
      <c r="A514" s="458" t="s">
        <v>51</v>
      </c>
      <c r="B514" s="458" t="s">
        <v>52</v>
      </c>
      <c r="C514" s="573"/>
      <c r="D514" s="459">
        <v>46254</v>
      </c>
      <c r="E514" s="458" t="s">
        <v>118</v>
      </c>
      <c r="F514" s="458" t="s">
        <v>6034</v>
      </c>
      <c r="G514" s="458" t="s">
        <v>85</v>
      </c>
      <c r="H514" s="458" t="s">
        <v>6035</v>
      </c>
      <c r="I514" s="458" t="s">
        <v>5306</v>
      </c>
      <c r="J514" s="458">
        <v>4</v>
      </c>
      <c r="K514" s="458" t="s">
        <v>6036</v>
      </c>
      <c r="L514" s="458" t="s">
        <v>3721</v>
      </c>
    </row>
    <row r="515" spans="1:12" ht="15.8" customHeight="1" x14ac:dyDescent="0.2">
      <c r="A515" s="456" t="s">
        <v>51</v>
      </c>
      <c r="B515" s="456" t="s">
        <v>481</v>
      </c>
      <c r="C515" s="573"/>
      <c r="D515" s="457">
        <v>46255</v>
      </c>
      <c r="E515" s="456" t="s">
        <v>4585</v>
      </c>
      <c r="F515" s="456" t="s">
        <v>6034</v>
      </c>
      <c r="G515" s="456" t="s">
        <v>85</v>
      </c>
      <c r="H515" s="456" t="s">
        <v>6044</v>
      </c>
      <c r="I515" s="456" t="s">
        <v>5306</v>
      </c>
      <c r="J515" s="456">
        <v>3</v>
      </c>
      <c r="K515" s="456" t="s">
        <v>192</v>
      </c>
      <c r="L515" s="456" t="s">
        <v>3721</v>
      </c>
    </row>
    <row r="516" spans="1:12" ht="15.8" customHeight="1" x14ac:dyDescent="0.2">
      <c r="A516" s="458" t="s">
        <v>10</v>
      </c>
      <c r="B516" s="458" t="s">
        <v>2161</v>
      </c>
      <c r="C516" s="573"/>
      <c r="D516" s="459">
        <v>46257</v>
      </c>
      <c r="E516" s="458" t="s">
        <v>375</v>
      </c>
      <c r="F516" s="458" t="s">
        <v>6045</v>
      </c>
      <c r="G516" s="458" t="s">
        <v>6046</v>
      </c>
      <c r="H516" s="458" t="s">
        <v>6047</v>
      </c>
      <c r="I516" s="458" t="s">
        <v>167</v>
      </c>
      <c r="J516" s="458">
        <v>3</v>
      </c>
      <c r="K516" s="458" t="s">
        <v>50</v>
      </c>
      <c r="L516" s="458" t="s">
        <v>167</v>
      </c>
    </row>
    <row r="517" spans="1:12" ht="15.8" customHeight="1" x14ac:dyDescent="0.2">
      <c r="A517" s="456" t="s">
        <v>10</v>
      </c>
      <c r="B517" s="456" t="s">
        <v>2162</v>
      </c>
      <c r="C517" s="573"/>
      <c r="D517" s="457">
        <v>46257</v>
      </c>
      <c r="E517" s="456" t="s">
        <v>534</v>
      </c>
      <c r="F517" s="456" t="s">
        <v>6048</v>
      </c>
      <c r="G517" s="503"/>
      <c r="H517" s="456" t="s">
        <v>6049</v>
      </c>
      <c r="I517" s="503"/>
      <c r="J517" s="456">
        <v>3</v>
      </c>
      <c r="K517" s="456" t="s">
        <v>50</v>
      </c>
      <c r="L517" s="503"/>
    </row>
    <row r="518" spans="1:12" ht="15.8" customHeight="1" x14ac:dyDescent="0.2">
      <c r="A518" s="458" t="s">
        <v>10</v>
      </c>
      <c r="B518" s="458" t="s">
        <v>2162</v>
      </c>
      <c r="C518" s="573"/>
      <c r="D518" s="459">
        <v>46257</v>
      </c>
      <c r="E518" s="458" t="s">
        <v>534</v>
      </c>
      <c r="F518" s="458" t="s">
        <v>6050</v>
      </c>
      <c r="G518" s="502"/>
      <c r="H518" s="458" t="s">
        <v>6049</v>
      </c>
      <c r="I518" s="502"/>
      <c r="J518" s="458">
        <v>3</v>
      </c>
      <c r="K518" s="458" t="s">
        <v>50</v>
      </c>
      <c r="L518" s="502"/>
    </row>
    <row r="519" spans="1:12" ht="15.8" customHeight="1" x14ac:dyDescent="0.2">
      <c r="A519" s="456" t="s">
        <v>10</v>
      </c>
      <c r="B519" s="456" t="s">
        <v>2162</v>
      </c>
      <c r="C519" s="573"/>
      <c r="D519" s="457">
        <v>46257</v>
      </c>
      <c r="E519" s="456" t="s">
        <v>534</v>
      </c>
      <c r="F519" s="456" t="s">
        <v>6051</v>
      </c>
      <c r="G519" s="503"/>
      <c r="H519" s="456" t="s">
        <v>6049</v>
      </c>
      <c r="I519" s="503"/>
      <c r="J519" s="456">
        <v>3</v>
      </c>
      <c r="K519" s="456" t="s">
        <v>50</v>
      </c>
      <c r="L519" s="503"/>
    </row>
    <row r="520" spans="1:12" ht="15.8" customHeight="1" x14ac:dyDescent="0.2">
      <c r="A520" s="458" t="s">
        <v>10</v>
      </c>
      <c r="B520" s="458" t="s">
        <v>2162</v>
      </c>
      <c r="C520" s="573"/>
      <c r="D520" s="459">
        <v>46257</v>
      </c>
      <c r="E520" s="458" t="s">
        <v>534</v>
      </c>
      <c r="F520" s="458" t="s">
        <v>6052</v>
      </c>
      <c r="G520" s="502"/>
      <c r="H520" s="458" t="s">
        <v>6049</v>
      </c>
      <c r="I520" s="502"/>
      <c r="J520" s="458">
        <v>3</v>
      </c>
      <c r="K520" s="458" t="s">
        <v>50</v>
      </c>
      <c r="L520" s="502"/>
    </row>
    <row r="521" spans="1:12" ht="15.8" customHeight="1" x14ac:dyDescent="0.2">
      <c r="A521" s="456" t="s">
        <v>10</v>
      </c>
      <c r="B521" s="456" t="s">
        <v>2162</v>
      </c>
      <c r="C521" s="573"/>
      <c r="D521" s="457">
        <v>46257</v>
      </c>
      <c r="E521" s="456" t="s">
        <v>534</v>
      </c>
      <c r="F521" s="456" t="s">
        <v>6053</v>
      </c>
      <c r="G521" s="503"/>
      <c r="H521" s="456" t="s">
        <v>6049</v>
      </c>
      <c r="I521" s="503"/>
      <c r="J521" s="456">
        <v>3</v>
      </c>
      <c r="K521" s="456" t="s">
        <v>50</v>
      </c>
      <c r="L521" s="503"/>
    </row>
    <row r="522" spans="1:12" ht="15.8" customHeight="1" x14ac:dyDescent="0.2">
      <c r="A522" s="458" t="s">
        <v>10</v>
      </c>
      <c r="B522" s="458" t="s">
        <v>2162</v>
      </c>
      <c r="C522" s="573"/>
      <c r="D522" s="459">
        <v>46257</v>
      </c>
      <c r="E522" s="458" t="s">
        <v>534</v>
      </c>
      <c r="F522" s="458" t="s">
        <v>6054</v>
      </c>
      <c r="G522" s="502"/>
      <c r="H522" s="458" t="s">
        <v>6049</v>
      </c>
      <c r="I522" s="502"/>
      <c r="J522" s="458">
        <v>3</v>
      </c>
      <c r="K522" s="458" t="s">
        <v>50</v>
      </c>
      <c r="L522" s="502"/>
    </row>
    <row r="523" spans="1:12" ht="15.8" customHeight="1" x14ac:dyDescent="0.2">
      <c r="A523" s="456" t="s">
        <v>10</v>
      </c>
      <c r="B523" s="456" t="s">
        <v>2162</v>
      </c>
      <c r="C523" s="573"/>
      <c r="D523" s="457">
        <v>46258</v>
      </c>
      <c r="E523" s="456" t="s">
        <v>180</v>
      </c>
      <c r="F523" s="456" t="s">
        <v>6055</v>
      </c>
      <c r="G523" s="456" t="s">
        <v>85</v>
      </c>
      <c r="H523" s="456" t="s">
        <v>6056</v>
      </c>
      <c r="I523" s="456" t="s">
        <v>6057</v>
      </c>
      <c r="J523" s="456">
        <v>2</v>
      </c>
      <c r="K523" s="456" t="s">
        <v>16</v>
      </c>
      <c r="L523" s="456" t="s">
        <v>3721</v>
      </c>
    </row>
    <row r="524" spans="1:12" ht="15.8" customHeight="1" x14ac:dyDescent="0.2">
      <c r="A524" s="458" t="s">
        <v>51</v>
      </c>
      <c r="B524" s="458" t="s">
        <v>52</v>
      </c>
      <c r="C524" s="573"/>
      <c r="D524" s="459">
        <v>46258</v>
      </c>
      <c r="E524" s="458" t="s">
        <v>57</v>
      </c>
      <c r="F524" s="458" t="s">
        <v>6058</v>
      </c>
      <c r="G524" s="458" t="s">
        <v>150</v>
      </c>
      <c r="H524" s="458" t="s">
        <v>6059</v>
      </c>
      <c r="I524" s="458" t="s">
        <v>6060</v>
      </c>
      <c r="J524" s="458">
        <v>3</v>
      </c>
      <c r="K524" s="458" t="s">
        <v>192</v>
      </c>
      <c r="L524" s="458" t="s">
        <v>6061</v>
      </c>
    </row>
    <row r="525" spans="1:12" ht="15.8" customHeight="1" x14ac:dyDescent="0.2">
      <c r="A525" s="456" t="s">
        <v>35</v>
      </c>
      <c r="B525" s="456" t="s">
        <v>137</v>
      </c>
      <c r="C525" s="573"/>
      <c r="D525" s="457">
        <v>46260</v>
      </c>
      <c r="E525" s="456" t="s">
        <v>2603</v>
      </c>
      <c r="F525" s="456" t="s">
        <v>6062</v>
      </c>
      <c r="G525" s="456" t="s">
        <v>6063</v>
      </c>
      <c r="H525" s="456" t="s">
        <v>6064</v>
      </c>
      <c r="I525" s="456" t="s">
        <v>3721</v>
      </c>
      <c r="J525" s="456">
        <v>2</v>
      </c>
      <c r="K525" s="456" t="s">
        <v>50</v>
      </c>
      <c r="L525" s="503"/>
    </row>
    <row r="526" spans="1:12" ht="15.8" customHeight="1" x14ac:dyDescent="0.2">
      <c r="A526" s="458" t="s">
        <v>10</v>
      </c>
      <c r="B526" s="458" t="s">
        <v>188</v>
      </c>
      <c r="C526" s="573"/>
      <c r="D526" s="459">
        <v>46262</v>
      </c>
      <c r="E526" s="458" t="s">
        <v>57</v>
      </c>
      <c r="F526" s="458" t="s">
        <v>6065</v>
      </c>
      <c r="G526" s="458" t="s">
        <v>32</v>
      </c>
      <c r="H526" s="458" t="s">
        <v>3937</v>
      </c>
      <c r="I526" s="502"/>
      <c r="J526" s="458">
        <v>2</v>
      </c>
      <c r="K526" s="458" t="s">
        <v>192</v>
      </c>
      <c r="L526" s="502"/>
    </row>
    <row r="527" spans="1:12" ht="15.8" customHeight="1" x14ac:dyDescent="0.2">
      <c r="A527" s="456" t="s">
        <v>51</v>
      </c>
      <c r="B527" s="456" t="s">
        <v>52</v>
      </c>
      <c r="C527" s="574"/>
      <c r="D527" s="457">
        <v>46264</v>
      </c>
      <c r="E527" s="456" t="s">
        <v>180</v>
      </c>
      <c r="F527" s="456" t="s">
        <v>6066</v>
      </c>
      <c r="G527" s="456" t="s">
        <v>816</v>
      </c>
      <c r="H527" s="456" t="s">
        <v>6067</v>
      </c>
      <c r="I527" s="456" t="s">
        <v>6068</v>
      </c>
      <c r="J527" s="456">
        <v>3</v>
      </c>
      <c r="K527" s="456" t="s">
        <v>192</v>
      </c>
      <c r="L527" s="456" t="s">
        <v>3721</v>
      </c>
    </row>
    <row r="528" spans="1:12" ht="15.8" customHeight="1" x14ac:dyDescent="0.2">
      <c r="A528" s="511" t="s">
        <v>2148</v>
      </c>
      <c r="B528" s="498"/>
      <c r="C528" s="498"/>
      <c r="D528" s="498"/>
      <c r="E528" s="498"/>
      <c r="F528" s="498"/>
      <c r="G528" s="498"/>
      <c r="H528" s="498"/>
      <c r="I528" s="498"/>
      <c r="J528" s="498"/>
      <c r="K528" s="498"/>
      <c r="L528" s="498"/>
    </row>
    <row r="529" spans="1:12" ht="15.8" customHeight="1" x14ac:dyDescent="0.2">
      <c r="A529" s="456" t="s">
        <v>51</v>
      </c>
      <c r="B529" s="456" t="s">
        <v>52</v>
      </c>
      <c r="C529" s="572">
        <f>COUNTIF(B529:B558,C2)</f>
        <v>9</v>
      </c>
      <c r="D529" s="457">
        <v>46267</v>
      </c>
      <c r="E529" s="456" t="s">
        <v>72</v>
      </c>
      <c r="F529" s="456" t="s">
        <v>446</v>
      </c>
      <c r="G529" s="456" t="s">
        <v>446</v>
      </c>
      <c r="H529" s="456" t="s">
        <v>6069</v>
      </c>
      <c r="I529" s="456" t="s">
        <v>6070</v>
      </c>
      <c r="J529" s="456">
        <v>5</v>
      </c>
      <c r="K529" s="456" t="s">
        <v>50</v>
      </c>
      <c r="L529" s="456" t="s">
        <v>6071</v>
      </c>
    </row>
    <row r="530" spans="1:12" ht="15.8" customHeight="1" x14ac:dyDescent="0.2">
      <c r="A530" s="458" t="s">
        <v>146</v>
      </c>
      <c r="B530" s="458" t="s">
        <v>11</v>
      </c>
      <c r="C530" s="573"/>
      <c r="D530" s="459">
        <v>46267</v>
      </c>
      <c r="E530" s="458" t="s">
        <v>57</v>
      </c>
      <c r="F530" s="458" t="s">
        <v>6072</v>
      </c>
      <c r="G530" s="458" t="s">
        <v>76</v>
      </c>
      <c r="H530" s="458" t="s">
        <v>6073</v>
      </c>
      <c r="I530" s="502"/>
      <c r="J530" s="458">
        <v>3</v>
      </c>
      <c r="K530" s="458" t="s">
        <v>16</v>
      </c>
      <c r="L530" s="502"/>
    </row>
    <row r="531" spans="1:12" ht="15.8" customHeight="1" x14ac:dyDescent="0.2">
      <c r="A531" s="456" t="s">
        <v>10</v>
      </c>
      <c r="B531" s="456" t="s">
        <v>312</v>
      </c>
      <c r="C531" s="573"/>
      <c r="D531" s="457">
        <v>46269</v>
      </c>
      <c r="E531" s="456" t="s">
        <v>164</v>
      </c>
      <c r="F531" s="456" t="s">
        <v>1137</v>
      </c>
      <c r="G531" s="456" t="s">
        <v>27</v>
      </c>
      <c r="H531" s="456" t="s">
        <v>6103</v>
      </c>
      <c r="I531" s="456" t="s">
        <v>3937</v>
      </c>
      <c r="J531" s="456">
        <v>1</v>
      </c>
      <c r="K531" s="456" t="s">
        <v>6104</v>
      </c>
      <c r="L531" s="456" t="s">
        <v>3937</v>
      </c>
    </row>
    <row r="532" spans="1:12" ht="15.8" customHeight="1" x14ac:dyDescent="0.2">
      <c r="A532" s="458" t="s">
        <v>51</v>
      </c>
      <c r="B532" s="458" t="s">
        <v>52</v>
      </c>
      <c r="C532" s="573"/>
      <c r="D532" s="459">
        <v>46270</v>
      </c>
      <c r="E532" s="458" t="s">
        <v>2494</v>
      </c>
      <c r="F532" s="458" t="s">
        <v>6074</v>
      </c>
      <c r="G532" s="502"/>
      <c r="H532" s="458" t="s">
        <v>6075</v>
      </c>
      <c r="I532" s="458">
        <v>0.03</v>
      </c>
      <c r="J532" s="458">
        <v>3</v>
      </c>
      <c r="K532" s="458" t="s">
        <v>192</v>
      </c>
      <c r="L532" s="502"/>
    </row>
    <row r="533" spans="1:12" ht="15.8" customHeight="1" x14ac:dyDescent="0.2">
      <c r="A533" s="456" t="s">
        <v>51</v>
      </c>
      <c r="B533" s="456" t="s">
        <v>397</v>
      </c>
      <c r="C533" s="573"/>
      <c r="D533" s="457">
        <v>46271</v>
      </c>
      <c r="E533" s="456" t="s">
        <v>5884</v>
      </c>
      <c r="F533" s="456" t="s">
        <v>6076</v>
      </c>
      <c r="G533" s="503"/>
      <c r="H533" s="456" t="s">
        <v>6077</v>
      </c>
      <c r="I533" s="503"/>
      <c r="J533" s="456">
        <v>4</v>
      </c>
      <c r="K533" s="456" t="s">
        <v>16</v>
      </c>
      <c r="L533" s="503"/>
    </row>
    <row r="534" spans="1:12" ht="15.8" customHeight="1" x14ac:dyDescent="0.2">
      <c r="A534" s="458" t="s">
        <v>51</v>
      </c>
      <c r="B534" s="458" t="s">
        <v>52</v>
      </c>
      <c r="C534" s="573"/>
      <c r="D534" s="459">
        <v>46274</v>
      </c>
      <c r="E534" s="458" t="s">
        <v>57</v>
      </c>
      <c r="F534" s="458" t="s">
        <v>6078</v>
      </c>
      <c r="G534" s="502"/>
      <c r="H534" s="458" t="s">
        <v>6079</v>
      </c>
      <c r="I534" s="502"/>
      <c r="J534" s="458">
        <v>3</v>
      </c>
      <c r="K534" s="458" t="s">
        <v>192</v>
      </c>
      <c r="L534" s="502"/>
    </row>
    <row r="535" spans="1:12" ht="15.8" customHeight="1" x14ac:dyDescent="0.2">
      <c r="A535" s="456" t="s">
        <v>51</v>
      </c>
      <c r="B535" s="456" t="s">
        <v>481</v>
      </c>
      <c r="C535" s="573"/>
      <c r="D535" s="457">
        <v>46274</v>
      </c>
      <c r="E535" s="456" t="s">
        <v>343</v>
      </c>
      <c r="F535" s="456" t="s">
        <v>4236</v>
      </c>
      <c r="G535" s="456" t="s">
        <v>139</v>
      </c>
      <c r="H535" s="456" t="s">
        <v>6080</v>
      </c>
      <c r="I535" s="503"/>
      <c r="J535" s="456">
        <v>3</v>
      </c>
      <c r="K535" s="456" t="s">
        <v>6081</v>
      </c>
      <c r="L535" s="503"/>
    </row>
    <row r="536" spans="1:12" ht="15.8" customHeight="1" x14ac:dyDescent="0.2">
      <c r="A536" s="458" t="s">
        <v>146</v>
      </c>
      <c r="B536" s="458" t="s">
        <v>2163</v>
      </c>
      <c r="C536" s="573"/>
      <c r="D536" s="459">
        <v>46274</v>
      </c>
      <c r="E536" s="458" t="s">
        <v>91</v>
      </c>
      <c r="F536" s="458" t="s">
        <v>6082</v>
      </c>
      <c r="G536" s="458" t="s">
        <v>1027</v>
      </c>
      <c r="H536" s="458" t="s">
        <v>6083</v>
      </c>
      <c r="I536" s="502"/>
      <c r="J536" s="458">
        <v>5</v>
      </c>
      <c r="K536" s="458" t="s">
        <v>34</v>
      </c>
      <c r="L536" s="502"/>
    </row>
    <row r="537" spans="1:12" ht="15.8" customHeight="1" x14ac:dyDescent="0.2">
      <c r="A537" s="456" t="s">
        <v>10</v>
      </c>
      <c r="B537" s="456" t="s">
        <v>52</v>
      </c>
      <c r="C537" s="573"/>
      <c r="D537" s="457">
        <v>46275</v>
      </c>
      <c r="E537" s="456" t="s">
        <v>6084</v>
      </c>
      <c r="F537" s="456" t="s">
        <v>6085</v>
      </c>
      <c r="G537" s="503"/>
      <c r="H537" s="456" t="s">
        <v>6086</v>
      </c>
      <c r="I537" s="503"/>
      <c r="J537" s="456">
        <v>5</v>
      </c>
      <c r="K537" s="456" t="s">
        <v>50</v>
      </c>
      <c r="L537" s="503"/>
    </row>
    <row r="538" spans="1:12" ht="15.8" customHeight="1" x14ac:dyDescent="0.2">
      <c r="A538" s="458" t="s">
        <v>51</v>
      </c>
      <c r="B538" s="458" t="s">
        <v>52</v>
      </c>
      <c r="C538" s="573"/>
      <c r="D538" s="459">
        <v>46276</v>
      </c>
      <c r="E538" s="458" t="s">
        <v>57</v>
      </c>
      <c r="F538" s="458" t="s">
        <v>4848</v>
      </c>
      <c r="G538" s="502"/>
      <c r="H538" s="458" t="s">
        <v>6087</v>
      </c>
      <c r="I538" s="502"/>
      <c r="J538" s="458">
        <v>2</v>
      </c>
      <c r="K538" s="458" t="s">
        <v>16</v>
      </c>
      <c r="L538" s="502"/>
    </row>
    <row r="539" spans="1:12" ht="15.8" customHeight="1" x14ac:dyDescent="0.2">
      <c r="A539" s="456" t="s">
        <v>17</v>
      </c>
      <c r="B539" s="456" t="s">
        <v>24</v>
      </c>
      <c r="C539" s="573"/>
      <c r="D539" s="457">
        <v>46276</v>
      </c>
      <c r="E539" s="456" t="s">
        <v>57</v>
      </c>
      <c r="F539" s="456" t="s">
        <v>43</v>
      </c>
      <c r="G539" s="456" t="s">
        <v>27</v>
      </c>
      <c r="H539" s="456" t="s">
        <v>6088</v>
      </c>
      <c r="I539" s="456" t="s">
        <v>3937</v>
      </c>
      <c r="J539" s="456">
        <v>1</v>
      </c>
      <c r="K539" s="456" t="s">
        <v>23</v>
      </c>
      <c r="L539" s="456" t="s">
        <v>3937</v>
      </c>
    </row>
    <row r="540" spans="1:12" ht="15.8" customHeight="1" x14ac:dyDescent="0.2">
      <c r="A540" s="458" t="s">
        <v>10</v>
      </c>
      <c r="B540" s="458" t="s">
        <v>2162</v>
      </c>
      <c r="C540" s="573"/>
      <c r="D540" s="459">
        <v>46276</v>
      </c>
      <c r="E540" s="458" t="s">
        <v>72</v>
      </c>
      <c r="F540" s="458" t="s">
        <v>6089</v>
      </c>
      <c r="G540" s="458" t="s">
        <v>139</v>
      </c>
      <c r="H540" s="458" t="s">
        <v>3937</v>
      </c>
      <c r="I540" s="458" t="s">
        <v>3937</v>
      </c>
      <c r="J540" s="458">
        <v>4</v>
      </c>
      <c r="K540" s="458" t="s">
        <v>1075</v>
      </c>
      <c r="L540" s="458" t="s">
        <v>3937</v>
      </c>
    </row>
    <row r="541" spans="1:12" ht="15.8" customHeight="1" x14ac:dyDescent="0.2">
      <c r="A541" s="456" t="s">
        <v>10</v>
      </c>
      <c r="B541" s="456" t="s">
        <v>52</v>
      </c>
      <c r="C541" s="573"/>
      <c r="D541" s="457">
        <v>46277</v>
      </c>
      <c r="E541" s="456" t="s">
        <v>6090</v>
      </c>
      <c r="F541" s="456" t="s">
        <v>6085</v>
      </c>
      <c r="G541" s="503"/>
      <c r="H541" s="456" t="s">
        <v>6091</v>
      </c>
      <c r="I541" s="503"/>
      <c r="J541" s="456">
        <v>3</v>
      </c>
      <c r="K541" s="456" t="s">
        <v>50</v>
      </c>
      <c r="L541" s="503"/>
    </row>
    <row r="542" spans="1:12" ht="15.8" customHeight="1" x14ac:dyDescent="0.2">
      <c r="A542" s="458" t="s">
        <v>51</v>
      </c>
      <c r="B542" s="458" t="s">
        <v>52</v>
      </c>
      <c r="C542" s="573"/>
      <c r="D542" s="459">
        <v>46280</v>
      </c>
      <c r="E542" s="458" t="s">
        <v>72</v>
      </c>
      <c r="F542" s="458" t="s">
        <v>6092</v>
      </c>
      <c r="G542" s="458" t="s">
        <v>139</v>
      </c>
      <c r="H542" s="458" t="s">
        <v>6093</v>
      </c>
      <c r="I542" s="458" t="s">
        <v>6094</v>
      </c>
      <c r="J542" s="458">
        <v>8</v>
      </c>
      <c r="K542" s="458" t="s">
        <v>102</v>
      </c>
      <c r="L542" s="458" t="s">
        <v>6095</v>
      </c>
    </row>
    <row r="543" spans="1:12" ht="15.8" customHeight="1" x14ac:dyDescent="0.2">
      <c r="A543" s="456" t="s">
        <v>51</v>
      </c>
      <c r="B543" s="456" t="s">
        <v>52</v>
      </c>
      <c r="C543" s="573"/>
      <c r="D543" s="457">
        <v>46280</v>
      </c>
      <c r="E543" s="456" t="s">
        <v>57</v>
      </c>
      <c r="F543" s="456" t="s">
        <v>6096</v>
      </c>
      <c r="G543" s="456" t="s">
        <v>6096</v>
      </c>
      <c r="H543" s="456" t="s">
        <v>1778</v>
      </c>
      <c r="I543" s="456" t="s">
        <v>6070</v>
      </c>
      <c r="J543" s="456">
        <v>4</v>
      </c>
      <c r="K543" s="456" t="s">
        <v>192</v>
      </c>
      <c r="L543" s="456" t="s">
        <v>3937</v>
      </c>
    </row>
    <row r="544" spans="1:12" ht="15.8" customHeight="1" x14ac:dyDescent="0.2">
      <c r="A544" s="458" t="s">
        <v>10</v>
      </c>
      <c r="B544" s="458" t="s">
        <v>188</v>
      </c>
      <c r="C544" s="573"/>
      <c r="D544" s="459">
        <v>46280</v>
      </c>
      <c r="E544" s="458" t="s">
        <v>164</v>
      </c>
      <c r="F544" s="458" t="s">
        <v>1066</v>
      </c>
      <c r="G544" s="458" t="s">
        <v>27</v>
      </c>
      <c r="H544" s="458" t="s">
        <v>6105</v>
      </c>
      <c r="I544" s="458" t="s">
        <v>3937</v>
      </c>
      <c r="J544" s="458">
        <v>2</v>
      </c>
      <c r="K544" s="458" t="s">
        <v>5980</v>
      </c>
      <c r="L544" s="458" t="s">
        <v>3937</v>
      </c>
    </row>
    <row r="545" spans="1:12" ht="15.8" customHeight="1" x14ac:dyDescent="0.2">
      <c r="A545" s="456" t="s">
        <v>10</v>
      </c>
      <c r="B545" s="456" t="s">
        <v>312</v>
      </c>
      <c r="C545" s="573"/>
      <c r="D545" s="457">
        <v>46281</v>
      </c>
      <c r="E545" s="456" t="s">
        <v>72</v>
      </c>
      <c r="F545" s="456" t="s">
        <v>1137</v>
      </c>
      <c r="G545" s="456" t="s">
        <v>27</v>
      </c>
      <c r="H545" s="456" t="s">
        <v>6106</v>
      </c>
      <c r="I545" s="456" t="s">
        <v>3937</v>
      </c>
      <c r="J545" s="456">
        <v>1</v>
      </c>
      <c r="K545" s="456" t="s">
        <v>50</v>
      </c>
      <c r="L545" s="456" t="s">
        <v>3937</v>
      </c>
    </row>
    <row r="546" spans="1:12" ht="15.8" customHeight="1" x14ac:dyDescent="0.2">
      <c r="A546" s="458" t="s">
        <v>387</v>
      </c>
      <c r="B546" s="458" t="s">
        <v>52</v>
      </c>
      <c r="C546" s="573"/>
      <c r="D546" s="459">
        <v>46282</v>
      </c>
      <c r="E546" s="458" t="s">
        <v>91</v>
      </c>
      <c r="F546" s="458" t="s">
        <v>1767</v>
      </c>
      <c r="G546" s="458" t="s">
        <v>1767</v>
      </c>
      <c r="H546" s="458" t="s">
        <v>6097</v>
      </c>
      <c r="I546" s="502"/>
      <c r="J546" s="458">
        <v>4</v>
      </c>
      <c r="K546" s="458" t="s">
        <v>50</v>
      </c>
      <c r="L546" s="502"/>
    </row>
    <row r="547" spans="1:12" ht="15.8" customHeight="1" x14ac:dyDescent="0.2">
      <c r="A547" s="456" t="s">
        <v>10</v>
      </c>
      <c r="B547" s="456" t="s">
        <v>29</v>
      </c>
      <c r="C547" s="573"/>
      <c r="D547" s="457">
        <v>46283</v>
      </c>
      <c r="E547" s="456" t="s">
        <v>57</v>
      </c>
      <c r="F547" s="456" t="s">
        <v>139</v>
      </c>
      <c r="G547" s="456" t="s">
        <v>139</v>
      </c>
      <c r="H547" s="456" t="s">
        <v>6107</v>
      </c>
      <c r="I547" s="456" t="s">
        <v>3937</v>
      </c>
      <c r="J547" s="456">
        <v>2</v>
      </c>
      <c r="K547" s="456" t="s">
        <v>78</v>
      </c>
      <c r="L547" s="456" t="s">
        <v>3937</v>
      </c>
    </row>
    <row r="548" spans="1:12" ht="15.8" customHeight="1" x14ac:dyDescent="0.2">
      <c r="A548" s="458" t="s">
        <v>387</v>
      </c>
      <c r="B548" s="458" t="s">
        <v>397</v>
      </c>
      <c r="C548" s="573"/>
      <c r="D548" s="459">
        <v>46285</v>
      </c>
      <c r="E548" s="458" t="s">
        <v>2376</v>
      </c>
      <c r="F548" s="458" t="s">
        <v>6098</v>
      </c>
      <c r="G548" s="502"/>
      <c r="H548" s="458" t="s">
        <v>6099</v>
      </c>
      <c r="I548" s="458" t="s">
        <v>167</v>
      </c>
      <c r="J548" s="458">
        <v>3</v>
      </c>
      <c r="K548" s="458" t="s">
        <v>192</v>
      </c>
      <c r="L548" s="458" t="s">
        <v>167</v>
      </c>
    </row>
    <row r="549" spans="1:12" ht="15.8" customHeight="1" x14ac:dyDescent="0.2">
      <c r="A549" s="456" t="s">
        <v>10</v>
      </c>
      <c r="B549" s="456" t="s">
        <v>2162</v>
      </c>
      <c r="C549" s="573"/>
      <c r="D549" s="457">
        <v>46285</v>
      </c>
      <c r="E549" s="456" t="s">
        <v>91</v>
      </c>
      <c r="F549" s="456" t="s">
        <v>6100</v>
      </c>
      <c r="G549" s="456" t="s">
        <v>1343</v>
      </c>
      <c r="H549" s="456" t="s">
        <v>6101</v>
      </c>
      <c r="I549" s="456" t="s">
        <v>167</v>
      </c>
      <c r="J549" s="456">
        <v>2</v>
      </c>
      <c r="K549" s="456" t="s">
        <v>78</v>
      </c>
      <c r="L549" s="456" t="s">
        <v>167</v>
      </c>
    </row>
    <row r="550" spans="1:12" ht="15.8" customHeight="1" x14ac:dyDescent="0.2">
      <c r="A550" s="458" t="s">
        <v>51</v>
      </c>
      <c r="B550" s="458" t="s">
        <v>244</v>
      </c>
      <c r="C550" s="573"/>
      <c r="D550" s="459">
        <v>46286</v>
      </c>
      <c r="E550" s="458" t="s">
        <v>57</v>
      </c>
      <c r="F550" s="458" t="s">
        <v>1334</v>
      </c>
      <c r="G550" s="458" t="s">
        <v>3975</v>
      </c>
      <c r="H550" s="458" t="s">
        <v>6102</v>
      </c>
      <c r="I550" s="502"/>
      <c r="J550" s="458">
        <v>3</v>
      </c>
      <c r="K550" s="458" t="s">
        <v>192</v>
      </c>
      <c r="L550" s="502"/>
    </row>
    <row r="551" spans="1:12" ht="15.8" customHeight="1" x14ac:dyDescent="0.2">
      <c r="A551" s="456" t="s">
        <v>35</v>
      </c>
      <c r="B551" s="456" t="s">
        <v>2162</v>
      </c>
      <c r="C551" s="573"/>
      <c r="D551" s="457">
        <v>46288</v>
      </c>
      <c r="E551" s="456" t="s">
        <v>1197</v>
      </c>
      <c r="F551" s="456" t="s">
        <v>6108</v>
      </c>
      <c r="G551" s="456" t="s">
        <v>6109</v>
      </c>
      <c r="H551" s="456" t="s">
        <v>6110</v>
      </c>
      <c r="I551" s="456" t="s">
        <v>6111</v>
      </c>
      <c r="J551" s="456">
        <v>11</v>
      </c>
      <c r="K551" s="456" t="s">
        <v>6112</v>
      </c>
      <c r="L551" s="456" t="s">
        <v>3721</v>
      </c>
    </row>
    <row r="552" spans="1:12" ht="15.8" customHeight="1" x14ac:dyDescent="0.2">
      <c r="A552" s="458" t="s">
        <v>10</v>
      </c>
      <c r="B552" s="458" t="s">
        <v>324</v>
      </c>
      <c r="C552" s="573"/>
      <c r="D552" s="459">
        <v>46288</v>
      </c>
      <c r="E552" s="458" t="s">
        <v>126</v>
      </c>
      <c r="F552" s="458" t="s">
        <v>6113</v>
      </c>
      <c r="G552" s="458" t="s">
        <v>4143</v>
      </c>
      <c r="H552" s="458" t="s">
        <v>6114</v>
      </c>
      <c r="I552" s="458" t="s">
        <v>6115</v>
      </c>
      <c r="J552" s="458">
        <v>4</v>
      </c>
      <c r="K552" s="458" t="s">
        <v>78</v>
      </c>
      <c r="L552" s="502"/>
    </row>
    <row r="553" spans="1:12" ht="15.8" customHeight="1" x14ac:dyDescent="0.2">
      <c r="A553" s="456" t="s">
        <v>10</v>
      </c>
      <c r="B553" s="456" t="s">
        <v>324</v>
      </c>
      <c r="C553" s="573"/>
      <c r="D553" s="457">
        <v>46288</v>
      </c>
      <c r="E553" s="456" t="s">
        <v>6116</v>
      </c>
      <c r="F553" s="456" t="s">
        <v>6117</v>
      </c>
      <c r="G553" s="456" t="s">
        <v>1777</v>
      </c>
      <c r="H553" s="456" t="s">
        <v>6118</v>
      </c>
      <c r="I553" s="456" t="s">
        <v>3721</v>
      </c>
      <c r="J553" s="456">
        <v>4</v>
      </c>
      <c r="K553" s="456" t="s">
        <v>78</v>
      </c>
      <c r="L553" s="503"/>
    </row>
    <row r="554" spans="1:12" ht="15.8" customHeight="1" x14ac:dyDescent="0.2">
      <c r="A554" s="458" t="s">
        <v>10</v>
      </c>
      <c r="B554" s="458" t="s">
        <v>324</v>
      </c>
      <c r="C554" s="573"/>
      <c r="D554" s="459">
        <v>46288</v>
      </c>
      <c r="E554" s="458" t="s">
        <v>6119</v>
      </c>
      <c r="F554" s="458" t="s">
        <v>6120</v>
      </c>
      <c r="G554" s="458" t="s">
        <v>3983</v>
      </c>
      <c r="H554" s="458" t="s">
        <v>6121</v>
      </c>
      <c r="I554" s="458" t="s">
        <v>3721</v>
      </c>
      <c r="J554" s="458">
        <v>5</v>
      </c>
      <c r="K554" s="458" t="s">
        <v>50</v>
      </c>
      <c r="L554" s="458" t="s">
        <v>3721</v>
      </c>
    </row>
    <row r="555" spans="1:12" ht="15.8" customHeight="1" x14ac:dyDescent="0.2">
      <c r="A555" s="456" t="s">
        <v>51</v>
      </c>
      <c r="B555" s="456" t="s">
        <v>481</v>
      </c>
      <c r="C555" s="573"/>
      <c r="D555" s="457">
        <v>46292</v>
      </c>
      <c r="E555" s="456" t="s">
        <v>1700</v>
      </c>
      <c r="F555" s="456" t="s">
        <v>6122</v>
      </c>
      <c r="G555" s="456" t="s">
        <v>6123</v>
      </c>
      <c r="H555" s="456" t="s">
        <v>6124</v>
      </c>
      <c r="I555" s="503"/>
      <c r="J555" s="456">
        <v>2</v>
      </c>
      <c r="K555" s="456" t="s">
        <v>16</v>
      </c>
      <c r="L555" s="503"/>
    </row>
    <row r="556" spans="1:12" ht="15.8" customHeight="1" x14ac:dyDescent="0.2">
      <c r="A556" s="458" t="s">
        <v>146</v>
      </c>
      <c r="B556" s="458" t="s">
        <v>2163</v>
      </c>
      <c r="C556" s="573"/>
      <c r="D556" s="459">
        <v>46293</v>
      </c>
      <c r="E556" s="458" t="s">
        <v>6125</v>
      </c>
      <c r="F556" s="458" t="s">
        <v>6126</v>
      </c>
      <c r="G556" s="458" t="s">
        <v>95</v>
      </c>
      <c r="H556" s="458" t="s">
        <v>6127</v>
      </c>
      <c r="I556" s="458" t="s">
        <v>5306</v>
      </c>
      <c r="J556" s="458">
        <v>3</v>
      </c>
      <c r="K556" s="458" t="s">
        <v>192</v>
      </c>
      <c r="L556" s="458" t="s">
        <v>3721</v>
      </c>
    </row>
    <row r="557" spans="1:12" ht="15.8" customHeight="1" x14ac:dyDescent="0.2">
      <c r="A557" s="456" t="s">
        <v>10</v>
      </c>
      <c r="B557" s="456" t="s">
        <v>29</v>
      </c>
      <c r="C557" s="573"/>
      <c r="D557" s="457">
        <v>46295</v>
      </c>
      <c r="E557" s="456" t="s">
        <v>72</v>
      </c>
      <c r="F557" s="456" t="s">
        <v>6128</v>
      </c>
      <c r="G557" s="456" t="s">
        <v>182</v>
      </c>
      <c r="H557" s="456" t="s">
        <v>6129</v>
      </c>
      <c r="I557" s="456" t="s">
        <v>5306</v>
      </c>
      <c r="J557" s="456">
        <v>3</v>
      </c>
      <c r="K557" s="456" t="s">
        <v>50</v>
      </c>
      <c r="L557" s="456" t="s">
        <v>3721</v>
      </c>
    </row>
    <row r="558" spans="1:12" ht="15.8" customHeight="1" x14ac:dyDescent="0.2">
      <c r="A558" s="458" t="s">
        <v>10</v>
      </c>
      <c r="B558" s="458" t="s">
        <v>2162</v>
      </c>
      <c r="C558" s="574"/>
      <c r="D558" s="459">
        <v>46295</v>
      </c>
      <c r="E558" s="458" t="s">
        <v>72</v>
      </c>
      <c r="F558" s="458" t="s">
        <v>6130</v>
      </c>
      <c r="G558" s="458" t="s">
        <v>27</v>
      </c>
      <c r="H558" s="458" t="s">
        <v>6131</v>
      </c>
      <c r="I558" s="458" t="s">
        <v>3937</v>
      </c>
      <c r="J558" s="458">
        <v>2</v>
      </c>
      <c r="K558" s="458" t="s">
        <v>192</v>
      </c>
      <c r="L558" s="458" t="s">
        <v>3937</v>
      </c>
    </row>
    <row r="559" spans="1:12" ht="46.9" x14ac:dyDescent="0.2">
      <c r="A559" s="492" t="s">
        <v>2677</v>
      </c>
      <c r="B559" s="493">
        <f>COUNTA(B4:B558)</f>
        <v>547</v>
      </c>
      <c r="C559" s="493">
        <f>SUM(C4:C558)</f>
        <v>42</v>
      </c>
      <c r="D559" s="494"/>
      <c r="E559" s="495"/>
      <c r="F559" s="495"/>
      <c r="G559" s="496"/>
      <c r="H559" s="495"/>
      <c r="I559" s="495"/>
      <c r="J559" s="495"/>
      <c r="K559" s="497"/>
      <c r="L559" s="497"/>
    </row>
    <row r="560" spans="1:12" ht="12.9" x14ac:dyDescent="0.2">
      <c r="A560" s="13"/>
      <c r="B560" s="525"/>
      <c r="C560" s="89"/>
      <c r="D560" s="60"/>
      <c r="E560" s="13"/>
      <c r="F560" s="13"/>
      <c r="G560" s="13"/>
      <c r="H560" s="42"/>
      <c r="I560" s="13"/>
    </row>
  </sheetData>
  <autoFilter ref="A1:AR1" xr:uid="{00000000-0009-0000-0000-000003000000}"/>
  <mergeCells count="20">
    <mergeCell ref="C529:C558"/>
    <mergeCell ref="A1:A2"/>
    <mergeCell ref="B1:B2"/>
    <mergeCell ref="D1:D2"/>
    <mergeCell ref="E1:E2"/>
    <mergeCell ref="C80:C101"/>
    <mergeCell ref="C55:C78"/>
    <mergeCell ref="C4:C18"/>
    <mergeCell ref="C20:C53"/>
    <mergeCell ref="F1:F2"/>
    <mergeCell ref="H1:H2"/>
    <mergeCell ref="L1:L2"/>
    <mergeCell ref="K1:K2"/>
    <mergeCell ref="G1:G2"/>
    <mergeCell ref="J1:J2"/>
    <mergeCell ref="I1:I2"/>
    <mergeCell ref="C173:C527"/>
    <mergeCell ref="C129:C151"/>
    <mergeCell ref="C103:C127"/>
    <mergeCell ref="C153:C171"/>
  </mergeCells>
  <conditionalFormatting sqref="C2 C4:C20 B560 B102">
    <cfRule type="cellIs" dxfId="16" priority="12" operator="equal">
      <formula>$C$2</formula>
    </cfRule>
  </conditionalFormatting>
  <conditionalFormatting sqref="B3:B101 B561:B1048576">
    <cfRule type="cellIs" dxfId="15" priority="7" operator="equal">
      <formula>$C$2</formula>
    </cfRule>
  </conditionalFormatting>
  <conditionalFormatting sqref="B103:B127">
    <cfRule type="cellIs" dxfId="14" priority="3" operator="equal">
      <formula>$C$2</formula>
    </cfRule>
  </conditionalFormatting>
  <conditionalFormatting sqref="B128:B558">
    <cfRule type="cellIs" dxfId="13" priority="1" operator="equal">
      <formula>$C$2</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53"/>
  <sheetViews>
    <sheetView zoomScaleNormal="100" workbookViewId="0">
      <pane ySplit="2" topLeftCell="A234" activePane="bottomLeft" state="frozen"/>
      <selection pane="bottomLeft" activeCell="A205" sqref="A205:XFD250"/>
    </sheetView>
  </sheetViews>
  <sheetFormatPr baseColWidth="10" defaultColWidth="12.625" defaultRowHeight="15.8" customHeight="1" x14ac:dyDescent="0.2"/>
  <cols>
    <col min="1" max="1" width="29.375" style="15" bestFit="1" customWidth="1"/>
    <col min="2" max="2" width="71.25" style="15" customWidth="1"/>
    <col min="3" max="3" width="44" style="90" bestFit="1" customWidth="1"/>
    <col min="4" max="4" width="21" style="16" bestFit="1" customWidth="1"/>
    <col min="5" max="5" width="36" style="15" bestFit="1" customWidth="1"/>
    <col min="6" max="6" width="41.25" style="15" bestFit="1" customWidth="1"/>
    <col min="7" max="7" width="40" style="180" bestFit="1" customWidth="1"/>
    <col min="8" max="8" width="147.125" style="15" bestFit="1" customWidth="1"/>
    <col min="9" max="9" width="37.75" style="15" bestFit="1" customWidth="1"/>
    <col min="10" max="18" width="18.875" customWidth="1"/>
    <col min="20" max="20" width="29.875" bestFit="1" customWidth="1"/>
    <col min="21" max="21" width="23.75" bestFit="1" customWidth="1"/>
    <col min="22" max="22" width="19.125" bestFit="1" customWidth="1"/>
    <col min="23" max="23" width="39.75" bestFit="1" customWidth="1"/>
    <col min="24" max="24" width="13.375" bestFit="1" customWidth="1"/>
    <col min="25" max="25" width="24.375" bestFit="1" customWidth="1"/>
    <col min="26" max="26" width="19.625" bestFit="1" customWidth="1"/>
    <col min="27" max="27" width="22.25" bestFit="1" customWidth="1"/>
    <col min="28" max="28" width="26.125" bestFit="1" customWidth="1"/>
    <col min="29" max="29" width="22.625" bestFit="1" customWidth="1"/>
    <col min="30" max="30" width="14.25" bestFit="1" customWidth="1"/>
    <col min="31" max="31" width="27.75" bestFit="1" customWidth="1"/>
    <col min="32" max="32" width="27.25" bestFit="1" customWidth="1"/>
    <col min="33" max="33" width="21.5" bestFit="1" customWidth="1"/>
    <col min="34" max="34" width="24.75" bestFit="1" customWidth="1"/>
    <col min="35" max="35" width="25.5" bestFit="1" customWidth="1"/>
    <col min="36" max="36" width="21.875" bestFit="1" customWidth="1"/>
    <col min="37" max="37" width="26.25" bestFit="1" customWidth="1"/>
    <col min="38" max="38" width="22" bestFit="1" customWidth="1"/>
    <col min="39" max="39" width="24.625" bestFit="1" customWidth="1"/>
    <col min="40" max="40" width="33.75" bestFit="1" customWidth="1"/>
    <col min="41" max="41" width="24.25" bestFit="1" customWidth="1"/>
    <col min="42" max="42" width="43.5" bestFit="1" customWidth="1"/>
    <col min="43" max="43" width="33.625" bestFit="1" customWidth="1"/>
    <col min="44" max="44" width="24.375" bestFit="1" customWidth="1"/>
  </cols>
  <sheetData>
    <row r="1" spans="1:11" ht="13.6" x14ac:dyDescent="0.2">
      <c r="A1" s="570" t="s">
        <v>0</v>
      </c>
      <c r="B1" s="570" t="s">
        <v>1</v>
      </c>
      <c r="C1" s="515" t="s">
        <v>2651</v>
      </c>
      <c r="D1" s="575" t="s">
        <v>2</v>
      </c>
      <c r="E1" s="570" t="s">
        <v>3</v>
      </c>
      <c r="F1" s="570" t="s">
        <v>4</v>
      </c>
      <c r="G1" s="570" t="s">
        <v>5</v>
      </c>
      <c r="H1" s="571" t="s">
        <v>6</v>
      </c>
      <c r="I1" s="571" t="s">
        <v>2673</v>
      </c>
      <c r="J1" s="570" t="s">
        <v>7</v>
      </c>
      <c r="K1" s="571" t="s">
        <v>8</v>
      </c>
    </row>
    <row r="2" spans="1:11" ht="28.05" customHeight="1" x14ac:dyDescent="0.2">
      <c r="A2" s="570"/>
      <c r="B2" s="570"/>
      <c r="C2" s="515" t="str">
        <f>'DETALLADO X MES 2026'!J2</f>
        <v>INCENDIO FORESTAL</v>
      </c>
      <c r="D2" s="575"/>
      <c r="E2" s="570"/>
      <c r="F2" s="570"/>
      <c r="G2" s="570"/>
      <c r="H2" s="571"/>
      <c r="I2" s="571"/>
      <c r="J2" s="570"/>
      <c r="K2" s="571"/>
    </row>
    <row r="3" spans="1:11" ht="15.8" customHeight="1" x14ac:dyDescent="0.2">
      <c r="A3" s="473" t="s">
        <v>9</v>
      </c>
      <c r="B3" s="474"/>
      <c r="C3" s="475"/>
      <c r="D3" s="476"/>
      <c r="E3" s="474"/>
      <c r="F3" s="474"/>
      <c r="G3" s="474"/>
      <c r="H3" s="477"/>
      <c r="I3" s="474"/>
      <c r="J3" s="478"/>
      <c r="K3" s="478"/>
    </row>
    <row r="4" spans="1:11" ht="12.9" x14ac:dyDescent="0.2">
      <c r="A4" s="479" t="s">
        <v>10</v>
      </c>
      <c r="B4" s="479" t="s">
        <v>11</v>
      </c>
      <c r="C4" s="577">
        <f>COUNTIF(B4:B32,C2)</f>
        <v>7</v>
      </c>
      <c r="D4" s="480">
        <v>45666</v>
      </c>
      <c r="E4" s="479" t="s">
        <v>57</v>
      </c>
      <c r="F4" s="479" t="s">
        <v>4562</v>
      </c>
      <c r="G4" s="479" t="s">
        <v>95</v>
      </c>
      <c r="H4" s="479" t="s">
        <v>4563</v>
      </c>
      <c r="I4" s="479" t="s">
        <v>3937</v>
      </c>
      <c r="J4" s="479">
        <v>4</v>
      </c>
      <c r="K4" s="481"/>
    </row>
    <row r="5" spans="1:11" ht="12.9" x14ac:dyDescent="0.2">
      <c r="A5" s="482" t="s">
        <v>17</v>
      </c>
      <c r="B5" s="482" t="s">
        <v>24</v>
      </c>
      <c r="C5" s="577"/>
      <c r="D5" s="483">
        <v>45670</v>
      </c>
      <c r="E5" s="482" t="s">
        <v>57</v>
      </c>
      <c r="F5" s="482" t="s">
        <v>4564</v>
      </c>
      <c r="G5" s="482" t="s">
        <v>144</v>
      </c>
      <c r="H5" s="482" t="s">
        <v>4565</v>
      </c>
      <c r="I5" s="482" t="s">
        <v>3721</v>
      </c>
      <c r="J5" s="482">
        <v>1</v>
      </c>
      <c r="K5" s="481"/>
    </row>
    <row r="6" spans="1:11" ht="12.9" x14ac:dyDescent="0.2">
      <c r="A6" s="479" t="s">
        <v>17</v>
      </c>
      <c r="B6" s="479" t="s">
        <v>24</v>
      </c>
      <c r="C6" s="577"/>
      <c r="D6" s="480">
        <v>45670</v>
      </c>
      <c r="E6" s="479" t="s">
        <v>57</v>
      </c>
      <c r="F6" s="479" t="s">
        <v>4566</v>
      </c>
      <c r="G6" s="479" t="s">
        <v>144</v>
      </c>
      <c r="H6" s="479" t="s">
        <v>4567</v>
      </c>
      <c r="I6" s="479" t="s">
        <v>3721</v>
      </c>
      <c r="J6" s="479">
        <v>1</v>
      </c>
      <c r="K6" s="481"/>
    </row>
    <row r="7" spans="1:11" ht="12.9" x14ac:dyDescent="0.2">
      <c r="A7" s="482" t="s">
        <v>17</v>
      </c>
      <c r="B7" s="482" t="s">
        <v>2162</v>
      </c>
      <c r="C7" s="577"/>
      <c r="D7" s="483">
        <v>45671</v>
      </c>
      <c r="E7" s="482" t="s">
        <v>291</v>
      </c>
      <c r="F7" s="482" t="s">
        <v>4493</v>
      </c>
      <c r="G7" s="482" t="s">
        <v>85</v>
      </c>
      <c r="H7" s="482" t="s">
        <v>4568</v>
      </c>
      <c r="I7" s="482" t="s">
        <v>3721</v>
      </c>
      <c r="J7" s="482">
        <v>2</v>
      </c>
      <c r="K7" s="481"/>
    </row>
    <row r="8" spans="1:11" ht="12.9" x14ac:dyDescent="0.2">
      <c r="A8" s="479" t="s">
        <v>10</v>
      </c>
      <c r="B8" s="479" t="s">
        <v>137</v>
      </c>
      <c r="C8" s="577"/>
      <c r="D8" s="480">
        <v>45672</v>
      </c>
      <c r="E8" s="479" t="s">
        <v>57</v>
      </c>
      <c r="F8" s="479" t="s">
        <v>4569</v>
      </c>
      <c r="G8" s="479" t="s">
        <v>4570</v>
      </c>
      <c r="H8" s="479" t="s">
        <v>4571</v>
      </c>
      <c r="I8" s="479" t="s">
        <v>3937</v>
      </c>
      <c r="J8" s="479">
        <v>3</v>
      </c>
      <c r="K8" s="481"/>
    </row>
    <row r="9" spans="1:11" ht="25.85" x14ac:dyDescent="0.2">
      <c r="A9" s="482" t="s">
        <v>387</v>
      </c>
      <c r="B9" s="482" t="s">
        <v>52</v>
      </c>
      <c r="C9" s="577"/>
      <c r="D9" s="483">
        <v>45674</v>
      </c>
      <c r="E9" s="482" t="s">
        <v>4572</v>
      </c>
      <c r="F9" s="482" t="s">
        <v>4573</v>
      </c>
      <c r="G9" s="482" t="s">
        <v>1027</v>
      </c>
      <c r="H9" s="482" t="s">
        <v>4574</v>
      </c>
      <c r="I9" s="482" t="s">
        <v>4438</v>
      </c>
      <c r="J9" s="482">
        <v>5</v>
      </c>
      <c r="K9" s="481"/>
    </row>
    <row r="10" spans="1:11" ht="12.9" x14ac:dyDescent="0.2">
      <c r="A10" s="479" t="s">
        <v>35</v>
      </c>
      <c r="B10" s="479" t="s">
        <v>137</v>
      </c>
      <c r="C10" s="577"/>
      <c r="D10" s="480">
        <v>45675</v>
      </c>
      <c r="E10" s="479" t="s">
        <v>4244</v>
      </c>
      <c r="F10" s="479" t="s">
        <v>4575</v>
      </c>
      <c r="G10" s="479" t="s">
        <v>95</v>
      </c>
      <c r="H10" s="479" t="s">
        <v>4576</v>
      </c>
      <c r="I10" s="479" t="s">
        <v>3721</v>
      </c>
      <c r="J10" s="479">
        <v>2</v>
      </c>
      <c r="K10" s="481"/>
    </row>
    <row r="11" spans="1:11" ht="12.9" x14ac:dyDescent="0.2">
      <c r="A11" s="482" t="s">
        <v>51</v>
      </c>
      <c r="B11" s="482" t="s">
        <v>52</v>
      </c>
      <c r="C11" s="577"/>
      <c r="D11" s="483">
        <v>45676</v>
      </c>
      <c r="E11" s="482" t="s">
        <v>4577</v>
      </c>
      <c r="F11" s="482" t="s">
        <v>4578</v>
      </c>
      <c r="G11" s="482" t="s">
        <v>1066</v>
      </c>
      <c r="H11" s="482" t="s">
        <v>4579</v>
      </c>
      <c r="I11" s="482" t="s">
        <v>3721</v>
      </c>
      <c r="J11" s="482">
        <v>4</v>
      </c>
      <c r="K11" s="481"/>
    </row>
    <row r="12" spans="1:11" ht="12.9" x14ac:dyDescent="0.2">
      <c r="A12" s="479" t="s">
        <v>51</v>
      </c>
      <c r="B12" s="479" t="s">
        <v>397</v>
      </c>
      <c r="C12" s="577"/>
      <c r="D12" s="480">
        <v>46011</v>
      </c>
      <c r="E12" s="479" t="s">
        <v>4375</v>
      </c>
      <c r="F12" s="479" t="s">
        <v>4580</v>
      </c>
      <c r="G12" s="479" t="s">
        <v>217</v>
      </c>
      <c r="H12" s="479" t="s">
        <v>4581</v>
      </c>
      <c r="I12" s="479" t="s">
        <v>3721</v>
      </c>
      <c r="J12" s="479">
        <v>10</v>
      </c>
      <c r="K12" s="481"/>
    </row>
    <row r="13" spans="1:11" ht="12.9" x14ac:dyDescent="0.2">
      <c r="A13" s="482" t="s">
        <v>10</v>
      </c>
      <c r="B13" s="482" t="s">
        <v>11</v>
      </c>
      <c r="C13" s="577"/>
      <c r="D13" s="483">
        <v>45678</v>
      </c>
      <c r="E13" s="482" t="s">
        <v>1423</v>
      </c>
      <c r="F13" s="482" t="s">
        <v>4582</v>
      </c>
      <c r="G13" s="482" t="s">
        <v>478</v>
      </c>
      <c r="H13" s="482" t="s">
        <v>4246</v>
      </c>
      <c r="I13" s="482" t="s">
        <v>3721</v>
      </c>
      <c r="J13" s="482">
        <v>4</v>
      </c>
      <c r="K13" s="481"/>
    </row>
    <row r="14" spans="1:11" ht="12.9" x14ac:dyDescent="0.2">
      <c r="A14" s="479" t="s">
        <v>17</v>
      </c>
      <c r="B14" s="479" t="s">
        <v>24</v>
      </c>
      <c r="C14" s="577"/>
      <c r="D14" s="480">
        <v>45679</v>
      </c>
      <c r="E14" s="479" t="s">
        <v>87</v>
      </c>
      <c r="F14" s="479" t="s">
        <v>4583</v>
      </c>
      <c r="G14" s="479" t="s">
        <v>144</v>
      </c>
      <c r="H14" s="479" t="s">
        <v>4584</v>
      </c>
      <c r="I14" s="479" t="s">
        <v>3721</v>
      </c>
      <c r="J14" s="479">
        <v>1</v>
      </c>
      <c r="K14" s="481"/>
    </row>
    <row r="15" spans="1:11" ht="12.9" x14ac:dyDescent="0.2">
      <c r="A15" s="482" t="s">
        <v>51</v>
      </c>
      <c r="B15" s="482" t="s">
        <v>52</v>
      </c>
      <c r="C15" s="577"/>
      <c r="D15" s="483">
        <v>45680</v>
      </c>
      <c r="E15" s="482" t="s">
        <v>4585</v>
      </c>
      <c r="F15" s="482" t="s">
        <v>733</v>
      </c>
      <c r="G15" s="482" t="s">
        <v>733</v>
      </c>
      <c r="H15" s="482" t="s">
        <v>4586</v>
      </c>
      <c r="I15" s="482" t="s">
        <v>4587</v>
      </c>
      <c r="J15" s="482">
        <v>5</v>
      </c>
      <c r="K15" s="481"/>
    </row>
    <row r="16" spans="1:11" ht="12.9" x14ac:dyDescent="0.2">
      <c r="A16" s="479" t="s">
        <v>159</v>
      </c>
      <c r="B16" s="479" t="s">
        <v>2164</v>
      </c>
      <c r="C16" s="577"/>
      <c r="D16" s="480">
        <v>45681</v>
      </c>
      <c r="E16" s="479" t="s">
        <v>131</v>
      </c>
      <c r="F16" s="479" t="s">
        <v>4588</v>
      </c>
      <c r="G16" s="479" t="s">
        <v>4589</v>
      </c>
      <c r="H16" s="479" t="s">
        <v>4590</v>
      </c>
      <c r="I16" s="479" t="s">
        <v>3721</v>
      </c>
      <c r="J16" s="479">
        <v>4</v>
      </c>
      <c r="K16" s="481"/>
    </row>
    <row r="17" spans="1:11" ht="12.9" x14ac:dyDescent="0.2">
      <c r="A17" s="482" t="s">
        <v>51</v>
      </c>
      <c r="B17" s="482" t="s">
        <v>397</v>
      </c>
      <c r="C17" s="577"/>
      <c r="D17" s="483">
        <v>45681</v>
      </c>
      <c r="E17" s="482" t="s">
        <v>4148</v>
      </c>
      <c r="F17" s="482" t="s">
        <v>4591</v>
      </c>
      <c r="G17" s="482" t="s">
        <v>144</v>
      </c>
      <c r="H17" s="482" t="s">
        <v>4592</v>
      </c>
      <c r="I17" s="482" t="s">
        <v>3721</v>
      </c>
      <c r="J17" s="482">
        <v>5</v>
      </c>
      <c r="K17" s="481"/>
    </row>
    <row r="18" spans="1:11" ht="12.9" x14ac:dyDescent="0.2">
      <c r="A18" s="479" t="s">
        <v>35</v>
      </c>
      <c r="B18" s="479" t="s">
        <v>137</v>
      </c>
      <c r="C18" s="577"/>
      <c r="D18" s="480">
        <v>45681</v>
      </c>
      <c r="E18" s="479" t="s">
        <v>118</v>
      </c>
      <c r="F18" s="479" t="s">
        <v>4593</v>
      </c>
      <c r="G18" s="479" t="s">
        <v>4594</v>
      </c>
      <c r="H18" s="479" t="s">
        <v>4595</v>
      </c>
      <c r="I18" s="479" t="s">
        <v>3721</v>
      </c>
      <c r="J18" s="479">
        <v>2</v>
      </c>
      <c r="K18" s="481"/>
    </row>
    <row r="19" spans="1:11" ht="12.9" x14ac:dyDescent="0.2">
      <c r="A19" s="482" t="s">
        <v>35</v>
      </c>
      <c r="B19" s="482" t="s">
        <v>137</v>
      </c>
      <c r="C19" s="577"/>
      <c r="D19" s="483">
        <v>45681</v>
      </c>
      <c r="E19" s="482" t="s">
        <v>4596</v>
      </c>
      <c r="F19" s="482" t="s">
        <v>4597</v>
      </c>
      <c r="G19" s="482" t="s">
        <v>4594</v>
      </c>
      <c r="H19" s="482" t="s">
        <v>4598</v>
      </c>
      <c r="I19" s="482" t="s">
        <v>3721</v>
      </c>
      <c r="J19" s="482">
        <v>2</v>
      </c>
      <c r="K19" s="481"/>
    </row>
    <row r="20" spans="1:11" ht="12.9" x14ac:dyDescent="0.2">
      <c r="A20" s="479" t="s">
        <v>51</v>
      </c>
      <c r="B20" s="479" t="s">
        <v>52</v>
      </c>
      <c r="C20" s="577"/>
      <c r="D20" s="480">
        <v>45682</v>
      </c>
      <c r="E20" s="479" t="s">
        <v>72</v>
      </c>
      <c r="F20" s="479" t="s">
        <v>1066</v>
      </c>
      <c r="G20" s="484"/>
      <c r="H20" s="479" t="s">
        <v>4599</v>
      </c>
      <c r="I20" s="479" t="s">
        <v>167</v>
      </c>
      <c r="J20" s="479">
        <v>4</v>
      </c>
      <c r="K20" s="481"/>
    </row>
    <row r="21" spans="1:11" ht="12.9" x14ac:dyDescent="0.2">
      <c r="A21" s="482" t="s">
        <v>159</v>
      </c>
      <c r="B21" s="482" t="s">
        <v>2164</v>
      </c>
      <c r="C21" s="577"/>
      <c r="D21" s="483">
        <v>45682</v>
      </c>
      <c r="E21" s="482" t="s">
        <v>2553</v>
      </c>
      <c r="F21" s="482" t="s">
        <v>4589</v>
      </c>
      <c r="G21" s="482" t="s">
        <v>4600</v>
      </c>
      <c r="H21" s="482" t="s">
        <v>4601</v>
      </c>
      <c r="I21" s="482" t="s">
        <v>3721</v>
      </c>
      <c r="J21" s="482">
        <v>5</v>
      </c>
      <c r="K21" s="481"/>
    </row>
    <row r="22" spans="1:11" ht="12.9" x14ac:dyDescent="0.2">
      <c r="A22" s="479" t="s">
        <v>51</v>
      </c>
      <c r="B22" s="479" t="s">
        <v>52</v>
      </c>
      <c r="C22" s="577"/>
      <c r="D22" s="480">
        <v>45683</v>
      </c>
      <c r="E22" s="479" t="s">
        <v>4602</v>
      </c>
      <c r="F22" s="479" t="s">
        <v>1065</v>
      </c>
      <c r="G22" s="479" t="s">
        <v>1066</v>
      </c>
      <c r="H22" s="479" t="s">
        <v>4603</v>
      </c>
      <c r="I22" s="479" t="s">
        <v>3721</v>
      </c>
      <c r="J22" s="479">
        <v>4</v>
      </c>
      <c r="K22" s="481"/>
    </row>
    <row r="23" spans="1:11" ht="12.9" x14ac:dyDescent="0.2">
      <c r="A23" s="482" t="s">
        <v>51</v>
      </c>
      <c r="B23" s="482" t="s">
        <v>481</v>
      </c>
      <c r="C23" s="577"/>
      <c r="D23" s="483">
        <v>45684</v>
      </c>
      <c r="E23" s="482" t="s">
        <v>286</v>
      </c>
      <c r="F23" s="482" t="s">
        <v>1568</v>
      </c>
      <c r="G23" s="482" t="s">
        <v>1568</v>
      </c>
      <c r="H23" s="482" t="s">
        <v>4604</v>
      </c>
      <c r="I23" s="482" t="s">
        <v>3721</v>
      </c>
      <c r="J23" s="482">
        <v>13</v>
      </c>
      <c r="K23" s="481"/>
    </row>
    <row r="24" spans="1:11" ht="12.9" x14ac:dyDescent="0.2">
      <c r="A24" s="479" t="s">
        <v>10</v>
      </c>
      <c r="B24" s="479" t="s">
        <v>29</v>
      </c>
      <c r="C24" s="577"/>
      <c r="D24" s="480">
        <v>45685</v>
      </c>
      <c r="E24" s="479" t="s">
        <v>57</v>
      </c>
      <c r="F24" s="479" t="s">
        <v>4605</v>
      </c>
      <c r="G24" s="479" t="s">
        <v>1206</v>
      </c>
      <c r="H24" s="479" t="s">
        <v>4606</v>
      </c>
      <c r="I24" s="479" t="s">
        <v>3937</v>
      </c>
      <c r="J24" s="479">
        <v>5</v>
      </c>
      <c r="K24" s="481"/>
    </row>
    <row r="25" spans="1:11" ht="12.9" x14ac:dyDescent="0.2">
      <c r="A25" s="482" t="s">
        <v>10</v>
      </c>
      <c r="B25" s="482" t="s">
        <v>188</v>
      </c>
      <c r="C25" s="577"/>
      <c r="D25" s="483">
        <v>45685</v>
      </c>
      <c r="E25" s="482" t="s">
        <v>164</v>
      </c>
      <c r="F25" s="482" t="s">
        <v>4607</v>
      </c>
      <c r="G25" s="482" t="s">
        <v>4608</v>
      </c>
      <c r="H25" s="482" t="s">
        <v>4609</v>
      </c>
      <c r="I25" s="482" t="s">
        <v>3937</v>
      </c>
      <c r="J25" s="482">
        <v>4</v>
      </c>
      <c r="K25" s="481"/>
    </row>
    <row r="26" spans="1:11" ht="12.9" x14ac:dyDescent="0.2">
      <c r="A26" s="479" t="s">
        <v>35</v>
      </c>
      <c r="B26" s="479" t="s">
        <v>2164</v>
      </c>
      <c r="C26" s="577"/>
      <c r="D26" s="480">
        <v>45686</v>
      </c>
      <c r="E26" s="479" t="s">
        <v>57</v>
      </c>
      <c r="F26" s="479" t="s">
        <v>32</v>
      </c>
      <c r="G26" s="479" t="s">
        <v>32</v>
      </c>
      <c r="H26" s="479" t="s">
        <v>4610</v>
      </c>
      <c r="I26" s="479" t="s">
        <v>167</v>
      </c>
      <c r="J26" s="479">
        <v>9</v>
      </c>
      <c r="K26" s="481"/>
    </row>
    <row r="27" spans="1:11" ht="12.9" x14ac:dyDescent="0.2">
      <c r="A27" s="482" t="s">
        <v>51</v>
      </c>
      <c r="B27" s="482" t="s">
        <v>52</v>
      </c>
      <c r="C27" s="577"/>
      <c r="D27" s="483">
        <v>45686</v>
      </c>
      <c r="E27" s="482" t="s">
        <v>91</v>
      </c>
      <c r="F27" s="482" t="s">
        <v>4611</v>
      </c>
      <c r="G27" s="482" t="s">
        <v>85</v>
      </c>
      <c r="H27" s="482" t="s">
        <v>4612</v>
      </c>
      <c r="I27" s="482" t="s">
        <v>3937</v>
      </c>
      <c r="J27" s="482">
        <v>4</v>
      </c>
      <c r="K27" s="481"/>
    </row>
    <row r="28" spans="1:11" ht="12.9" x14ac:dyDescent="0.2">
      <c r="A28" s="479" t="s">
        <v>10</v>
      </c>
      <c r="B28" s="479" t="s">
        <v>152</v>
      </c>
      <c r="C28" s="577"/>
      <c r="D28" s="480">
        <v>45686</v>
      </c>
      <c r="E28" s="479" t="s">
        <v>57</v>
      </c>
      <c r="F28" s="479" t="s">
        <v>4613</v>
      </c>
      <c r="G28" s="479" t="s">
        <v>918</v>
      </c>
      <c r="H28" s="479" t="s">
        <v>4614</v>
      </c>
      <c r="I28" s="479" t="s">
        <v>3937</v>
      </c>
      <c r="J28" s="479">
        <v>4</v>
      </c>
      <c r="K28" s="481"/>
    </row>
    <row r="29" spans="1:11" ht="12.9" x14ac:dyDescent="0.2">
      <c r="A29" s="482" t="s">
        <v>17</v>
      </c>
      <c r="B29" s="482" t="s">
        <v>24</v>
      </c>
      <c r="C29" s="577"/>
      <c r="D29" s="483">
        <v>45687</v>
      </c>
      <c r="E29" s="482" t="s">
        <v>316</v>
      </c>
      <c r="F29" s="482" t="s">
        <v>4615</v>
      </c>
      <c r="G29" s="482" t="s">
        <v>76</v>
      </c>
      <c r="H29" s="482" t="s">
        <v>4616</v>
      </c>
      <c r="I29" s="482" t="s">
        <v>3721</v>
      </c>
      <c r="J29" s="482">
        <v>1</v>
      </c>
      <c r="K29" s="481"/>
    </row>
    <row r="30" spans="1:11" ht="12.9" x14ac:dyDescent="0.2">
      <c r="A30" s="479" t="s">
        <v>17</v>
      </c>
      <c r="B30" s="479" t="s">
        <v>24</v>
      </c>
      <c r="C30" s="577"/>
      <c r="D30" s="480">
        <v>45687</v>
      </c>
      <c r="E30" s="479" t="s">
        <v>4617</v>
      </c>
      <c r="F30" s="479" t="s">
        <v>4618</v>
      </c>
      <c r="G30" s="479" t="s">
        <v>76</v>
      </c>
      <c r="H30" s="479" t="s">
        <v>773</v>
      </c>
      <c r="I30" s="479" t="s">
        <v>3768</v>
      </c>
      <c r="J30" s="479">
        <v>1</v>
      </c>
      <c r="K30" s="481"/>
    </row>
    <row r="31" spans="1:11" ht="12.9" x14ac:dyDescent="0.2">
      <c r="A31" s="482" t="s">
        <v>51</v>
      </c>
      <c r="B31" s="482" t="s">
        <v>52</v>
      </c>
      <c r="C31" s="577"/>
      <c r="D31" s="483">
        <v>45688</v>
      </c>
      <c r="E31" s="482" t="s">
        <v>37</v>
      </c>
      <c r="F31" s="482" t="s">
        <v>4619</v>
      </c>
      <c r="G31" s="482" t="s">
        <v>4620</v>
      </c>
      <c r="H31" s="482" t="s">
        <v>4621</v>
      </c>
      <c r="I31" s="482" t="s">
        <v>3768</v>
      </c>
      <c r="J31" s="482">
        <v>4</v>
      </c>
      <c r="K31" s="481"/>
    </row>
    <row r="32" spans="1:11" ht="12.9" x14ac:dyDescent="0.2">
      <c r="A32" s="479" t="s">
        <v>10</v>
      </c>
      <c r="B32" s="479" t="s">
        <v>29</v>
      </c>
      <c r="C32" s="577"/>
      <c r="D32" s="480">
        <v>45688</v>
      </c>
      <c r="E32" s="479" t="s">
        <v>74</v>
      </c>
      <c r="F32" s="479" t="s">
        <v>4622</v>
      </c>
      <c r="G32" s="479" t="s">
        <v>76</v>
      </c>
      <c r="H32" s="479" t="s">
        <v>4623</v>
      </c>
      <c r="I32" s="479" t="s">
        <v>3721</v>
      </c>
      <c r="J32" s="479">
        <v>2</v>
      </c>
      <c r="K32" s="481"/>
    </row>
    <row r="33" spans="1:11" ht="13.6" x14ac:dyDescent="0.25">
      <c r="A33" s="485" t="s">
        <v>130</v>
      </c>
      <c r="B33" s="485"/>
      <c r="C33" s="486"/>
      <c r="D33" s="487"/>
      <c r="E33" s="485"/>
      <c r="F33" s="485"/>
      <c r="G33" s="485"/>
      <c r="H33" s="488"/>
      <c r="I33" s="485"/>
      <c r="J33" s="485"/>
      <c r="K33" s="489"/>
    </row>
    <row r="34" spans="1:11" ht="15.8" customHeight="1" x14ac:dyDescent="0.2">
      <c r="A34" s="479" t="s">
        <v>146</v>
      </c>
      <c r="B34" s="479" t="s">
        <v>2163</v>
      </c>
      <c r="C34" s="577">
        <f>COUNTIF(B34:B55,C2)</f>
        <v>0</v>
      </c>
      <c r="D34" s="480">
        <v>45689</v>
      </c>
      <c r="E34" s="479" t="s">
        <v>4312</v>
      </c>
      <c r="F34" s="479" t="s">
        <v>4627</v>
      </c>
      <c r="G34" s="479" t="s">
        <v>4313</v>
      </c>
      <c r="H34" s="479" t="s">
        <v>4628</v>
      </c>
      <c r="I34" s="479" t="s">
        <v>4629</v>
      </c>
      <c r="J34" s="479">
        <v>6</v>
      </c>
      <c r="K34" s="479" t="s">
        <v>2277</v>
      </c>
    </row>
    <row r="35" spans="1:11" ht="15.8" customHeight="1" x14ac:dyDescent="0.2">
      <c r="A35" s="482" t="s">
        <v>35</v>
      </c>
      <c r="B35" s="482" t="s">
        <v>2164</v>
      </c>
      <c r="C35" s="577"/>
      <c r="D35" s="483">
        <v>45690</v>
      </c>
      <c r="E35" s="482" t="s">
        <v>133</v>
      </c>
      <c r="F35" s="482" t="s">
        <v>2475</v>
      </c>
      <c r="G35" s="482" t="s">
        <v>32</v>
      </c>
      <c r="H35" s="482" t="s">
        <v>4630</v>
      </c>
      <c r="I35" s="482" t="s">
        <v>4438</v>
      </c>
      <c r="J35" s="482">
        <v>8</v>
      </c>
      <c r="K35" s="482" t="s">
        <v>2186</v>
      </c>
    </row>
    <row r="36" spans="1:11" ht="15.8" customHeight="1" x14ac:dyDescent="0.2">
      <c r="A36" s="479" t="s">
        <v>10</v>
      </c>
      <c r="B36" s="479" t="s">
        <v>152</v>
      </c>
      <c r="C36" s="577"/>
      <c r="D36" s="480">
        <v>45692</v>
      </c>
      <c r="E36" s="479" t="s">
        <v>4631</v>
      </c>
      <c r="F36" s="479" t="s">
        <v>1568</v>
      </c>
      <c r="G36" s="479" t="s">
        <v>1568</v>
      </c>
      <c r="H36" s="479" t="s">
        <v>4632</v>
      </c>
      <c r="I36" s="479" t="s">
        <v>3721</v>
      </c>
      <c r="J36" s="479">
        <v>2</v>
      </c>
      <c r="K36" s="479" t="s">
        <v>78</v>
      </c>
    </row>
    <row r="37" spans="1:11" ht="15.8" customHeight="1" x14ac:dyDescent="0.2">
      <c r="A37" s="482" t="s">
        <v>10</v>
      </c>
      <c r="B37" s="482" t="s">
        <v>324</v>
      </c>
      <c r="C37" s="577"/>
      <c r="D37" s="483">
        <v>45693</v>
      </c>
      <c r="E37" s="482" t="s">
        <v>4633</v>
      </c>
      <c r="F37" s="482" t="s">
        <v>2585</v>
      </c>
      <c r="G37" s="482" t="s">
        <v>76</v>
      </c>
      <c r="H37" s="482" t="s">
        <v>4634</v>
      </c>
      <c r="I37" s="482" t="s">
        <v>4635</v>
      </c>
      <c r="J37" s="482">
        <v>5</v>
      </c>
      <c r="K37" s="482" t="s">
        <v>34</v>
      </c>
    </row>
    <row r="38" spans="1:11" ht="15.8" customHeight="1" x14ac:dyDescent="0.2">
      <c r="A38" s="479" t="s">
        <v>10</v>
      </c>
      <c r="B38" s="479" t="s">
        <v>324</v>
      </c>
      <c r="C38" s="577"/>
      <c r="D38" s="480">
        <v>45693</v>
      </c>
      <c r="E38" s="479" t="s">
        <v>458</v>
      </c>
      <c r="F38" s="479" t="s">
        <v>4636</v>
      </c>
      <c r="G38" s="479" t="s">
        <v>85</v>
      </c>
      <c r="H38" s="479" t="s">
        <v>4637</v>
      </c>
      <c r="I38" s="479" t="s">
        <v>4638</v>
      </c>
      <c r="J38" s="479">
        <v>5</v>
      </c>
      <c r="K38" s="479" t="s">
        <v>34</v>
      </c>
    </row>
    <row r="39" spans="1:11" ht="15.8" customHeight="1" x14ac:dyDescent="0.2">
      <c r="A39" s="482" t="s">
        <v>51</v>
      </c>
      <c r="B39" s="482" t="s">
        <v>244</v>
      </c>
      <c r="C39" s="577"/>
      <c r="D39" s="483">
        <v>45694</v>
      </c>
      <c r="E39" s="482" t="s">
        <v>1423</v>
      </c>
      <c r="F39" s="482" t="s">
        <v>4639</v>
      </c>
      <c r="G39" s="482" t="s">
        <v>4640</v>
      </c>
      <c r="H39" s="482" t="s">
        <v>4641</v>
      </c>
      <c r="I39" s="482" t="s">
        <v>3721</v>
      </c>
      <c r="J39" s="482">
        <v>2</v>
      </c>
      <c r="K39" s="482" t="s">
        <v>16</v>
      </c>
    </row>
    <row r="40" spans="1:11" ht="15.8" customHeight="1" x14ac:dyDescent="0.2">
      <c r="A40" s="479" t="s">
        <v>146</v>
      </c>
      <c r="B40" s="479" t="s">
        <v>147</v>
      </c>
      <c r="C40" s="577"/>
      <c r="D40" s="480">
        <v>45694</v>
      </c>
      <c r="E40" s="479" t="s">
        <v>4642</v>
      </c>
      <c r="F40" s="479" t="s">
        <v>4643</v>
      </c>
      <c r="G40" s="479" t="s">
        <v>816</v>
      </c>
      <c r="H40" s="479" t="s">
        <v>4644</v>
      </c>
      <c r="I40" s="479" t="s">
        <v>4587</v>
      </c>
      <c r="J40" s="479">
        <v>9</v>
      </c>
      <c r="K40" s="479" t="s">
        <v>1079</v>
      </c>
    </row>
    <row r="41" spans="1:11" ht="15.8" customHeight="1" x14ac:dyDescent="0.2">
      <c r="A41" s="482" t="s">
        <v>146</v>
      </c>
      <c r="B41" s="482" t="s">
        <v>147</v>
      </c>
      <c r="C41" s="577"/>
      <c r="D41" s="483">
        <v>45694</v>
      </c>
      <c r="E41" s="482" t="s">
        <v>4645</v>
      </c>
      <c r="F41" s="482" t="s">
        <v>2568</v>
      </c>
      <c r="G41" s="482" t="s">
        <v>816</v>
      </c>
      <c r="H41" s="482" t="s">
        <v>4646</v>
      </c>
      <c r="I41" s="482" t="s">
        <v>4587</v>
      </c>
      <c r="J41" s="482">
        <v>5</v>
      </c>
      <c r="K41" s="482" t="s">
        <v>4647</v>
      </c>
    </row>
    <row r="42" spans="1:11" ht="15.8" customHeight="1" x14ac:dyDescent="0.2">
      <c r="A42" s="479" t="s">
        <v>146</v>
      </c>
      <c r="B42" s="479" t="s">
        <v>11</v>
      </c>
      <c r="C42" s="577"/>
      <c r="D42" s="480">
        <v>45696</v>
      </c>
      <c r="E42" s="479" t="s">
        <v>4648</v>
      </c>
      <c r="F42" s="479" t="s">
        <v>4649</v>
      </c>
      <c r="G42" s="479" t="s">
        <v>95</v>
      </c>
      <c r="H42" s="479" t="s">
        <v>4246</v>
      </c>
      <c r="I42" s="479" t="s">
        <v>4650</v>
      </c>
      <c r="J42" s="479">
        <v>4</v>
      </c>
      <c r="K42" s="479" t="s">
        <v>16</v>
      </c>
    </row>
    <row r="43" spans="1:11" ht="15.8" customHeight="1" x14ac:dyDescent="0.2">
      <c r="A43" s="482" t="s">
        <v>387</v>
      </c>
      <c r="B43" s="482" t="s">
        <v>481</v>
      </c>
      <c r="C43" s="577"/>
      <c r="D43" s="483">
        <v>45696</v>
      </c>
      <c r="E43" s="482" t="s">
        <v>57</v>
      </c>
      <c r="F43" s="482" t="s">
        <v>2432</v>
      </c>
      <c r="G43" s="482" t="s">
        <v>106</v>
      </c>
      <c r="H43" s="482" t="s">
        <v>4651</v>
      </c>
      <c r="I43" s="482" t="s">
        <v>167</v>
      </c>
      <c r="J43" s="482">
        <v>4</v>
      </c>
      <c r="K43" s="482" t="s">
        <v>16</v>
      </c>
    </row>
    <row r="44" spans="1:11" ht="15.8" customHeight="1" x14ac:dyDescent="0.2">
      <c r="A44" s="479" t="s">
        <v>10</v>
      </c>
      <c r="B44" s="479" t="s">
        <v>324</v>
      </c>
      <c r="C44" s="577"/>
      <c r="D44" s="480">
        <v>45699</v>
      </c>
      <c r="E44" s="479" t="s">
        <v>171</v>
      </c>
      <c r="F44" s="479" t="s">
        <v>4652</v>
      </c>
      <c r="G44" s="479" t="s">
        <v>95</v>
      </c>
      <c r="H44" s="479" t="s">
        <v>4653</v>
      </c>
      <c r="I44" s="479" t="s">
        <v>4654</v>
      </c>
      <c r="J44" s="479">
        <v>3</v>
      </c>
      <c r="K44" s="479" t="s">
        <v>34</v>
      </c>
    </row>
    <row r="45" spans="1:11" ht="15.8" customHeight="1" x14ac:dyDescent="0.2">
      <c r="A45" s="482" t="s">
        <v>146</v>
      </c>
      <c r="B45" s="482" t="s">
        <v>2163</v>
      </c>
      <c r="C45" s="577"/>
      <c r="D45" s="483">
        <v>45700</v>
      </c>
      <c r="E45" s="482" t="s">
        <v>57</v>
      </c>
      <c r="F45" s="482" t="s">
        <v>4655</v>
      </c>
      <c r="G45" s="482" t="s">
        <v>4656</v>
      </c>
      <c r="H45" s="482" t="s">
        <v>4657</v>
      </c>
      <c r="I45" s="482" t="s">
        <v>4658</v>
      </c>
      <c r="J45" s="482">
        <v>2</v>
      </c>
      <c r="K45" s="482" t="s">
        <v>34</v>
      </c>
    </row>
    <row r="46" spans="1:11" ht="15.8" customHeight="1" x14ac:dyDescent="0.2">
      <c r="A46" s="479" t="s">
        <v>146</v>
      </c>
      <c r="B46" s="479" t="s">
        <v>11</v>
      </c>
      <c r="C46" s="577"/>
      <c r="D46" s="480">
        <v>45701</v>
      </c>
      <c r="E46" s="479" t="s">
        <v>316</v>
      </c>
      <c r="F46" s="479" t="s">
        <v>4659</v>
      </c>
      <c r="G46" s="479" t="s">
        <v>2691</v>
      </c>
      <c r="H46" s="479" t="s">
        <v>4660</v>
      </c>
      <c r="I46" s="479" t="s">
        <v>3721</v>
      </c>
      <c r="J46" s="479">
        <v>2</v>
      </c>
      <c r="K46" s="479" t="s">
        <v>16</v>
      </c>
    </row>
    <row r="47" spans="1:11" ht="15.8" customHeight="1" x14ac:dyDescent="0.2">
      <c r="A47" s="482" t="s">
        <v>35</v>
      </c>
      <c r="B47" s="482" t="s">
        <v>137</v>
      </c>
      <c r="C47" s="577"/>
      <c r="D47" s="483">
        <v>45702</v>
      </c>
      <c r="E47" s="482" t="s">
        <v>122</v>
      </c>
      <c r="F47" s="482" t="s">
        <v>139</v>
      </c>
      <c r="G47" s="482" t="s">
        <v>139</v>
      </c>
      <c r="H47" s="482" t="s">
        <v>4661</v>
      </c>
      <c r="I47" s="482" t="s">
        <v>3721</v>
      </c>
      <c r="J47" s="482">
        <v>2</v>
      </c>
      <c r="K47" s="482" t="s">
        <v>78</v>
      </c>
    </row>
    <row r="48" spans="1:11" ht="15.8" customHeight="1" x14ac:dyDescent="0.2">
      <c r="A48" s="479" t="s">
        <v>35</v>
      </c>
      <c r="B48" s="479" t="s">
        <v>137</v>
      </c>
      <c r="C48" s="577"/>
      <c r="D48" s="480">
        <v>45703</v>
      </c>
      <c r="E48" s="479" t="s">
        <v>108</v>
      </c>
      <c r="F48" s="479" t="s">
        <v>4662</v>
      </c>
      <c r="G48" s="479" t="s">
        <v>2194</v>
      </c>
      <c r="H48" s="479" t="s">
        <v>4663</v>
      </c>
      <c r="I48" s="479" t="s">
        <v>3721</v>
      </c>
      <c r="J48" s="479">
        <v>2</v>
      </c>
      <c r="K48" s="479" t="s">
        <v>192</v>
      </c>
    </row>
    <row r="49" spans="1:11" ht="15.8" customHeight="1" x14ac:dyDescent="0.2">
      <c r="A49" s="482" t="s">
        <v>35</v>
      </c>
      <c r="B49" s="482" t="s">
        <v>2164</v>
      </c>
      <c r="C49" s="577"/>
      <c r="D49" s="483">
        <v>45706</v>
      </c>
      <c r="E49" s="482" t="s">
        <v>4474</v>
      </c>
      <c r="F49" s="482" t="s">
        <v>54</v>
      </c>
      <c r="G49" s="482" t="s">
        <v>4664</v>
      </c>
      <c r="H49" s="482" t="s">
        <v>4665</v>
      </c>
      <c r="I49" s="482" t="s">
        <v>3937</v>
      </c>
      <c r="J49" s="482">
        <v>7</v>
      </c>
      <c r="K49" s="482" t="s">
        <v>41</v>
      </c>
    </row>
    <row r="50" spans="1:11" ht="15.8" customHeight="1" x14ac:dyDescent="0.2">
      <c r="A50" s="479" t="s">
        <v>35</v>
      </c>
      <c r="B50" s="479" t="s">
        <v>137</v>
      </c>
      <c r="C50" s="577"/>
      <c r="D50" s="480">
        <v>45706</v>
      </c>
      <c r="E50" s="479" t="s">
        <v>486</v>
      </c>
      <c r="F50" s="479" t="s">
        <v>1568</v>
      </c>
      <c r="G50" s="479" t="s">
        <v>1568</v>
      </c>
      <c r="H50" s="479" t="s">
        <v>4666</v>
      </c>
      <c r="I50" s="479" t="s">
        <v>4667</v>
      </c>
      <c r="J50" s="479">
        <v>6</v>
      </c>
      <c r="K50" s="479" t="s">
        <v>50</v>
      </c>
    </row>
    <row r="51" spans="1:11" ht="15.8" customHeight="1" x14ac:dyDescent="0.2">
      <c r="A51" s="482" t="s">
        <v>35</v>
      </c>
      <c r="B51" s="482" t="s">
        <v>137</v>
      </c>
      <c r="C51" s="577"/>
      <c r="D51" s="483">
        <v>45707</v>
      </c>
      <c r="E51" s="482" t="s">
        <v>549</v>
      </c>
      <c r="F51" s="482" t="s">
        <v>1568</v>
      </c>
      <c r="G51" s="482" t="s">
        <v>1568</v>
      </c>
      <c r="H51" s="482" t="s">
        <v>977</v>
      </c>
      <c r="I51" s="482" t="s">
        <v>4667</v>
      </c>
      <c r="J51" s="482">
        <v>5</v>
      </c>
      <c r="K51" s="482" t="s">
        <v>50</v>
      </c>
    </row>
    <row r="52" spans="1:11" ht="15.8" customHeight="1" x14ac:dyDescent="0.2">
      <c r="A52" s="479" t="s">
        <v>35</v>
      </c>
      <c r="B52" s="479" t="s">
        <v>137</v>
      </c>
      <c r="C52" s="577"/>
      <c r="D52" s="480">
        <v>45711</v>
      </c>
      <c r="E52" s="479" t="s">
        <v>37</v>
      </c>
      <c r="F52" s="479" t="s">
        <v>4668</v>
      </c>
      <c r="G52" s="479" t="s">
        <v>355</v>
      </c>
      <c r="H52" s="479" t="s">
        <v>4669</v>
      </c>
      <c r="I52" s="479" t="s">
        <v>4438</v>
      </c>
      <c r="J52" s="479">
        <v>3</v>
      </c>
      <c r="K52" s="479" t="s">
        <v>50</v>
      </c>
    </row>
    <row r="53" spans="1:11" ht="15.8" customHeight="1" x14ac:dyDescent="0.2">
      <c r="A53" s="482" t="s">
        <v>10</v>
      </c>
      <c r="B53" s="482" t="s">
        <v>11</v>
      </c>
      <c r="C53" s="577"/>
      <c r="D53" s="483">
        <v>45712</v>
      </c>
      <c r="E53" s="482" t="s">
        <v>91</v>
      </c>
      <c r="F53" s="482" t="s">
        <v>4670</v>
      </c>
      <c r="G53" s="482" t="s">
        <v>95</v>
      </c>
      <c r="H53" s="482" t="s">
        <v>4671</v>
      </c>
      <c r="I53" s="482" t="s">
        <v>3937</v>
      </c>
      <c r="J53" s="482">
        <v>3</v>
      </c>
      <c r="K53" s="482" t="s">
        <v>16</v>
      </c>
    </row>
    <row r="54" spans="1:11" ht="15.8" customHeight="1" x14ac:dyDescent="0.2">
      <c r="A54" s="479" t="s">
        <v>35</v>
      </c>
      <c r="B54" s="479" t="s">
        <v>137</v>
      </c>
      <c r="C54" s="577"/>
      <c r="D54" s="480">
        <v>45706</v>
      </c>
      <c r="E54" s="479" t="s">
        <v>486</v>
      </c>
      <c r="F54" s="479" t="s">
        <v>1568</v>
      </c>
      <c r="G54" s="479" t="s">
        <v>1568</v>
      </c>
      <c r="H54" s="479" t="s">
        <v>4666</v>
      </c>
      <c r="I54" s="479" t="s">
        <v>4667</v>
      </c>
      <c r="J54" s="479">
        <v>6</v>
      </c>
      <c r="K54" s="479" t="s">
        <v>50</v>
      </c>
    </row>
    <row r="55" spans="1:11" ht="15.8" customHeight="1" x14ac:dyDescent="0.2">
      <c r="A55" s="482" t="s">
        <v>35</v>
      </c>
      <c r="B55" s="482" t="s">
        <v>137</v>
      </c>
      <c r="C55" s="577"/>
      <c r="D55" s="483">
        <v>45707</v>
      </c>
      <c r="E55" s="482" t="s">
        <v>549</v>
      </c>
      <c r="F55" s="482" t="s">
        <v>1568</v>
      </c>
      <c r="G55" s="482" t="s">
        <v>1568</v>
      </c>
      <c r="H55" s="482" t="s">
        <v>977</v>
      </c>
      <c r="I55" s="482" t="s">
        <v>4667</v>
      </c>
      <c r="J55" s="482">
        <v>5</v>
      </c>
      <c r="K55" s="482" t="s">
        <v>50</v>
      </c>
    </row>
    <row r="56" spans="1:11" ht="15.8" customHeight="1" x14ac:dyDescent="0.2">
      <c r="A56" s="490" t="s">
        <v>321</v>
      </c>
      <c r="B56" s="491"/>
      <c r="C56" s="499"/>
      <c r="D56" s="491"/>
      <c r="E56" s="491"/>
      <c r="F56" s="491"/>
      <c r="G56" s="491"/>
      <c r="H56" s="491"/>
      <c r="I56" s="491"/>
      <c r="J56" s="491"/>
      <c r="K56" s="491"/>
    </row>
    <row r="57" spans="1:11" ht="15.8" customHeight="1" x14ac:dyDescent="0.2">
      <c r="A57" s="482" t="s">
        <v>35</v>
      </c>
      <c r="B57" s="482" t="s">
        <v>2164</v>
      </c>
      <c r="C57" s="577">
        <f>COUNTIF(B57:B75,C2)</f>
        <v>1</v>
      </c>
      <c r="D57" s="483">
        <v>45717</v>
      </c>
      <c r="E57" s="482" t="s">
        <v>4631</v>
      </c>
      <c r="F57" s="482" t="s">
        <v>2568</v>
      </c>
      <c r="G57" s="482" t="s">
        <v>2568</v>
      </c>
      <c r="H57" s="482" t="s">
        <v>4672</v>
      </c>
      <c r="I57" s="482" t="s">
        <v>3721</v>
      </c>
      <c r="J57" s="482">
        <v>3</v>
      </c>
      <c r="K57" s="482" t="s">
        <v>50</v>
      </c>
    </row>
    <row r="58" spans="1:11" ht="15.8" customHeight="1" x14ac:dyDescent="0.2">
      <c r="A58" s="479" t="s">
        <v>10</v>
      </c>
      <c r="B58" s="479" t="s">
        <v>29</v>
      </c>
      <c r="C58" s="577"/>
      <c r="D58" s="480">
        <v>45721</v>
      </c>
      <c r="E58" s="479" t="s">
        <v>458</v>
      </c>
      <c r="F58" s="479" t="s">
        <v>4673</v>
      </c>
      <c r="G58" s="479" t="s">
        <v>1443</v>
      </c>
      <c r="H58" s="479" t="s">
        <v>4674</v>
      </c>
      <c r="I58" s="479" t="s">
        <v>3721</v>
      </c>
      <c r="J58" s="479">
        <v>3</v>
      </c>
      <c r="K58" s="479" t="s">
        <v>16</v>
      </c>
    </row>
    <row r="59" spans="1:11" ht="15.8" customHeight="1" x14ac:dyDescent="0.2">
      <c r="A59" s="482" t="s">
        <v>35</v>
      </c>
      <c r="B59" s="482" t="s">
        <v>2164</v>
      </c>
      <c r="C59" s="577"/>
      <c r="D59" s="483">
        <v>45722</v>
      </c>
      <c r="E59" s="482" t="s">
        <v>4676</v>
      </c>
      <c r="F59" s="482" t="s">
        <v>4677</v>
      </c>
      <c r="G59" s="482" t="s">
        <v>4678</v>
      </c>
      <c r="H59" s="482" t="s">
        <v>4679</v>
      </c>
      <c r="I59" s="482" t="s">
        <v>3721</v>
      </c>
      <c r="J59" s="482">
        <v>4</v>
      </c>
      <c r="K59" s="482" t="s">
        <v>78</v>
      </c>
    </row>
    <row r="60" spans="1:11" ht="15.8" customHeight="1" x14ac:dyDescent="0.2">
      <c r="A60" s="479" t="s">
        <v>10</v>
      </c>
      <c r="B60" s="479" t="s">
        <v>29</v>
      </c>
      <c r="C60" s="577"/>
      <c r="D60" s="480">
        <v>45723</v>
      </c>
      <c r="E60" s="479" t="s">
        <v>37</v>
      </c>
      <c r="F60" s="479" t="s">
        <v>4680</v>
      </c>
      <c r="G60" s="479" t="s">
        <v>446</v>
      </c>
      <c r="H60" s="479" t="s">
        <v>4681</v>
      </c>
      <c r="I60" s="479" t="s">
        <v>3937</v>
      </c>
      <c r="J60" s="479">
        <v>3</v>
      </c>
      <c r="K60" s="479" t="s">
        <v>78</v>
      </c>
    </row>
    <row r="61" spans="1:11" ht="15.8" customHeight="1" x14ac:dyDescent="0.2">
      <c r="A61" s="482" t="s">
        <v>10</v>
      </c>
      <c r="B61" s="482" t="s">
        <v>29</v>
      </c>
      <c r="C61" s="577"/>
      <c r="D61" s="483">
        <v>45723</v>
      </c>
      <c r="E61" s="482" t="s">
        <v>291</v>
      </c>
      <c r="F61" s="482" t="s">
        <v>4622</v>
      </c>
      <c r="G61" s="482" t="s">
        <v>85</v>
      </c>
      <c r="H61" s="482" t="s">
        <v>4682</v>
      </c>
      <c r="I61" s="482" t="s">
        <v>3721</v>
      </c>
      <c r="J61" s="482">
        <v>3</v>
      </c>
      <c r="K61" s="482" t="s">
        <v>16</v>
      </c>
    </row>
    <row r="62" spans="1:11" ht="15.8" customHeight="1" x14ac:dyDescent="0.2">
      <c r="A62" s="479" t="s">
        <v>10</v>
      </c>
      <c r="B62" s="479" t="s">
        <v>29</v>
      </c>
      <c r="C62" s="577"/>
      <c r="D62" s="480">
        <v>45723</v>
      </c>
      <c r="E62" s="479" t="s">
        <v>57</v>
      </c>
      <c r="F62" s="479" t="s">
        <v>4683</v>
      </c>
      <c r="G62" s="479" t="s">
        <v>3983</v>
      </c>
      <c r="H62" s="479" t="s">
        <v>4684</v>
      </c>
      <c r="I62" s="479" t="s">
        <v>3721</v>
      </c>
      <c r="J62" s="479">
        <v>3</v>
      </c>
      <c r="K62" s="479" t="s">
        <v>16</v>
      </c>
    </row>
    <row r="63" spans="1:11" ht="15.8" customHeight="1" x14ac:dyDescent="0.2">
      <c r="A63" s="482" t="s">
        <v>35</v>
      </c>
      <c r="B63" s="482" t="s">
        <v>152</v>
      </c>
      <c r="C63" s="577"/>
      <c r="D63" s="483">
        <v>45728</v>
      </c>
      <c r="E63" s="482" t="s">
        <v>118</v>
      </c>
      <c r="F63" s="482" t="s">
        <v>4685</v>
      </c>
      <c r="G63" s="482" t="s">
        <v>345</v>
      </c>
      <c r="H63" s="482" t="s">
        <v>4686</v>
      </c>
      <c r="I63" s="482" t="s">
        <v>3721</v>
      </c>
      <c r="J63" s="482">
        <v>3</v>
      </c>
      <c r="K63" s="482" t="s">
        <v>50</v>
      </c>
    </row>
    <row r="64" spans="1:11" ht="15.8" customHeight="1" x14ac:dyDescent="0.2">
      <c r="A64" s="479" t="s">
        <v>35</v>
      </c>
      <c r="B64" s="479" t="s">
        <v>137</v>
      </c>
      <c r="C64" s="577"/>
      <c r="D64" s="480">
        <v>45729</v>
      </c>
      <c r="E64" s="479" t="s">
        <v>91</v>
      </c>
      <c r="F64" s="479" t="s">
        <v>4687</v>
      </c>
      <c r="G64" s="479" t="s">
        <v>4224</v>
      </c>
      <c r="H64" s="479" t="s">
        <v>4688</v>
      </c>
      <c r="I64" s="479" t="s">
        <v>3937</v>
      </c>
      <c r="J64" s="479">
        <v>5</v>
      </c>
      <c r="K64" s="479" t="s">
        <v>50</v>
      </c>
    </row>
    <row r="65" spans="1:11" ht="15.8" customHeight="1" x14ac:dyDescent="0.2">
      <c r="A65" s="482" t="s">
        <v>51</v>
      </c>
      <c r="B65" s="482" t="s">
        <v>244</v>
      </c>
      <c r="C65" s="577"/>
      <c r="D65" s="483">
        <v>45729</v>
      </c>
      <c r="E65" s="482" t="s">
        <v>519</v>
      </c>
      <c r="F65" s="482" t="s">
        <v>4689</v>
      </c>
      <c r="G65" s="482" t="s">
        <v>3904</v>
      </c>
      <c r="H65" s="482" t="s">
        <v>4690</v>
      </c>
      <c r="I65" s="482" t="s">
        <v>3937</v>
      </c>
      <c r="J65" s="482">
        <v>5</v>
      </c>
      <c r="K65" s="482" t="s">
        <v>50</v>
      </c>
    </row>
    <row r="66" spans="1:11" ht="15.8" customHeight="1" x14ac:dyDescent="0.2">
      <c r="A66" s="479" t="s">
        <v>10</v>
      </c>
      <c r="B66" s="479" t="s">
        <v>29</v>
      </c>
      <c r="C66" s="577"/>
      <c r="D66" s="480">
        <v>45730</v>
      </c>
      <c r="E66" s="479" t="s">
        <v>72</v>
      </c>
      <c r="F66" s="479" t="s">
        <v>4302</v>
      </c>
      <c r="G66" s="479" t="s">
        <v>3904</v>
      </c>
      <c r="H66" s="479" t="s">
        <v>4691</v>
      </c>
      <c r="I66" s="479" t="s">
        <v>3937</v>
      </c>
      <c r="J66" s="479">
        <v>4</v>
      </c>
      <c r="K66" s="479" t="s">
        <v>50</v>
      </c>
    </row>
    <row r="67" spans="1:11" ht="15.8" customHeight="1" x14ac:dyDescent="0.2">
      <c r="A67" s="482" t="s">
        <v>17</v>
      </c>
      <c r="B67" s="482" t="s">
        <v>24</v>
      </c>
      <c r="C67" s="577"/>
      <c r="D67" s="483">
        <v>45733</v>
      </c>
      <c r="E67" s="482" t="s">
        <v>74</v>
      </c>
      <c r="F67" s="482" t="s">
        <v>4692</v>
      </c>
      <c r="G67" s="482" t="s">
        <v>110</v>
      </c>
      <c r="H67" s="482" t="s">
        <v>4693</v>
      </c>
      <c r="I67" s="482" t="s">
        <v>3721</v>
      </c>
      <c r="J67" s="482">
        <v>1</v>
      </c>
      <c r="K67" s="482" t="s">
        <v>78</v>
      </c>
    </row>
    <row r="68" spans="1:11" ht="15.8" customHeight="1" x14ac:dyDescent="0.2">
      <c r="A68" s="479" t="s">
        <v>10</v>
      </c>
      <c r="B68" s="479" t="s">
        <v>29</v>
      </c>
      <c r="C68" s="577"/>
      <c r="D68" s="480">
        <v>45733</v>
      </c>
      <c r="E68" s="479" t="s">
        <v>57</v>
      </c>
      <c r="F68" s="479" t="s">
        <v>4694</v>
      </c>
      <c r="G68" s="479" t="s">
        <v>128</v>
      </c>
      <c r="H68" s="479" t="s">
        <v>1305</v>
      </c>
      <c r="I68" s="479" t="s">
        <v>3721</v>
      </c>
      <c r="J68" s="479">
        <v>1</v>
      </c>
      <c r="K68" s="479" t="s">
        <v>78</v>
      </c>
    </row>
    <row r="69" spans="1:11" ht="15.8" customHeight="1" x14ac:dyDescent="0.2">
      <c r="A69" s="482" t="s">
        <v>51</v>
      </c>
      <c r="B69" s="482" t="s">
        <v>52</v>
      </c>
      <c r="C69" s="577"/>
      <c r="D69" s="483">
        <v>45735</v>
      </c>
      <c r="E69" s="482" t="s">
        <v>74</v>
      </c>
      <c r="F69" s="482" t="s">
        <v>4695</v>
      </c>
      <c r="G69" s="482" t="s">
        <v>135</v>
      </c>
      <c r="H69" s="482" t="s">
        <v>4696</v>
      </c>
      <c r="I69" s="482" t="s">
        <v>4697</v>
      </c>
      <c r="J69" s="482">
        <v>5</v>
      </c>
      <c r="K69" s="482" t="s">
        <v>16</v>
      </c>
    </row>
    <row r="70" spans="1:11" ht="15.8" customHeight="1" x14ac:dyDescent="0.2">
      <c r="A70" s="479" t="s">
        <v>10</v>
      </c>
      <c r="B70" s="479" t="s">
        <v>2162</v>
      </c>
      <c r="C70" s="577"/>
      <c r="D70" s="480">
        <v>45735</v>
      </c>
      <c r="E70" s="479" t="s">
        <v>4698</v>
      </c>
      <c r="F70" s="479" t="s">
        <v>4335</v>
      </c>
      <c r="G70" s="479" t="s">
        <v>95</v>
      </c>
      <c r="H70" s="479" t="s">
        <v>4699</v>
      </c>
      <c r="I70" s="479" t="s">
        <v>3721</v>
      </c>
      <c r="J70" s="479">
        <v>4</v>
      </c>
      <c r="K70" s="479" t="s">
        <v>192</v>
      </c>
    </row>
    <row r="71" spans="1:11" ht="15.8" customHeight="1" x14ac:dyDescent="0.2">
      <c r="A71" s="482" t="s">
        <v>10</v>
      </c>
      <c r="B71" s="482" t="s">
        <v>29</v>
      </c>
      <c r="C71" s="577"/>
      <c r="D71" s="483">
        <v>45735</v>
      </c>
      <c r="E71" s="482" t="s">
        <v>72</v>
      </c>
      <c r="F71" s="482" t="s">
        <v>4675</v>
      </c>
      <c r="G71" s="482" t="s">
        <v>1443</v>
      </c>
      <c r="H71" s="482" t="s">
        <v>4700</v>
      </c>
      <c r="I71" s="482" t="s">
        <v>4701</v>
      </c>
      <c r="J71" s="482">
        <v>3</v>
      </c>
      <c r="K71" s="482" t="s">
        <v>78</v>
      </c>
    </row>
    <row r="72" spans="1:11" ht="15.8" customHeight="1" x14ac:dyDescent="0.2">
      <c r="A72" s="479" t="s">
        <v>10</v>
      </c>
      <c r="B72" s="479" t="s">
        <v>29</v>
      </c>
      <c r="C72" s="577"/>
      <c r="D72" s="480">
        <v>45738</v>
      </c>
      <c r="E72" s="479" t="s">
        <v>1461</v>
      </c>
      <c r="F72" s="479" t="s">
        <v>4702</v>
      </c>
      <c r="G72" s="479" t="s">
        <v>4313</v>
      </c>
      <c r="H72" s="479" t="s">
        <v>4703</v>
      </c>
      <c r="I72" s="479" t="s">
        <v>3721</v>
      </c>
      <c r="J72" s="479">
        <v>2</v>
      </c>
      <c r="K72" s="479" t="s">
        <v>50</v>
      </c>
    </row>
    <row r="73" spans="1:11" ht="15.8" customHeight="1" x14ac:dyDescent="0.2">
      <c r="A73" s="482" t="s">
        <v>35</v>
      </c>
      <c r="B73" s="482" t="s">
        <v>137</v>
      </c>
      <c r="C73" s="577"/>
      <c r="D73" s="483">
        <v>45739</v>
      </c>
      <c r="E73" s="482" t="s">
        <v>215</v>
      </c>
      <c r="F73" s="482" t="s">
        <v>4704</v>
      </c>
      <c r="G73" s="482" t="s">
        <v>4705</v>
      </c>
      <c r="H73" s="482" t="s">
        <v>977</v>
      </c>
      <c r="I73" s="482" t="s">
        <v>167</v>
      </c>
      <c r="J73" s="482">
        <v>7</v>
      </c>
      <c r="K73" s="482" t="s">
        <v>99</v>
      </c>
    </row>
    <row r="74" spans="1:11" ht="15.8" customHeight="1" x14ac:dyDescent="0.2">
      <c r="A74" s="479" t="s">
        <v>17</v>
      </c>
      <c r="B74" s="479" t="s">
        <v>24</v>
      </c>
      <c r="C74" s="577"/>
      <c r="D74" s="480">
        <v>45742</v>
      </c>
      <c r="E74" s="479" t="s">
        <v>4706</v>
      </c>
      <c r="F74" s="479" t="s">
        <v>4707</v>
      </c>
      <c r="G74" s="479" t="s">
        <v>366</v>
      </c>
      <c r="H74" s="479" t="s">
        <v>4708</v>
      </c>
      <c r="I74" s="479" t="s">
        <v>3721</v>
      </c>
      <c r="J74" s="479">
        <v>1</v>
      </c>
      <c r="K74" s="479" t="s">
        <v>78</v>
      </c>
    </row>
    <row r="75" spans="1:11" ht="15.8" customHeight="1" x14ac:dyDescent="0.2">
      <c r="A75" s="482" t="s">
        <v>17</v>
      </c>
      <c r="B75" s="482" t="s">
        <v>24</v>
      </c>
      <c r="C75" s="577"/>
      <c r="D75" s="483">
        <v>45743</v>
      </c>
      <c r="E75" s="482" t="s">
        <v>131</v>
      </c>
      <c r="F75" s="482" t="s">
        <v>4709</v>
      </c>
      <c r="G75" s="482" t="s">
        <v>85</v>
      </c>
      <c r="H75" s="482" t="s">
        <v>4710</v>
      </c>
      <c r="I75" s="482">
        <v>9</v>
      </c>
      <c r="J75" s="482">
        <v>1</v>
      </c>
      <c r="K75" s="482" t="s">
        <v>23</v>
      </c>
    </row>
    <row r="76" spans="1:11" ht="15.8" customHeight="1" x14ac:dyDescent="0.2">
      <c r="A76" s="500" t="s">
        <v>403</v>
      </c>
      <c r="B76" s="498"/>
      <c r="C76" s="391"/>
      <c r="D76" s="498"/>
      <c r="E76" s="498"/>
      <c r="F76" s="498"/>
      <c r="G76" s="498"/>
      <c r="H76" s="498"/>
      <c r="I76" s="498"/>
      <c r="J76" s="498"/>
      <c r="K76" s="498"/>
    </row>
    <row r="77" spans="1:11" ht="15.8" customHeight="1" x14ac:dyDescent="0.2">
      <c r="A77" s="458" t="s">
        <v>51</v>
      </c>
      <c r="B77" s="458" t="s">
        <v>52</v>
      </c>
      <c r="C77" s="576">
        <f>COUNTIF(B77:B103,C2)</f>
        <v>2</v>
      </c>
      <c r="D77" s="459">
        <v>45750</v>
      </c>
      <c r="E77" s="458" t="s">
        <v>72</v>
      </c>
      <c r="F77" s="458" t="s">
        <v>4717</v>
      </c>
      <c r="G77" s="458" t="s">
        <v>366</v>
      </c>
      <c r="H77" s="458" t="s">
        <v>4718</v>
      </c>
      <c r="I77" s="458" t="s">
        <v>4719</v>
      </c>
      <c r="J77" s="458">
        <v>7</v>
      </c>
      <c r="K77" s="458" t="s">
        <v>60</v>
      </c>
    </row>
    <row r="78" spans="1:11" ht="15.8" customHeight="1" x14ac:dyDescent="0.2">
      <c r="A78" s="456" t="s">
        <v>10</v>
      </c>
      <c r="B78" s="456" t="s">
        <v>2162</v>
      </c>
      <c r="C78" s="576"/>
      <c r="D78" s="457">
        <v>45751</v>
      </c>
      <c r="E78" s="456" t="s">
        <v>4720</v>
      </c>
      <c r="F78" s="456" t="s">
        <v>4247</v>
      </c>
      <c r="G78" s="456" t="s">
        <v>173</v>
      </c>
      <c r="H78" s="456" t="s">
        <v>4721</v>
      </c>
      <c r="I78" s="456" t="s">
        <v>3721</v>
      </c>
      <c r="J78" s="456">
        <v>5</v>
      </c>
      <c r="K78" s="456" t="s">
        <v>50</v>
      </c>
    </row>
    <row r="79" spans="1:11" ht="15.8" customHeight="1" x14ac:dyDescent="0.2">
      <c r="A79" s="458" t="s">
        <v>10</v>
      </c>
      <c r="B79" s="458" t="s">
        <v>2162</v>
      </c>
      <c r="C79" s="576"/>
      <c r="D79" s="459">
        <v>45751</v>
      </c>
      <c r="E79" s="501">
        <v>0.14583333333333334</v>
      </c>
      <c r="F79" s="458" t="s">
        <v>4722</v>
      </c>
      <c r="G79" s="502"/>
      <c r="H79" s="458" t="s">
        <v>4723</v>
      </c>
      <c r="I79" s="458" t="s">
        <v>167</v>
      </c>
      <c r="J79" s="458">
        <v>6</v>
      </c>
      <c r="K79" s="458" t="s">
        <v>50</v>
      </c>
    </row>
    <row r="80" spans="1:11" ht="15.8" customHeight="1" x14ac:dyDescent="0.2">
      <c r="A80" s="456" t="s">
        <v>51</v>
      </c>
      <c r="B80" s="456" t="s">
        <v>52</v>
      </c>
      <c r="C80" s="576"/>
      <c r="D80" s="457">
        <v>45752</v>
      </c>
      <c r="E80" s="456" t="s">
        <v>57</v>
      </c>
      <c r="F80" s="456" t="s">
        <v>1194</v>
      </c>
      <c r="G80" s="456" t="s">
        <v>3898</v>
      </c>
      <c r="H80" s="456" t="s">
        <v>3976</v>
      </c>
      <c r="I80" s="456" t="s">
        <v>3937</v>
      </c>
      <c r="J80" s="456">
        <v>3</v>
      </c>
      <c r="K80" s="456" t="s">
        <v>16</v>
      </c>
    </row>
    <row r="81" spans="1:11" ht="15.8" customHeight="1" x14ac:dyDescent="0.2">
      <c r="A81" s="458" t="s">
        <v>35</v>
      </c>
      <c r="B81" s="458" t="s">
        <v>137</v>
      </c>
      <c r="C81" s="576"/>
      <c r="D81" s="459">
        <v>45755</v>
      </c>
      <c r="E81" s="458" t="s">
        <v>4711</v>
      </c>
      <c r="F81" s="458" t="s">
        <v>4712</v>
      </c>
      <c r="G81" s="458" t="s">
        <v>4713</v>
      </c>
      <c r="H81" s="458" t="s">
        <v>4714</v>
      </c>
      <c r="I81" s="458" t="s">
        <v>3721</v>
      </c>
      <c r="J81" s="458">
        <v>4</v>
      </c>
      <c r="K81" s="458" t="s">
        <v>50</v>
      </c>
    </row>
    <row r="82" spans="1:11" ht="15.8" customHeight="1" x14ac:dyDescent="0.2">
      <c r="A82" s="456" t="s">
        <v>10</v>
      </c>
      <c r="B82" s="456" t="s">
        <v>137</v>
      </c>
      <c r="C82" s="576"/>
      <c r="D82" s="457">
        <v>45756</v>
      </c>
      <c r="E82" s="456" t="s">
        <v>57</v>
      </c>
      <c r="F82" s="456" t="s">
        <v>4715</v>
      </c>
      <c r="G82" s="456" t="s">
        <v>70</v>
      </c>
      <c r="H82" s="456" t="s">
        <v>4716</v>
      </c>
      <c r="I82" s="456" t="s">
        <v>3721</v>
      </c>
      <c r="J82" s="456">
        <v>2</v>
      </c>
      <c r="K82" s="456" t="s">
        <v>50</v>
      </c>
    </row>
    <row r="83" spans="1:11" ht="15.8" customHeight="1" x14ac:dyDescent="0.2">
      <c r="A83" s="458" t="s">
        <v>10</v>
      </c>
      <c r="B83" s="458" t="s">
        <v>2161</v>
      </c>
      <c r="C83" s="576"/>
      <c r="D83" s="459">
        <v>45757</v>
      </c>
      <c r="E83" s="458" t="s">
        <v>1350</v>
      </c>
      <c r="F83" s="458" t="s">
        <v>4724</v>
      </c>
      <c r="G83" s="458" t="s">
        <v>1866</v>
      </c>
      <c r="H83" s="458" t="s">
        <v>4725</v>
      </c>
      <c r="I83" s="458" t="s">
        <v>3721</v>
      </c>
      <c r="J83" s="458">
        <v>5</v>
      </c>
      <c r="K83" s="458" t="s">
        <v>50</v>
      </c>
    </row>
    <row r="84" spans="1:11" ht="15.8" customHeight="1" x14ac:dyDescent="0.2">
      <c r="A84" s="456" t="s">
        <v>10</v>
      </c>
      <c r="B84" s="456" t="s">
        <v>324</v>
      </c>
      <c r="C84" s="576"/>
      <c r="D84" s="457">
        <v>45757</v>
      </c>
      <c r="E84" s="456" t="s">
        <v>176</v>
      </c>
      <c r="F84" s="456" t="s">
        <v>4726</v>
      </c>
      <c r="G84" s="456" t="s">
        <v>32</v>
      </c>
      <c r="H84" s="456" t="s">
        <v>4727</v>
      </c>
      <c r="I84" s="456" t="s">
        <v>4728</v>
      </c>
      <c r="J84" s="456">
        <v>4</v>
      </c>
      <c r="K84" s="456" t="s">
        <v>50</v>
      </c>
    </row>
    <row r="85" spans="1:11" ht="15.8" customHeight="1" x14ac:dyDescent="0.2">
      <c r="A85" s="458" t="s">
        <v>35</v>
      </c>
      <c r="B85" s="458" t="s">
        <v>137</v>
      </c>
      <c r="C85" s="576"/>
      <c r="D85" s="459">
        <v>45758</v>
      </c>
      <c r="E85" s="458" t="s">
        <v>74</v>
      </c>
      <c r="F85" s="458" t="s">
        <v>4729</v>
      </c>
      <c r="G85" s="458" t="s">
        <v>1343</v>
      </c>
      <c r="H85" s="458" t="s">
        <v>4730</v>
      </c>
      <c r="I85" s="458" t="s">
        <v>3721</v>
      </c>
      <c r="J85" s="458">
        <v>4</v>
      </c>
      <c r="K85" s="458" t="s">
        <v>50</v>
      </c>
    </row>
    <row r="86" spans="1:11" ht="15.8" customHeight="1" x14ac:dyDescent="0.2">
      <c r="A86" s="456" t="s">
        <v>35</v>
      </c>
      <c r="B86" s="456" t="s">
        <v>137</v>
      </c>
      <c r="C86" s="576"/>
      <c r="D86" s="457">
        <v>45759</v>
      </c>
      <c r="E86" s="456" t="s">
        <v>1306</v>
      </c>
      <c r="F86" s="456" t="s">
        <v>4731</v>
      </c>
      <c r="G86" s="456" t="s">
        <v>173</v>
      </c>
      <c r="H86" s="456" t="s">
        <v>4732</v>
      </c>
      <c r="I86" s="456" t="s">
        <v>3937</v>
      </c>
      <c r="J86" s="456">
        <v>3</v>
      </c>
      <c r="K86" s="456" t="s">
        <v>78</v>
      </c>
    </row>
    <row r="87" spans="1:11" ht="15.8" customHeight="1" x14ac:dyDescent="0.2">
      <c r="A87" s="458" t="s">
        <v>387</v>
      </c>
      <c r="B87" s="458" t="s">
        <v>11</v>
      </c>
      <c r="C87" s="576"/>
      <c r="D87" s="459">
        <v>45760</v>
      </c>
      <c r="E87" s="458" t="s">
        <v>1700</v>
      </c>
      <c r="F87" s="458" t="s">
        <v>4733</v>
      </c>
      <c r="G87" s="458" t="s">
        <v>4733</v>
      </c>
      <c r="H87" s="458" t="s">
        <v>4734</v>
      </c>
      <c r="I87" s="458" t="s">
        <v>4438</v>
      </c>
      <c r="J87" s="458">
        <v>2</v>
      </c>
      <c r="K87" s="458" t="s">
        <v>16</v>
      </c>
    </row>
    <row r="88" spans="1:11" ht="15.8" customHeight="1" x14ac:dyDescent="0.2">
      <c r="A88" s="456" t="s">
        <v>10</v>
      </c>
      <c r="B88" s="456" t="s">
        <v>2162</v>
      </c>
      <c r="C88" s="576"/>
      <c r="D88" s="457">
        <v>45760</v>
      </c>
      <c r="E88" s="456" t="s">
        <v>4735</v>
      </c>
      <c r="F88" s="456" t="s">
        <v>4736</v>
      </c>
      <c r="G88" s="456" t="s">
        <v>822</v>
      </c>
      <c r="H88" s="456" t="s">
        <v>4737</v>
      </c>
      <c r="I88" s="456" t="s">
        <v>3721</v>
      </c>
      <c r="J88" s="456">
        <v>27</v>
      </c>
      <c r="K88" s="456" t="s">
        <v>3999</v>
      </c>
    </row>
    <row r="89" spans="1:11" ht="15.8" customHeight="1" x14ac:dyDescent="0.2">
      <c r="A89" s="458" t="s">
        <v>387</v>
      </c>
      <c r="B89" s="458" t="s">
        <v>481</v>
      </c>
      <c r="C89" s="576"/>
      <c r="D89" s="459">
        <v>45761</v>
      </c>
      <c r="E89" s="458" t="s">
        <v>1423</v>
      </c>
      <c r="F89" s="458" t="s">
        <v>4738</v>
      </c>
      <c r="G89" s="458" t="s">
        <v>4739</v>
      </c>
      <c r="H89" s="458" t="s">
        <v>4740</v>
      </c>
      <c r="I89" s="458" t="s">
        <v>3721</v>
      </c>
      <c r="J89" s="458">
        <v>3</v>
      </c>
      <c r="K89" s="458" t="s">
        <v>16</v>
      </c>
    </row>
    <row r="90" spans="1:11" ht="15.8" customHeight="1" x14ac:dyDescent="0.2">
      <c r="A90" s="456" t="s">
        <v>10</v>
      </c>
      <c r="B90" s="456" t="s">
        <v>2161</v>
      </c>
      <c r="C90" s="576"/>
      <c r="D90" s="457">
        <v>45761</v>
      </c>
      <c r="E90" s="456" t="s">
        <v>164</v>
      </c>
      <c r="F90" s="456" t="s">
        <v>4741</v>
      </c>
      <c r="G90" s="456" t="s">
        <v>173</v>
      </c>
      <c r="H90" s="456" t="s">
        <v>4742</v>
      </c>
      <c r="I90" s="456" t="s">
        <v>3721</v>
      </c>
      <c r="J90" s="456">
        <v>4</v>
      </c>
      <c r="K90" s="456" t="s">
        <v>34</v>
      </c>
    </row>
    <row r="91" spans="1:11" ht="15.8" customHeight="1" x14ac:dyDescent="0.2">
      <c r="A91" s="458" t="s">
        <v>10</v>
      </c>
      <c r="B91" s="458" t="s">
        <v>2162</v>
      </c>
      <c r="C91" s="576"/>
      <c r="D91" s="459">
        <v>45764</v>
      </c>
      <c r="E91" s="458" t="s">
        <v>215</v>
      </c>
      <c r="F91" s="458" t="s">
        <v>4743</v>
      </c>
      <c r="G91" s="502"/>
      <c r="H91" s="458" t="s">
        <v>4744</v>
      </c>
      <c r="I91" s="458" t="s">
        <v>167</v>
      </c>
      <c r="J91" s="458">
        <v>26</v>
      </c>
      <c r="K91" s="458" t="s">
        <v>41</v>
      </c>
    </row>
    <row r="92" spans="1:11" ht="15.8" customHeight="1" x14ac:dyDescent="0.2">
      <c r="A92" s="456" t="s">
        <v>10</v>
      </c>
      <c r="B92" s="456" t="s">
        <v>2162</v>
      </c>
      <c r="C92" s="576"/>
      <c r="D92" s="457">
        <v>45764</v>
      </c>
      <c r="E92" s="456" t="s">
        <v>72</v>
      </c>
      <c r="F92" s="456" t="s">
        <v>4745</v>
      </c>
      <c r="G92" s="503"/>
      <c r="H92" s="456" t="s">
        <v>4746</v>
      </c>
      <c r="I92" s="456" t="s">
        <v>167</v>
      </c>
      <c r="J92" s="456">
        <v>26</v>
      </c>
      <c r="K92" s="456" t="s">
        <v>41</v>
      </c>
    </row>
    <row r="93" spans="1:11" ht="15.8" customHeight="1" x14ac:dyDescent="0.2">
      <c r="A93" s="458" t="s">
        <v>146</v>
      </c>
      <c r="B93" s="458" t="s">
        <v>11</v>
      </c>
      <c r="C93" s="576"/>
      <c r="D93" s="459">
        <v>45765</v>
      </c>
      <c r="E93" s="458" t="s">
        <v>57</v>
      </c>
      <c r="F93" s="458" t="s">
        <v>4747</v>
      </c>
      <c r="G93" s="458" t="s">
        <v>441</v>
      </c>
      <c r="H93" s="458" t="s">
        <v>11</v>
      </c>
      <c r="I93" s="458" t="s">
        <v>167</v>
      </c>
      <c r="J93" s="458">
        <v>5</v>
      </c>
      <c r="K93" s="458" t="s">
        <v>16</v>
      </c>
    </row>
    <row r="94" spans="1:11" ht="15.8" customHeight="1" x14ac:dyDescent="0.2">
      <c r="A94" s="456" t="s">
        <v>10</v>
      </c>
      <c r="B94" s="456" t="s">
        <v>2162</v>
      </c>
      <c r="C94" s="576"/>
      <c r="D94" s="457">
        <v>45765</v>
      </c>
      <c r="E94" s="504">
        <v>0.14583333333333334</v>
      </c>
      <c r="F94" s="456" t="s">
        <v>4745</v>
      </c>
      <c r="G94" s="503"/>
      <c r="H94" s="456" t="s">
        <v>4748</v>
      </c>
      <c r="I94" s="456" t="s">
        <v>167</v>
      </c>
      <c r="J94" s="456">
        <v>23</v>
      </c>
      <c r="K94" s="456" t="s">
        <v>3999</v>
      </c>
    </row>
    <row r="95" spans="1:11" ht="15.8" customHeight="1" x14ac:dyDescent="0.2">
      <c r="A95" s="458" t="s">
        <v>10</v>
      </c>
      <c r="B95" s="458" t="s">
        <v>2162</v>
      </c>
      <c r="C95" s="576"/>
      <c r="D95" s="459">
        <v>45765</v>
      </c>
      <c r="E95" s="458" t="s">
        <v>4749</v>
      </c>
      <c r="F95" s="458" t="s">
        <v>822</v>
      </c>
      <c r="G95" s="458" t="s">
        <v>4750</v>
      </c>
      <c r="H95" s="458" t="s">
        <v>4751</v>
      </c>
      <c r="I95" s="458" t="s">
        <v>3721</v>
      </c>
      <c r="J95" s="458">
        <v>30</v>
      </c>
      <c r="K95" s="458" t="s">
        <v>4752</v>
      </c>
    </row>
    <row r="96" spans="1:11" ht="15.8" customHeight="1" x14ac:dyDescent="0.2">
      <c r="A96" s="456" t="s">
        <v>10</v>
      </c>
      <c r="B96" s="456" t="s">
        <v>2162</v>
      </c>
      <c r="C96" s="576"/>
      <c r="D96" s="457">
        <v>45766</v>
      </c>
      <c r="E96" s="456" t="s">
        <v>57</v>
      </c>
      <c r="F96" s="456" t="s">
        <v>4745</v>
      </c>
      <c r="G96" s="503"/>
      <c r="H96" s="456" t="s">
        <v>4753</v>
      </c>
      <c r="I96" s="456" t="s">
        <v>167</v>
      </c>
      <c r="J96" s="456">
        <v>15</v>
      </c>
      <c r="K96" s="456" t="s">
        <v>3999</v>
      </c>
    </row>
    <row r="97" spans="1:11" ht="15.8" customHeight="1" x14ac:dyDescent="0.2">
      <c r="A97" s="458" t="s">
        <v>10</v>
      </c>
      <c r="B97" s="458" t="s">
        <v>2162</v>
      </c>
      <c r="C97" s="576"/>
      <c r="D97" s="459">
        <v>45767</v>
      </c>
      <c r="E97" s="458" t="s">
        <v>164</v>
      </c>
      <c r="F97" s="458" t="s">
        <v>1137</v>
      </c>
      <c r="G97" s="502"/>
      <c r="H97" s="458" t="s">
        <v>4754</v>
      </c>
      <c r="I97" s="458" t="s">
        <v>167</v>
      </c>
      <c r="J97" s="458">
        <v>11</v>
      </c>
      <c r="K97" s="458" t="s">
        <v>34</v>
      </c>
    </row>
    <row r="98" spans="1:11" ht="15.8" customHeight="1" x14ac:dyDescent="0.2">
      <c r="A98" s="456" t="s">
        <v>10</v>
      </c>
      <c r="B98" s="456" t="s">
        <v>2162</v>
      </c>
      <c r="C98" s="576"/>
      <c r="D98" s="457">
        <v>45767</v>
      </c>
      <c r="E98" s="456" t="s">
        <v>486</v>
      </c>
      <c r="F98" s="456" t="s">
        <v>4755</v>
      </c>
      <c r="G98" s="456" t="s">
        <v>27</v>
      </c>
      <c r="H98" s="456" t="s">
        <v>4756</v>
      </c>
      <c r="I98" s="456" t="s">
        <v>4438</v>
      </c>
      <c r="J98" s="456">
        <v>11</v>
      </c>
      <c r="K98" s="456" t="s">
        <v>2277</v>
      </c>
    </row>
    <row r="99" spans="1:11" ht="15.8" customHeight="1" x14ac:dyDescent="0.2">
      <c r="A99" s="458" t="s">
        <v>10</v>
      </c>
      <c r="B99" s="458" t="s">
        <v>244</v>
      </c>
      <c r="C99" s="576"/>
      <c r="D99" s="459">
        <v>45768</v>
      </c>
      <c r="E99" s="458" t="s">
        <v>91</v>
      </c>
      <c r="F99" s="458" t="s">
        <v>4757</v>
      </c>
      <c r="G99" s="458" t="s">
        <v>76</v>
      </c>
      <c r="H99" s="458" t="s">
        <v>4758</v>
      </c>
      <c r="I99" s="458" t="s">
        <v>3937</v>
      </c>
      <c r="J99" s="458">
        <v>4</v>
      </c>
      <c r="K99" s="458" t="s">
        <v>16</v>
      </c>
    </row>
    <row r="100" spans="1:11" ht="15.8" customHeight="1" x14ac:dyDescent="0.2">
      <c r="A100" s="456" t="s">
        <v>51</v>
      </c>
      <c r="B100" s="456" t="s">
        <v>397</v>
      </c>
      <c r="C100" s="576"/>
      <c r="D100" s="457">
        <v>45768</v>
      </c>
      <c r="E100" s="456" t="s">
        <v>57</v>
      </c>
      <c r="F100" s="456" t="s">
        <v>4759</v>
      </c>
      <c r="G100" s="456" t="s">
        <v>76</v>
      </c>
      <c r="H100" s="456" t="s">
        <v>4760</v>
      </c>
      <c r="I100" s="456" t="s">
        <v>167</v>
      </c>
      <c r="J100" s="456">
        <v>7</v>
      </c>
      <c r="K100" s="456" t="s">
        <v>16</v>
      </c>
    </row>
    <row r="101" spans="1:11" ht="15.8" customHeight="1" x14ac:dyDescent="0.2">
      <c r="A101" s="458" t="s">
        <v>146</v>
      </c>
      <c r="B101" s="458" t="s">
        <v>2163</v>
      </c>
      <c r="C101" s="576"/>
      <c r="D101" s="459">
        <v>45769</v>
      </c>
      <c r="E101" s="458" t="s">
        <v>72</v>
      </c>
      <c r="F101" s="458" t="s">
        <v>4761</v>
      </c>
      <c r="G101" s="458" t="s">
        <v>4762</v>
      </c>
      <c r="H101" s="458" t="s">
        <v>4763</v>
      </c>
      <c r="I101" s="458" t="s">
        <v>4764</v>
      </c>
      <c r="J101" s="458">
        <v>9</v>
      </c>
      <c r="K101" s="458" t="s">
        <v>56</v>
      </c>
    </row>
    <row r="102" spans="1:11" ht="15.8" customHeight="1" x14ac:dyDescent="0.2">
      <c r="A102" s="456" t="s">
        <v>51</v>
      </c>
      <c r="B102" s="456" t="s">
        <v>244</v>
      </c>
      <c r="C102" s="576"/>
      <c r="D102" s="457">
        <v>45770</v>
      </c>
      <c r="E102" s="456" t="s">
        <v>37</v>
      </c>
      <c r="F102" s="456" t="s">
        <v>4171</v>
      </c>
      <c r="G102" s="456" t="s">
        <v>106</v>
      </c>
      <c r="H102" s="456" t="s">
        <v>4765</v>
      </c>
      <c r="I102" s="456" t="s">
        <v>3937</v>
      </c>
      <c r="J102" s="456">
        <v>6</v>
      </c>
      <c r="K102" s="456" t="s">
        <v>34</v>
      </c>
    </row>
    <row r="103" spans="1:11" ht="15.8" customHeight="1" x14ac:dyDescent="0.2">
      <c r="A103" s="458" t="s">
        <v>146</v>
      </c>
      <c r="B103" s="458" t="s">
        <v>2163</v>
      </c>
      <c r="C103" s="576"/>
      <c r="D103" s="459">
        <v>45771</v>
      </c>
      <c r="E103" s="458" t="s">
        <v>164</v>
      </c>
      <c r="F103" s="458" t="s">
        <v>2645</v>
      </c>
      <c r="G103" s="458" t="s">
        <v>345</v>
      </c>
      <c r="H103" s="458" t="s">
        <v>4766</v>
      </c>
      <c r="I103" s="458" t="s">
        <v>3937</v>
      </c>
      <c r="J103" s="458">
        <v>11</v>
      </c>
      <c r="K103" s="458" t="s">
        <v>4752</v>
      </c>
    </row>
    <row r="104" spans="1:11" ht="15.8" customHeight="1" x14ac:dyDescent="0.2">
      <c r="A104" s="500" t="s">
        <v>2145</v>
      </c>
      <c r="B104" s="498"/>
      <c r="C104" s="391"/>
      <c r="D104" s="498"/>
      <c r="E104" s="498"/>
      <c r="F104" s="498"/>
      <c r="G104" s="498"/>
      <c r="H104" s="498"/>
      <c r="I104" s="498"/>
      <c r="J104" s="498"/>
      <c r="K104" s="498"/>
    </row>
    <row r="105" spans="1:11" ht="15.8" customHeight="1" x14ac:dyDescent="0.2">
      <c r="A105" s="458" t="s">
        <v>10</v>
      </c>
      <c r="B105" s="458" t="s">
        <v>64</v>
      </c>
      <c r="C105" s="576">
        <f>COUNTIF(B105:B127,C2)</f>
        <v>1</v>
      </c>
      <c r="D105" s="459">
        <v>45778</v>
      </c>
      <c r="E105" s="458" t="s">
        <v>57</v>
      </c>
      <c r="F105" s="458" t="s">
        <v>4792</v>
      </c>
      <c r="G105" s="502"/>
      <c r="H105" s="458" t="s">
        <v>4793</v>
      </c>
      <c r="I105" s="458" t="s">
        <v>167</v>
      </c>
      <c r="J105" s="458">
        <v>3</v>
      </c>
      <c r="K105" s="458" t="s">
        <v>50</v>
      </c>
    </row>
    <row r="106" spans="1:11" ht="15.8" customHeight="1" x14ac:dyDescent="0.2">
      <c r="A106" s="456" t="s">
        <v>10</v>
      </c>
      <c r="B106" s="456" t="s">
        <v>2162</v>
      </c>
      <c r="C106" s="576"/>
      <c r="D106" s="457">
        <v>45782</v>
      </c>
      <c r="E106" s="456" t="s">
        <v>4631</v>
      </c>
      <c r="F106" s="456" t="s">
        <v>4767</v>
      </c>
      <c r="G106" s="456" t="s">
        <v>1610</v>
      </c>
      <c r="H106" s="456" t="s">
        <v>4768</v>
      </c>
      <c r="I106" s="456" t="s">
        <v>3721</v>
      </c>
      <c r="J106" s="456">
        <v>3</v>
      </c>
      <c r="K106" s="456" t="s">
        <v>50</v>
      </c>
    </row>
    <row r="107" spans="1:11" ht="15.8" customHeight="1" x14ac:dyDescent="0.2">
      <c r="A107" s="458" t="s">
        <v>10</v>
      </c>
      <c r="B107" s="458" t="s">
        <v>2162</v>
      </c>
      <c r="C107" s="576"/>
      <c r="D107" s="459">
        <v>45782</v>
      </c>
      <c r="E107" s="458" t="s">
        <v>4769</v>
      </c>
      <c r="F107" s="458" t="s">
        <v>4770</v>
      </c>
      <c r="G107" s="458" t="s">
        <v>1610</v>
      </c>
      <c r="H107" s="458" t="s">
        <v>4771</v>
      </c>
      <c r="I107" s="458" t="s">
        <v>3721</v>
      </c>
      <c r="J107" s="458">
        <v>5</v>
      </c>
      <c r="K107" s="458" t="s">
        <v>34</v>
      </c>
    </row>
    <row r="108" spans="1:11" ht="15.8" customHeight="1" x14ac:dyDescent="0.2">
      <c r="A108" s="456" t="s">
        <v>10</v>
      </c>
      <c r="B108" s="456" t="s">
        <v>152</v>
      </c>
      <c r="C108" s="576"/>
      <c r="D108" s="457">
        <v>45783</v>
      </c>
      <c r="E108" s="456" t="s">
        <v>4312</v>
      </c>
      <c r="F108" s="456" t="s">
        <v>4772</v>
      </c>
      <c r="G108" s="456" t="s">
        <v>4772</v>
      </c>
      <c r="H108" s="456" t="s">
        <v>4773</v>
      </c>
      <c r="I108" s="456" t="s">
        <v>3721</v>
      </c>
      <c r="J108" s="456">
        <v>2</v>
      </c>
      <c r="K108" s="456" t="s">
        <v>50</v>
      </c>
    </row>
    <row r="109" spans="1:11" ht="15.8" customHeight="1" x14ac:dyDescent="0.2">
      <c r="A109" s="458" t="s">
        <v>10</v>
      </c>
      <c r="B109" s="458" t="s">
        <v>2162</v>
      </c>
      <c r="C109" s="576"/>
      <c r="D109" s="459">
        <v>45783</v>
      </c>
      <c r="E109" s="458" t="s">
        <v>4375</v>
      </c>
      <c r="F109" s="458" t="s">
        <v>4794</v>
      </c>
      <c r="G109" s="458" t="s">
        <v>173</v>
      </c>
      <c r="H109" s="458" t="s">
        <v>4795</v>
      </c>
      <c r="I109" s="458" t="s">
        <v>3721</v>
      </c>
      <c r="J109" s="458">
        <v>2</v>
      </c>
      <c r="K109" s="458" t="s">
        <v>78</v>
      </c>
    </row>
    <row r="110" spans="1:11" ht="15.8" customHeight="1" x14ac:dyDescent="0.2">
      <c r="A110" s="456" t="s">
        <v>10</v>
      </c>
      <c r="B110" s="456" t="s">
        <v>2161</v>
      </c>
      <c r="C110" s="576"/>
      <c r="D110" s="457">
        <v>45784</v>
      </c>
      <c r="E110" s="456" t="s">
        <v>57</v>
      </c>
      <c r="F110" s="456" t="s">
        <v>4774</v>
      </c>
      <c r="G110" s="456" t="s">
        <v>134</v>
      </c>
      <c r="H110" s="456" t="s">
        <v>4775</v>
      </c>
      <c r="I110" s="456" t="s">
        <v>3721</v>
      </c>
      <c r="J110" s="456">
        <v>4</v>
      </c>
      <c r="K110" s="456" t="s">
        <v>34</v>
      </c>
    </row>
    <row r="111" spans="1:11" ht="15.8" customHeight="1" x14ac:dyDescent="0.2">
      <c r="A111" s="458" t="s">
        <v>10</v>
      </c>
      <c r="B111" s="458" t="s">
        <v>2161</v>
      </c>
      <c r="C111" s="576"/>
      <c r="D111" s="459">
        <v>45786</v>
      </c>
      <c r="E111" s="458" t="s">
        <v>1042</v>
      </c>
      <c r="F111" s="458" t="s">
        <v>801</v>
      </c>
      <c r="G111" s="458" t="s">
        <v>630</v>
      </c>
      <c r="H111" s="458" t="s">
        <v>4776</v>
      </c>
      <c r="I111" s="458" t="s">
        <v>3937</v>
      </c>
      <c r="J111" s="458">
        <v>4</v>
      </c>
      <c r="K111" s="458" t="s">
        <v>78</v>
      </c>
    </row>
    <row r="112" spans="1:11" ht="15.8" customHeight="1" x14ac:dyDescent="0.2">
      <c r="A112" s="456" t="s">
        <v>35</v>
      </c>
      <c r="B112" s="456" t="s">
        <v>137</v>
      </c>
      <c r="C112" s="576"/>
      <c r="D112" s="457">
        <v>45787</v>
      </c>
      <c r="E112" s="456" t="s">
        <v>4631</v>
      </c>
      <c r="F112" s="456" t="s">
        <v>4796</v>
      </c>
      <c r="G112" s="456" t="s">
        <v>189</v>
      </c>
      <c r="H112" s="456" t="s">
        <v>4797</v>
      </c>
      <c r="I112" s="456" t="s">
        <v>3721</v>
      </c>
      <c r="J112" s="456">
        <v>2</v>
      </c>
      <c r="K112" s="456" t="s">
        <v>50</v>
      </c>
    </row>
    <row r="113" spans="1:11" ht="15.8" customHeight="1" x14ac:dyDescent="0.2">
      <c r="A113" s="458" t="s">
        <v>10</v>
      </c>
      <c r="B113" s="458" t="s">
        <v>2162</v>
      </c>
      <c r="C113" s="576"/>
      <c r="D113" s="459">
        <v>45787</v>
      </c>
      <c r="E113" s="458" t="s">
        <v>164</v>
      </c>
      <c r="F113" s="458" t="s">
        <v>4798</v>
      </c>
      <c r="G113" s="458" t="s">
        <v>4799</v>
      </c>
      <c r="H113" s="458" t="s">
        <v>4800</v>
      </c>
      <c r="I113" s="458" t="s">
        <v>3721</v>
      </c>
      <c r="J113" s="458">
        <v>5</v>
      </c>
      <c r="K113" s="458" t="s">
        <v>50</v>
      </c>
    </row>
    <row r="114" spans="1:11" ht="15.8" customHeight="1" x14ac:dyDescent="0.2">
      <c r="A114" s="456" t="s">
        <v>35</v>
      </c>
      <c r="B114" s="456" t="s">
        <v>29</v>
      </c>
      <c r="C114" s="576"/>
      <c r="D114" s="457">
        <v>45818</v>
      </c>
      <c r="E114" s="456" t="s">
        <v>72</v>
      </c>
      <c r="F114" s="456" t="s">
        <v>150</v>
      </c>
      <c r="G114" s="456" t="s">
        <v>150</v>
      </c>
      <c r="H114" s="456" t="s">
        <v>4801</v>
      </c>
      <c r="I114" s="456" t="s">
        <v>3937</v>
      </c>
      <c r="J114" s="456">
        <v>2</v>
      </c>
      <c r="K114" s="456" t="s">
        <v>78</v>
      </c>
    </row>
    <row r="115" spans="1:11" ht="15.8" customHeight="1" x14ac:dyDescent="0.2">
      <c r="A115" s="458" t="s">
        <v>35</v>
      </c>
      <c r="B115" s="458" t="s">
        <v>137</v>
      </c>
      <c r="C115" s="576"/>
      <c r="D115" s="459">
        <v>45790</v>
      </c>
      <c r="E115" s="458" t="s">
        <v>91</v>
      </c>
      <c r="F115" s="458" t="s">
        <v>4777</v>
      </c>
      <c r="G115" s="458" t="s">
        <v>3948</v>
      </c>
      <c r="H115" s="458" t="s">
        <v>4778</v>
      </c>
      <c r="I115" s="458" t="s">
        <v>167</v>
      </c>
      <c r="J115" s="458">
        <v>2</v>
      </c>
      <c r="K115" s="458" t="s">
        <v>78</v>
      </c>
    </row>
    <row r="116" spans="1:11" ht="15.8" customHeight="1" x14ac:dyDescent="0.2">
      <c r="A116" s="456" t="s">
        <v>51</v>
      </c>
      <c r="B116" s="456" t="s">
        <v>481</v>
      </c>
      <c r="C116" s="576"/>
      <c r="D116" s="457">
        <v>45791</v>
      </c>
      <c r="E116" s="456" t="s">
        <v>153</v>
      </c>
      <c r="F116" s="456" t="s">
        <v>4779</v>
      </c>
      <c r="G116" s="456" t="s">
        <v>110</v>
      </c>
      <c r="H116" s="456" t="s">
        <v>4780</v>
      </c>
      <c r="I116" s="456" t="s">
        <v>3721</v>
      </c>
      <c r="J116" s="456">
        <v>4</v>
      </c>
      <c r="K116" s="456" t="s">
        <v>16</v>
      </c>
    </row>
    <row r="117" spans="1:11" ht="15.8" customHeight="1" x14ac:dyDescent="0.2">
      <c r="A117" s="458" t="s">
        <v>51</v>
      </c>
      <c r="B117" s="458" t="s">
        <v>244</v>
      </c>
      <c r="C117" s="576"/>
      <c r="D117" s="459">
        <v>45791</v>
      </c>
      <c r="E117" s="458" t="s">
        <v>91</v>
      </c>
      <c r="F117" s="458" t="s">
        <v>4781</v>
      </c>
      <c r="G117" s="458" t="s">
        <v>139</v>
      </c>
      <c r="H117" s="458" t="s">
        <v>4782</v>
      </c>
      <c r="I117" s="458" t="s">
        <v>167</v>
      </c>
      <c r="J117" s="458">
        <v>4</v>
      </c>
      <c r="K117" s="458" t="s">
        <v>16</v>
      </c>
    </row>
    <row r="118" spans="1:11" ht="15.8" customHeight="1" x14ac:dyDescent="0.2">
      <c r="A118" s="456" t="s">
        <v>35</v>
      </c>
      <c r="B118" s="456" t="s">
        <v>137</v>
      </c>
      <c r="C118" s="576"/>
      <c r="D118" s="457">
        <v>45792</v>
      </c>
      <c r="E118" s="456" t="s">
        <v>57</v>
      </c>
      <c r="F118" s="456" t="s">
        <v>4783</v>
      </c>
      <c r="G118" s="456" t="s">
        <v>2194</v>
      </c>
      <c r="H118" s="456" t="s">
        <v>4784</v>
      </c>
      <c r="I118" s="456" t="s">
        <v>3937</v>
      </c>
      <c r="J118" s="456">
        <v>3</v>
      </c>
      <c r="K118" s="456" t="s">
        <v>50</v>
      </c>
    </row>
    <row r="119" spans="1:11" ht="15.8" customHeight="1" x14ac:dyDescent="0.2">
      <c r="A119" s="458" t="s">
        <v>35</v>
      </c>
      <c r="B119" s="458" t="s">
        <v>29</v>
      </c>
      <c r="C119" s="576"/>
      <c r="D119" s="459">
        <v>45824</v>
      </c>
      <c r="E119" s="458" t="s">
        <v>37</v>
      </c>
      <c r="F119" s="458" t="s">
        <v>150</v>
      </c>
      <c r="G119" s="458" t="s">
        <v>150</v>
      </c>
      <c r="H119" s="458" t="s">
        <v>3808</v>
      </c>
      <c r="I119" s="458" t="s">
        <v>3937</v>
      </c>
      <c r="J119" s="458">
        <v>2</v>
      </c>
      <c r="K119" s="458" t="s">
        <v>78</v>
      </c>
    </row>
    <row r="120" spans="1:11" ht="15.8" customHeight="1" x14ac:dyDescent="0.2">
      <c r="A120" s="456" t="s">
        <v>10</v>
      </c>
      <c r="B120" s="456" t="s">
        <v>2162</v>
      </c>
      <c r="C120" s="576"/>
      <c r="D120" s="457">
        <v>45794</v>
      </c>
      <c r="E120" s="456" t="s">
        <v>4785</v>
      </c>
      <c r="F120" s="456" t="s">
        <v>4786</v>
      </c>
      <c r="G120" s="456" t="s">
        <v>4787</v>
      </c>
      <c r="H120" s="456" t="s">
        <v>4788</v>
      </c>
      <c r="I120" s="456" t="s">
        <v>3721</v>
      </c>
      <c r="J120" s="456">
        <v>3</v>
      </c>
      <c r="K120" s="456" t="s">
        <v>16</v>
      </c>
    </row>
    <row r="121" spans="1:11" ht="15.8" customHeight="1" x14ac:dyDescent="0.2">
      <c r="A121" s="458" t="s">
        <v>10</v>
      </c>
      <c r="B121" s="458" t="s">
        <v>163</v>
      </c>
      <c r="C121" s="576"/>
      <c r="D121" s="459">
        <v>45795</v>
      </c>
      <c r="E121" s="458" t="s">
        <v>1042</v>
      </c>
      <c r="F121" s="458" t="s">
        <v>4789</v>
      </c>
      <c r="G121" s="458" t="s">
        <v>4790</v>
      </c>
      <c r="H121" s="458" t="s">
        <v>4791</v>
      </c>
      <c r="I121" s="458" t="s">
        <v>3937</v>
      </c>
      <c r="J121" s="458">
        <v>6</v>
      </c>
      <c r="K121" s="458" t="s">
        <v>50</v>
      </c>
    </row>
    <row r="122" spans="1:11" ht="15.8" customHeight="1" x14ac:dyDescent="0.2">
      <c r="A122" s="456" t="s">
        <v>10</v>
      </c>
      <c r="B122" s="456" t="s">
        <v>2162</v>
      </c>
      <c r="C122" s="576"/>
      <c r="D122" s="457">
        <v>45800</v>
      </c>
      <c r="E122" s="456" t="s">
        <v>2183</v>
      </c>
      <c r="F122" s="456" t="s">
        <v>4794</v>
      </c>
      <c r="G122" s="456" t="s">
        <v>801</v>
      </c>
      <c r="H122" s="456" t="s">
        <v>4802</v>
      </c>
      <c r="I122" s="456" t="s">
        <v>3721</v>
      </c>
      <c r="J122" s="456">
        <v>3</v>
      </c>
      <c r="K122" s="456" t="s">
        <v>78</v>
      </c>
    </row>
    <row r="123" spans="1:11" ht="15.8" customHeight="1" x14ac:dyDescent="0.2">
      <c r="A123" s="458" t="s">
        <v>51</v>
      </c>
      <c r="B123" s="458" t="s">
        <v>52</v>
      </c>
      <c r="C123" s="576"/>
      <c r="D123" s="459">
        <v>45803</v>
      </c>
      <c r="E123" s="458" t="s">
        <v>4803</v>
      </c>
      <c r="F123" s="458" t="s">
        <v>4804</v>
      </c>
      <c r="G123" s="458" t="s">
        <v>95</v>
      </c>
      <c r="H123" s="458" t="s">
        <v>4805</v>
      </c>
      <c r="I123" s="458" t="s">
        <v>3721</v>
      </c>
      <c r="J123" s="458">
        <v>6</v>
      </c>
      <c r="K123" s="458" t="s">
        <v>56</v>
      </c>
    </row>
    <row r="124" spans="1:11" ht="15.8" customHeight="1" x14ac:dyDescent="0.2">
      <c r="A124" s="456" t="s">
        <v>10</v>
      </c>
      <c r="B124" s="456" t="s">
        <v>29</v>
      </c>
      <c r="C124" s="576"/>
      <c r="D124" s="457">
        <v>45804</v>
      </c>
      <c r="E124" s="456" t="s">
        <v>57</v>
      </c>
      <c r="F124" s="456" t="s">
        <v>4806</v>
      </c>
      <c r="G124" s="456" t="s">
        <v>21</v>
      </c>
      <c r="H124" s="456" t="s">
        <v>4807</v>
      </c>
      <c r="I124" s="456" t="s">
        <v>3937</v>
      </c>
      <c r="J124" s="456">
        <v>3</v>
      </c>
      <c r="K124" s="456" t="s">
        <v>50</v>
      </c>
    </row>
    <row r="125" spans="1:11" ht="15.8" customHeight="1" x14ac:dyDescent="0.2">
      <c r="A125" s="458" t="s">
        <v>51</v>
      </c>
      <c r="B125" s="458" t="s">
        <v>481</v>
      </c>
      <c r="C125" s="576"/>
      <c r="D125" s="459">
        <v>45806</v>
      </c>
      <c r="E125" s="458" t="s">
        <v>57</v>
      </c>
      <c r="F125" s="458" t="s">
        <v>4808</v>
      </c>
      <c r="G125" s="458" t="s">
        <v>27</v>
      </c>
      <c r="H125" s="458" t="s">
        <v>4809</v>
      </c>
      <c r="I125" s="458" t="s">
        <v>4810</v>
      </c>
      <c r="J125" s="458">
        <v>4</v>
      </c>
      <c r="K125" s="458" t="s">
        <v>192</v>
      </c>
    </row>
    <row r="126" spans="1:11" ht="15.8" customHeight="1" x14ac:dyDescent="0.2">
      <c r="A126" s="456" t="s">
        <v>10</v>
      </c>
      <c r="B126" s="456" t="s">
        <v>188</v>
      </c>
      <c r="C126" s="576"/>
      <c r="D126" s="457">
        <v>45806</v>
      </c>
      <c r="E126" s="456" t="s">
        <v>4811</v>
      </c>
      <c r="F126" s="456" t="s">
        <v>4812</v>
      </c>
      <c r="G126" s="456" t="s">
        <v>4813</v>
      </c>
      <c r="H126" s="456" t="s">
        <v>4814</v>
      </c>
      <c r="I126" s="456" t="s">
        <v>167</v>
      </c>
      <c r="J126" s="456">
        <v>8</v>
      </c>
      <c r="K126" s="456" t="s">
        <v>1323</v>
      </c>
    </row>
    <row r="127" spans="1:11" ht="15.8" customHeight="1" x14ac:dyDescent="0.2">
      <c r="A127" s="458" t="s">
        <v>10</v>
      </c>
      <c r="B127" s="458" t="s">
        <v>188</v>
      </c>
      <c r="C127" s="576"/>
      <c r="D127" s="459">
        <v>45808</v>
      </c>
      <c r="E127" s="458" t="s">
        <v>4815</v>
      </c>
      <c r="F127" s="458" t="s">
        <v>4812</v>
      </c>
      <c r="G127" s="458" t="s">
        <v>4816</v>
      </c>
      <c r="H127" s="458" t="s">
        <v>4817</v>
      </c>
      <c r="I127" s="458" t="s">
        <v>167</v>
      </c>
      <c r="J127" s="458">
        <v>7</v>
      </c>
      <c r="K127" s="458" t="s">
        <v>2439</v>
      </c>
    </row>
    <row r="128" spans="1:11" ht="15.8" customHeight="1" x14ac:dyDescent="0.2">
      <c r="A128" s="500" t="s">
        <v>835</v>
      </c>
      <c r="B128" s="498"/>
      <c r="C128" s="498"/>
      <c r="D128" s="498"/>
      <c r="E128" s="498"/>
      <c r="F128" s="498"/>
      <c r="G128" s="498"/>
      <c r="H128" s="498"/>
      <c r="I128" s="498"/>
      <c r="J128" s="498"/>
      <c r="K128" s="387"/>
    </row>
    <row r="129" spans="1:11" ht="15.8" customHeight="1" x14ac:dyDescent="0.2">
      <c r="A129" s="458" t="s">
        <v>10</v>
      </c>
      <c r="B129" s="458" t="s">
        <v>152</v>
      </c>
      <c r="C129" s="576">
        <f>COUNTIF(B129:B142,C2)</f>
        <v>0</v>
      </c>
      <c r="D129" s="459">
        <v>45811</v>
      </c>
      <c r="E129" s="458" t="s">
        <v>37</v>
      </c>
      <c r="F129" s="458" t="s">
        <v>4818</v>
      </c>
      <c r="G129" s="458" t="s">
        <v>355</v>
      </c>
      <c r="H129" s="458" t="s">
        <v>4819</v>
      </c>
      <c r="I129" s="458" t="s">
        <v>3937</v>
      </c>
      <c r="J129" s="458">
        <v>4</v>
      </c>
      <c r="K129" s="458" t="s">
        <v>50</v>
      </c>
    </row>
    <row r="130" spans="1:11" ht="15.8" customHeight="1" x14ac:dyDescent="0.2">
      <c r="A130" s="456" t="s">
        <v>17</v>
      </c>
      <c r="B130" s="456" t="s">
        <v>24</v>
      </c>
      <c r="C130" s="576"/>
      <c r="D130" s="457">
        <v>45812</v>
      </c>
      <c r="E130" s="456" t="s">
        <v>57</v>
      </c>
      <c r="F130" s="456" t="s">
        <v>1055</v>
      </c>
      <c r="G130" s="456" t="s">
        <v>4820</v>
      </c>
      <c r="H130" s="456" t="s">
        <v>4821</v>
      </c>
      <c r="I130" s="456" t="s">
        <v>3721</v>
      </c>
      <c r="J130" s="456">
        <v>1</v>
      </c>
      <c r="K130" s="456" t="s">
        <v>23</v>
      </c>
    </row>
    <row r="131" spans="1:11" ht="15.8" customHeight="1" x14ac:dyDescent="0.2">
      <c r="A131" s="458" t="s">
        <v>159</v>
      </c>
      <c r="B131" s="458" t="s">
        <v>2164</v>
      </c>
      <c r="C131" s="576"/>
      <c r="D131" s="459">
        <v>45812</v>
      </c>
      <c r="E131" s="458" t="s">
        <v>37</v>
      </c>
      <c r="F131" s="458" t="s">
        <v>4822</v>
      </c>
      <c r="G131" s="458" t="s">
        <v>1837</v>
      </c>
      <c r="H131" s="458" t="s">
        <v>4823</v>
      </c>
      <c r="I131" s="458" t="s">
        <v>3937</v>
      </c>
      <c r="J131" s="458">
        <v>5</v>
      </c>
      <c r="K131" s="458" t="s">
        <v>34</v>
      </c>
    </row>
    <row r="132" spans="1:11" ht="15.8" customHeight="1" x14ac:dyDescent="0.2">
      <c r="A132" s="456" t="s">
        <v>10</v>
      </c>
      <c r="B132" s="456" t="s">
        <v>29</v>
      </c>
      <c r="C132" s="576"/>
      <c r="D132" s="457">
        <v>45813</v>
      </c>
      <c r="E132" s="456" t="s">
        <v>57</v>
      </c>
      <c r="F132" s="456" t="s">
        <v>4824</v>
      </c>
      <c r="G132" s="456" t="s">
        <v>4825</v>
      </c>
      <c r="H132" s="456" t="s">
        <v>4826</v>
      </c>
      <c r="I132" s="456" t="s">
        <v>3937</v>
      </c>
      <c r="J132" s="456">
        <v>1</v>
      </c>
      <c r="K132" s="456" t="s">
        <v>78</v>
      </c>
    </row>
    <row r="133" spans="1:11" ht="15.8" customHeight="1" x14ac:dyDescent="0.2">
      <c r="A133" s="458" t="s">
        <v>51</v>
      </c>
      <c r="B133" s="458" t="s">
        <v>244</v>
      </c>
      <c r="C133" s="576"/>
      <c r="D133" s="459">
        <v>45814</v>
      </c>
      <c r="E133" s="458" t="s">
        <v>57</v>
      </c>
      <c r="F133" s="458" t="s">
        <v>189</v>
      </c>
      <c r="G133" s="458" t="s">
        <v>189</v>
      </c>
      <c r="H133" s="458" t="s">
        <v>4827</v>
      </c>
      <c r="I133" s="458" t="s">
        <v>167</v>
      </c>
      <c r="J133" s="458">
        <v>5</v>
      </c>
      <c r="K133" s="458" t="s">
        <v>16</v>
      </c>
    </row>
    <row r="134" spans="1:11" ht="15.8" customHeight="1" x14ac:dyDescent="0.2">
      <c r="A134" s="456" t="s">
        <v>10</v>
      </c>
      <c r="B134" s="456" t="s">
        <v>2161</v>
      </c>
      <c r="C134" s="576"/>
      <c r="D134" s="457">
        <v>45815</v>
      </c>
      <c r="E134" s="456" t="s">
        <v>2228</v>
      </c>
      <c r="F134" s="456" t="s">
        <v>4828</v>
      </c>
      <c r="G134" s="456" t="s">
        <v>4829</v>
      </c>
      <c r="H134" s="456" t="s">
        <v>4830</v>
      </c>
      <c r="I134" s="456" t="s">
        <v>4650</v>
      </c>
      <c r="J134" s="456">
        <v>5</v>
      </c>
      <c r="K134" s="456" t="s">
        <v>99</v>
      </c>
    </row>
    <row r="135" spans="1:11" ht="15.8" customHeight="1" x14ac:dyDescent="0.2">
      <c r="A135" s="458" t="s">
        <v>10</v>
      </c>
      <c r="B135" s="458" t="s">
        <v>147</v>
      </c>
      <c r="C135" s="576"/>
      <c r="D135" s="459">
        <v>45817</v>
      </c>
      <c r="E135" s="458" t="s">
        <v>72</v>
      </c>
      <c r="F135" s="458" t="s">
        <v>4831</v>
      </c>
      <c r="G135" s="458" t="s">
        <v>4832</v>
      </c>
      <c r="H135" s="458" t="s">
        <v>4833</v>
      </c>
      <c r="I135" s="458" t="s">
        <v>3937</v>
      </c>
      <c r="J135" s="458">
        <v>8</v>
      </c>
      <c r="K135" s="458" t="s">
        <v>56</v>
      </c>
    </row>
    <row r="136" spans="1:11" ht="15.8" customHeight="1" x14ac:dyDescent="0.2">
      <c r="A136" s="456" t="s">
        <v>17</v>
      </c>
      <c r="B136" s="456" t="s">
        <v>24</v>
      </c>
      <c r="C136" s="576"/>
      <c r="D136" s="457">
        <v>45821</v>
      </c>
      <c r="E136" s="456" t="s">
        <v>57</v>
      </c>
      <c r="F136" s="456" t="s">
        <v>548</v>
      </c>
      <c r="G136" s="456" t="s">
        <v>144</v>
      </c>
      <c r="H136" s="456" t="s">
        <v>4834</v>
      </c>
      <c r="I136" s="456" t="s">
        <v>3721</v>
      </c>
      <c r="J136" s="456">
        <v>1</v>
      </c>
      <c r="K136" s="456" t="s">
        <v>23</v>
      </c>
    </row>
    <row r="137" spans="1:11" ht="15.8" customHeight="1" x14ac:dyDescent="0.2">
      <c r="A137" s="458" t="s">
        <v>17</v>
      </c>
      <c r="B137" s="458" t="s">
        <v>24</v>
      </c>
      <c r="C137" s="576"/>
      <c r="D137" s="459">
        <v>45821</v>
      </c>
      <c r="E137" s="458" t="s">
        <v>57</v>
      </c>
      <c r="F137" s="458" t="s">
        <v>4835</v>
      </c>
      <c r="G137" s="458" t="s">
        <v>144</v>
      </c>
      <c r="H137" s="458" t="s">
        <v>4836</v>
      </c>
      <c r="I137" s="458" t="s">
        <v>3721</v>
      </c>
      <c r="J137" s="458">
        <v>1</v>
      </c>
      <c r="K137" s="458" t="s">
        <v>23</v>
      </c>
    </row>
    <row r="138" spans="1:11" ht="15.8" customHeight="1" x14ac:dyDescent="0.2">
      <c r="A138" s="456" t="s">
        <v>17</v>
      </c>
      <c r="B138" s="456" t="s">
        <v>24</v>
      </c>
      <c r="C138" s="576"/>
      <c r="D138" s="457">
        <v>45821</v>
      </c>
      <c r="E138" s="456" t="s">
        <v>57</v>
      </c>
      <c r="F138" s="456" t="s">
        <v>4837</v>
      </c>
      <c r="G138" s="456" t="s">
        <v>144</v>
      </c>
      <c r="H138" s="456" t="s">
        <v>4838</v>
      </c>
      <c r="I138" s="456" t="s">
        <v>3721</v>
      </c>
      <c r="J138" s="456">
        <v>1</v>
      </c>
      <c r="K138" s="456" t="s">
        <v>23</v>
      </c>
    </row>
    <row r="139" spans="1:11" ht="15.8" customHeight="1" x14ac:dyDescent="0.2">
      <c r="A139" s="458" t="s">
        <v>10</v>
      </c>
      <c r="B139" s="458" t="s">
        <v>2162</v>
      </c>
      <c r="C139" s="576"/>
      <c r="D139" s="459">
        <v>45825</v>
      </c>
      <c r="E139" s="458" t="s">
        <v>4769</v>
      </c>
      <c r="F139" s="458" t="s">
        <v>4839</v>
      </c>
      <c r="G139" s="458" t="s">
        <v>144</v>
      </c>
      <c r="H139" s="458" t="s">
        <v>4840</v>
      </c>
      <c r="I139" s="458" t="s">
        <v>3721</v>
      </c>
      <c r="J139" s="458">
        <v>7</v>
      </c>
      <c r="K139" s="458" t="s">
        <v>34</v>
      </c>
    </row>
    <row r="140" spans="1:11" ht="15.8" customHeight="1" x14ac:dyDescent="0.2">
      <c r="A140" s="456" t="s">
        <v>10</v>
      </c>
      <c r="B140" s="456" t="s">
        <v>451</v>
      </c>
      <c r="C140" s="576"/>
      <c r="D140" s="457">
        <v>45830</v>
      </c>
      <c r="E140" s="456" t="s">
        <v>1302</v>
      </c>
      <c r="F140" s="456" t="s">
        <v>4841</v>
      </c>
      <c r="G140" s="456" t="s">
        <v>85</v>
      </c>
      <c r="H140" s="456" t="s">
        <v>4842</v>
      </c>
      <c r="I140" s="456" t="s">
        <v>4843</v>
      </c>
      <c r="J140" s="456">
        <v>3</v>
      </c>
      <c r="K140" s="456" t="s">
        <v>16</v>
      </c>
    </row>
    <row r="141" spans="1:11" ht="15.8" customHeight="1" x14ac:dyDescent="0.2">
      <c r="A141" s="458" t="s">
        <v>10</v>
      </c>
      <c r="B141" s="458" t="s">
        <v>163</v>
      </c>
      <c r="C141" s="576"/>
      <c r="D141" s="459">
        <v>45834</v>
      </c>
      <c r="E141" s="458" t="s">
        <v>37</v>
      </c>
      <c r="F141" s="458" t="s">
        <v>4844</v>
      </c>
      <c r="G141" s="458" t="s">
        <v>1163</v>
      </c>
      <c r="H141" s="458" t="s">
        <v>4845</v>
      </c>
      <c r="I141" s="458" t="s">
        <v>3937</v>
      </c>
      <c r="J141" s="458">
        <v>3</v>
      </c>
      <c r="K141" s="458" t="s">
        <v>16</v>
      </c>
    </row>
    <row r="142" spans="1:11" ht="15.8" customHeight="1" x14ac:dyDescent="0.2">
      <c r="A142" s="456" t="s">
        <v>10</v>
      </c>
      <c r="B142" s="456" t="s">
        <v>2162</v>
      </c>
      <c r="C142" s="576"/>
      <c r="D142" s="457">
        <v>45834</v>
      </c>
      <c r="E142" s="456" t="s">
        <v>4419</v>
      </c>
      <c r="F142" s="456" t="s">
        <v>4187</v>
      </c>
      <c r="G142" s="456" t="s">
        <v>85</v>
      </c>
      <c r="H142" s="456" t="s">
        <v>4846</v>
      </c>
      <c r="I142" s="456" t="s">
        <v>3721</v>
      </c>
      <c r="J142" s="456">
        <v>4</v>
      </c>
      <c r="K142" s="456" t="s">
        <v>50</v>
      </c>
    </row>
    <row r="143" spans="1:11" ht="15.8" customHeight="1" x14ac:dyDescent="0.2">
      <c r="A143" s="500" t="s">
        <v>2146</v>
      </c>
      <c r="B143" s="498"/>
      <c r="C143" s="391"/>
      <c r="D143" s="498"/>
      <c r="E143" s="498"/>
      <c r="F143" s="498"/>
      <c r="G143" s="498"/>
      <c r="H143" s="498"/>
      <c r="I143" s="498"/>
      <c r="J143" s="498"/>
      <c r="K143" s="498"/>
    </row>
    <row r="144" spans="1:11" ht="15.8" customHeight="1" x14ac:dyDescent="0.2">
      <c r="A144" s="456" t="s">
        <v>35</v>
      </c>
      <c r="B144" s="456" t="s">
        <v>137</v>
      </c>
      <c r="C144" s="576">
        <f>COUNTIF(B144:B169,C2)</f>
        <v>5</v>
      </c>
      <c r="D144" s="457">
        <v>45842</v>
      </c>
      <c r="E144" s="456" t="s">
        <v>2545</v>
      </c>
      <c r="F144" s="456" t="s">
        <v>4847</v>
      </c>
      <c r="G144" s="456" t="s">
        <v>4848</v>
      </c>
      <c r="H144" s="456" t="s">
        <v>4849</v>
      </c>
      <c r="I144" s="456" t="s">
        <v>3721</v>
      </c>
      <c r="J144" s="456">
        <v>4</v>
      </c>
      <c r="K144" s="456" t="s">
        <v>50</v>
      </c>
    </row>
    <row r="145" spans="1:11" ht="15.8" customHeight="1" x14ac:dyDescent="0.2">
      <c r="A145" s="458" t="s">
        <v>10</v>
      </c>
      <c r="B145" s="458" t="s">
        <v>2161</v>
      </c>
      <c r="C145" s="576"/>
      <c r="D145" s="459">
        <v>45842</v>
      </c>
      <c r="E145" s="458" t="s">
        <v>57</v>
      </c>
      <c r="F145" s="458" t="s">
        <v>4171</v>
      </c>
      <c r="G145" s="458" t="s">
        <v>4850</v>
      </c>
      <c r="H145" s="458" t="s">
        <v>4851</v>
      </c>
      <c r="I145" s="458" t="s">
        <v>3937</v>
      </c>
      <c r="J145" s="458">
        <v>4</v>
      </c>
      <c r="K145" s="458" t="s">
        <v>50</v>
      </c>
    </row>
    <row r="146" spans="1:11" ht="15.8" customHeight="1" x14ac:dyDescent="0.2">
      <c r="A146" s="456" t="s">
        <v>10</v>
      </c>
      <c r="B146" s="456" t="s">
        <v>152</v>
      </c>
      <c r="C146" s="576"/>
      <c r="D146" s="508" t="s">
        <v>4852</v>
      </c>
      <c r="E146" s="456" t="s">
        <v>108</v>
      </c>
      <c r="F146" s="456" t="s">
        <v>1382</v>
      </c>
      <c r="G146" s="456" t="s">
        <v>76</v>
      </c>
      <c r="H146" s="456" t="s">
        <v>4853</v>
      </c>
      <c r="I146" s="456" t="s">
        <v>3721</v>
      </c>
      <c r="J146" s="456">
        <v>2</v>
      </c>
      <c r="K146" s="456" t="s">
        <v>167</v>
      </c>
    </row>
    <row r="147" spans="1:11" ht="15.8" customHeight="1" x14ac:dyDescent="0.2">
      <c r="A147" s="458" t="s">
        <v>51</v>
      </c>
      <c r="B147" s="458" t="s">
        <v>244</v>
      </c>
      <c r="C147" s="576"/>
      <c r="D147" s="459">
        <v>45844</v>
      </c>
      <c r="E147" s="458" t="s">
        <v>1520</v>
      </c>
      <c r="F147" s="458" t="s">
        <v>919</v>
      </c>
      <c r="G147" s="458" t="s">
        <v>110</v>
      </c>
      <c r="H147" s="458" t="s">
        <v>4854</v>
      </c>
      <c r="I147" s="458" t="s">
        <v>167</v>
      </c>
      <c r="J147" s="458">
        <v>3</v>
      </c>
      <c r="K147" s="458" t="s">
        <v>16</v>
      </c>
    </row>
    <row r="148" spans="1:11" ht="15.8" customHeight="1" x14ac:dyDescent="0.2">
      <c r="A148" s="456" t="s">
        <v>10</v>
      </c>
      <c r="B148" s="456" t="s">
        <v>29</v>
      </c>
      <c r="C148" s="576"/>
      <c r="D148" s="457">
        <v>45846</v>
      </c>
      <c r="E148" s="456" t="s">
        <v>153</v>
      </c>
      <c r="F148" s="456" t="s">
        <v>4855</v>
      </c>
      <c r="G148" s="456" t="s">
        <v>70</v>
      </c>
      <c r="H148" s="456" t="s">
        <v>4856</v>
      </c>
      <c r="I148" s="456" t="s">
        <v>3721</v>
      </c>
      <c r="J148" s="456">
        <v>2</v>
      </c>
      <c r="K148" s="456" t="s">
        <v>78</v>
      </c>
    </row>
    <row r="149" spans="1:11" ht="15.8" customHeight="1" x14ac:dyDescent="0.2">
      <c r="A149" s="458" t="s">
        <v>35</v>
      </c>
      <c r="B149" s="458" t="s">
        <v>2164</v>
      </c>
      <c r="C149" s="576"/>
      <c r="D149" s="459">
        <v>45847</v>
      </c>
      <c r="E149" s="458" t="s">
        <v>57</v>
      </c>
      <c r="F149" s="458" t="s">
        <v>4857</v>
      </c>
      <c r="G149" s="458" t="s">
        <v>4858</v>
      </c>
      <c r="H149" s="458" t="s">
        <v>4859</v>
      </c>
      <c r="I149" s="458" t="s">
        <v>167</v>
      </c>
      <c r="J149" s="458">
        <v>6</v>
      </c>
      <c r="K149" s="458" t="s">
        <v>1109</v>
      </c>
    </row>
    <row r="150" spans="1:11" ht="15.8" customHeight="1" x14ac:dyDescent="0.2">
      <c r="A150" s="456" t="s">
        <v>10</v>
      </c>
      <c r="B150" s="456" t="s">
        <v>2161</v>
      </c>
      <c r="C150" s="576"/>
      <c r="D150" s="457">
        <v>45850</v>
      </c>
      <c r="E150" s="456" t="s">
        <v>72</v>
      </c>
      <c r="F150" s="456" t="s">
        <v>401</v>
      </c>
      <c r="G150" s="456" t="s">
        <v>4860</v>
      </c>
      <c r="H150" s="456" t="s">
        <v>4861</v>
      </c>
      <c r="I150" s="456" t="s">
        <v>167</v>
      </c>
      <c r="J150" s="456">
        <v>7</v>
      </c>
      <c r="K150" s="456" t="s">
        <v>34</v>
      </c>
    </row>
    <row r="151" spans="1:11" ht="15.8" customHeight="1" x14ac:dyDescent="0.2">
      <c r="A151" s="458" t="s">
        <v>51</v>
      </c>
      <c r="B151" s="458" t="s">
        <v>52</v>
      </c>
      <c r="C151" s="576"/>
      <c r="D151" s="459">
        <v>45850</v>
      </c>
      <c r="E151" s="458" t="s">
        <v>57</v>
      </c>
      <c r="F151" s="458" t="s">
        <v>134</v>
      </c>
      <c r="G151" s="458" t="s">
        <v>134</v>
      </c>
      <c r="H151" s="458" t="s">
        <v>4862</v>
      </c>
      <c r="I151" s="458" t="s">
        <v>3937</v>
      </c>
      <c r="J151" s="458">
        <v>7</v>
      </c>
      <c r="K151" s="458" t="s">
        <v>1079</v>
      </c>
    </row>
    <row r="152" spans="1:11" ht="15.8" customHeight="1" x14ac:dyDescent="0.2">
      <c r="A152" s="456" t="s">
        <v>17</v>
      </c>
      <c r="B152" s="456" t="s">
        <v>244</v>
      </c>
      <c r="C152" s="576"/>
      <c r="D152" s="457">
        <v>45853</v>
      </c>
      <c r="E152" s="456" t="s">
        <v>57</v>
      </c>
      <c r="F152" s="456" t="s">
        <v>4863</v>
      </c>
      <c r="G152" s="456" t="s">
        <v>355</v>
      </c>
      <c r="H152" s="456" t="s">
        <v>4864</v>
      </c>
      <c r="I152" s="456" t="s">
        <v>3937</v>
      </c>
      <c r="J152" s="456">
        <v>2</v>
      </c>
      <c r="K152" s="456" t="s">
        <v>16</v>
      </c>
    </row>
    <row r="153" spans="1:11" ht="15.8" customHeight="1" x14ac:dyDescent="0.2">
      <c r="A153" s="458" t="s">
        <v>10</v>
      </c>
      <c r="B153" s="458" t="s">
        <v>2162</v>
      </c>
      <c r="C153" s="576"/>
      <c r="D153" s="459">
        <v>45854</v>
      </c>
      <c r="E153" s="458" t="s">
        <v>72</v>
      </c>
      <c r="F153" s="458" t="s">
        <v>4865</v>
      </c>
      <c r="G153" s="458" t="s">
        <v>27</v>
      </c>
      <c r="H153" s="458" t="s">
        <v>4866</v>
      </c>
      <c r="I153" s="458" t="s">
        <v>3937</v>
      </c>
      <c r="J153" s="458">
        <v>8</v>
      </c>
      <c r="K153" s="458" t="s">
        <v>34</v>
      </c>
    </row>
    <row r="154" spans="1:11" ht="15.8" customHeight="1" x14ac:dyDescent="0.2">
      <c r="A154" s="456" t="s">
        <v>35</v>
      </c>
      <c r="B154" s="456" t="s">
        <v>2401</v>
      </c>
      <c r="C154" s="576"/>
      <c r="D154" s="457">
        <v>45855</v>
      </c>
      <c r="E154" s="456" t="s">
        <v>271</v>
      </c>
      <c r="F154" s="456" t="s">
        <v>4867</v>
      </c>
      <c r="G154" s="456" t="s">
        <v>139</v>
      </c>
      <c r="H154" s="456" t="s">
        <v>4868</v>
      </c>
      <c r="I154" s="456" t="s">
        <v>3721</v>
      </c>
      <c r="J154" s="456">
        <v>2</v>
      </c>
      <c r="K154" s="456" t="s">
        <v>34</v>
      </c>
    </row>
    <row r="155" spans="1:11" ht="15.8" customHeight="1" x14ac:dyDescent="0.2">
      <c r="A155" s="458" t="s">
        <v>10</v>
      </c>
      <c r="B155" s="458" t="s">
        <v>163</v>
      </c>
      <c r="C155" s="576"/>
      <c r="D155" s="459">
        <v>45858</v>
      </c>
      <c r="E155" s="458" t="s">
        <v>72</v>
      </c>
      <c r="F155" s="458" t="s">
        <v>381</v>
      </c>
      <c r="G155" s="458" t="s">
        <v>27</v>
      </c>
      <c r="H155" s="458" t="s">
        <v>3937</v>
      </c>
      <c r="I155" s="458" t="s">
        <v>3937</v>
      </c>
      <c r="J155" s="458">
        <v>20</v>
      </c>
      <c r="K155" s="458" t="s">
        <v>2448</v>
      </c>
    </row>
    <row r="156" spans="1:11" ht="15.8" customHeight="1" x14ac:dyDescent="0.2">
      <c r="A156" s="456" t="s">
        <v>51</v>
      </c>
      <c r="B156" s="456" t="s">
        <v>11</v>
      </c>
      <c r="C156" s="576"/>
      <c r="D156" s="457">
        <v>45860</v>
      </c>
      <c r="E156" s="456" t="s">
        <v>108</v>
      </c>
      <c r="F156" s="456" t="s">
        <v>4869</v>
      </c>
      <c r="G156" s="456" t="s">
        <v>4870</v>
      </c>
      <c r="H156" s="456" t="s">
        <v>4871</v>
      </c>
      <c r="I156" s="456" t="s">
        <v>3721</v>
      </c>
      <c r="J156" s="456">
        <v>6</v>
      </c>
      <c r="K156" s="456" t="s">
        <v>56</v>
      </c>
    </row>
    <row r="157" spans="1:11" ht="15.8" customHeight="1" x14ac:dyDescent="0.2">
      <c r="A157" s="458" t="s">
        <v>10</v>
      </c>
      <c r="B157" s="458" t="s">
        <v>2161</v>
      </c>
      <c r="C157" s="576"/>
      <c r="D157" s="459">
        <v>45860</v>
      </c>
      <c r="E157" s="458" t="s">
        <v>164</v>
      </c>
      <c r="F157" s="458" t="s">
        <v>4872</v>
      </c>
      <c r="G157" s="458" t="s">
        <v>1777</v>
      </c>
      <c r="H157" s="458" t="s">
        <v>4873</v>
      </c>
      <c r="I157" s="458" t="s">
        <v>3937</v>
      </c>
      <c r="J157" s="458">
        <v>3</v>
      </c>
      <c r="K157" s="458" t="s">
        <v>34</v>
      </c>
    </row>
    <row r="158" spans="1:11" ht="15.8" customHeight="1" x14ac:dyDescent="0.2">
      <c r="A158" s="456" t="s">
        <v>51</v>
      </c>
      <c r="B158" s="456" t="s">
        <v>52</v>
      </c>
      <c r="C158" s="576"/>
      <c r="D158" s="457">
        <v>45862</v>
      </c>
      <c r="E158" s="456" t="s">
        <v>215</v>
      </c>
      <c r="F158" s="456" t="s">
        <v>4874</v>
      </c>
      <c r="G158" s="456" t="s">
        <v>97</v>
      </c>
      <c r="H158" s="456" t="s">
        <v>3937</v>
      </c>
      <c r="I158" s="456" t="s">
        <v>3937</v>
      </c>
      <c r="J158" s="456">
        <v>5</v>
      </c>
      <c r="K158" s="456" t="s">
        <v>1075</v>
      </c>
    </row>
    <row r="159" spans="1:11" ht="15.8" customHeight="1" x14ac:dyDescent="0.2">
      <c r="A159" s="458" t="s">
        <v>10</v>
      </c>
      <c r="B159" s="458" t="s">
        <v>11</v>
      </c>
      <c r="C159" s="576"/>
      <c r="D159" s="459">
        <v>45862</v>
      </c>
      <c r="E159" s="458" t="s">
        <v>72</v>
      </c>
      <c r="F159" s="458" t="s">
        <v>139</v>
      </c>
      <c r="G159" s="458" t="s">
        <v>139</v>
      </c>
      <c r="H159" s="458" t="s">
        <v>4875</v>
      </c>
      <c r="I159" s="458" t="s">
        <v>3937</v>
      </c>
      <c r="J159" s="458">
        <v>2</v>
      </c>
      <c r="K159" s="458" t="s">
        <v>16</v>
      </c>
    </row>
    <row r="160" spans="1:11" ht="15.8" customHeight="1" x14ac:dyDescent="0.2">
      <c r="A160" s="456" t="s">
        <v>35</v>
      </c>
      <c r="B160" s="456" t="s">
        <v>29</v>
      </c>
      <c r="C160" s="576"/>
      <c r="D160" s="457">
        <v>45863</v>
      </c>
      <c r="E160" s="456" t="s">
        <v>215</v>
      </c>
      <c r="F160" s="456" t="s">
        <v>4876</v>
      </c>
      <c r="G160" s="456" t="s">
        <v>150</v>
      </c>
      <c r="H160" s="456" t="s">
        <v>4877</v>
      </c>
      <c r="I160" s="456" t="s">
        <v>3937</v>
      </c>
      <c r="J160" s="456">
        <v>6</v>
      </c>
      <c r="K160" s="456" t="s">
        <v>34</v>
      </c>
    </row>
    <row r="161" spans="1:11" ht="15.8" customHeight="1" x14ac:dyDescent="0.2">
      <c r="A161" s="458" t="s">
        <v>35</v>
      </c>
      <c r="B161" s="458" t="s">
        <v>29</v>
      </c>
      <c r="C161" s="576"/>
      <c r="D161" s="459">
        <v>45864</v>
      </c>
      <c r="E161" s="458" t="s">
        <v>72</v>
      </c>
      <c r="F161" s="458" t="s">
        <v>4878</v>
      </c>
      <c r="G161" s="458" t="s">
        <v>150</v>
      </c>
      <c r="H161" s="458" t="s">
        <v>4879</v>
      </c>
      <c r="I161" s="458" t="s">
        <v>3937</v>
      </c>
      <c r="J161" s="458">
        <v>2</v>
      </c>
      <c r="K161" s="458" t="s">
        <v>34</v>
      </c>
    </row>
    <row r="162" spans="1:11" ht="15.8" customHeight="1" x14ac:dyDescent="0.2">
      <c r="A162" s="456" t="s">
        <v>51</v>
      </c>
      <c r="B162" s="456" t="s">
        <v>52</v>
      </c>
      <c r="C162" s="576"/>
      <c r="D162" s="457">
        <v>45864</v>
      </c>
      <c r="E162" s="456" t="s">
        <v>57</v>
      </c>
      <c r="F162" s="456" t="s">
        <v>2410</v>
      </c>
      <c r="G162" s="456" t="s">
        <v>4880</v>
      </c>
      <c r="H162" s="456" t="s">
        <v>4881</v>
      </c>
      <c r="I162" s="456" t="s">
        <v>3937</v>
      </c>
      <c r="J162" s="456">
        <v>3</v>
      </c>
      <c r="K162" s="456" t="s">
        <v>16</v>
      </c>
    </row>
    <row r="163" spans="1:11" ht="15.8" customHeight="1" x14ac:dyDescent="0.2">
      <c r="A163" s="458" t="s">
        <v>10</v>
      </c>
      <c r="B163" s="458" t="s">
        <v>163</v>
      </c>
      <c r="C163" s="576"/>
      <c r="D163" s="459">
        <v>45864</v>
      </c>
      <c r="E163" s="458" t="s">
        <v>1042</v>
      </c>
      <c r="F163" s="458" t="s">
        <v>585</v>
      </c>
      <c r="G163" s="458" t="s">
        <v>95</v>
      </c>
      <c r="H163" s="458" t="s">
        <v>4882</v>
      </c>
      <c r="I163" s="458" t="s">
        <v>3937</v>
      </c>
      <c r="J163" s="458">
        <v>5</v>
      </c>
      <c r="K163" s="458" t="s">
        <v>16</v>
      </c>
    </row>
    <row r="164" spans="1:11" ht="15.8" customHeight="1" x14ac:dyDescent="0.2">
      <c r="A164" s="456" t="s">
        <v>51</v>
      </c>
      <c r="B164" s="456" t="s">
        <v>451</v>
      </c>
      <c r="C164" s="576"/>
      <c r="D164" s="457">
        <v>45865</v>
      </c>
      <c r="E164" s="456" t="s">
        <v>57</v>
      </c>
      <c r="F164" s="456" t="s">
        <v>4883</v>
      </c>
      <c r="G164" s="456" t="s">
        <v>110</v>
      </c>
      <c r="H164" s="456" t="s">
        <v>4884</v>
      </c>
      <c r="I164" s="456" t="s">
        <v>3937</v>
      </c>
      <c r="J164" s="456">
        <v>3</v>
      </c>
      <c r="K164" s="456" t="s">
        <v>16</v>
      </c>
    </row>
    <row r="165" spans="1:11" ht="15.8" customHeight="1" x14ac:dyDescent="0.2">
      <c r="A165" s="458" t="s">
        <v>51</v>
      </c>
      <c r="B165" s="458" t="s">
        <v>451</v>
      </c>
      <c r="C165" s="576"/>
      <c r="D165" s="459">
        <v>45865</v>
      </c>
      <c r="E165" s="458" t="s">
        <v>57</v>
      </c>
      <c r="F165" s="458" t="s">
        <v>4885</v>
      </c>
      <c r="G165" s="458" t="s">
        <v>85</v>
      </c>
      <c r="H165" s="458" t="s">
        <v>4886</v>
      </c>
      <c r="I165" s="458" t="s">
        <v>3937</v>
      </c>
      <c r="J165" s="458">
        <v>4</v>
      </c>
      <c r="K165" s="458" t="s">
        <v>16</v>
      </c>
    </row>
    <row r="166" spans="1:11" ht="15.8" customHeight="1" x14ac:dyDescent="0.2">
      <c r="A166" s="456" t="s">
        <v>51</v>
      </c>
      <c r="B166" s="456" t="s">
        <v>244</v>
      </c>
      <c r="C166" s="576"/>
      <c r="D166" s="457">
        <v>45865</v>
      </c>
      <c r="E166" s="456" t="s">
        <v>57</v>
      </c>
      <c r="F166" s="456" t="s">
        <v>4887</v>
      </c>
      <c r="G166" s="456" t="s">
        <v>85</v>
      </c>
      <c r="H166" s="456" t="s">
        <v>4888</v>
      </c>
      <c r="I166" s="456" t="s">
        <v>3937</v>
      </c>
      <c r="J166" s="456">
        <v>5</v>
      </c>
      <c r="K166" s="456" t="s">
        <v>16</v>
      </c>
    </row>
    <row r="167" spans="1:11" ht="15.8" customHeight="1" x14ac:dyDescent="0.2">
      <c r="A167" s="458" t="s">
        <v>51</v>
      </c>
      <c r="B167" s="458" t="s">
        <v>52</v>
      </c>
      <c r="C167" s="576"/>
      <c r="D167" s="459">
        <v>45868</v>
      </c>
      <c r="E167" s="458" t="s">
        <v>57</v>
      </c>
      <c r="F167" s="458" t="s">
        <v>4889</v>
      </c>
      <c r="G167" s="458" t="s">
        <v>139</v>
      </c>
      <c r="H167" s="458" t="s">
        <v>4890</v>
      </c>
      <c r="I167" s="458" t="s">
        <v>4891</v>
      </c>
      <c r="J167" s="458">
        <v>6</v>
      </c>
      <c r="K167" s="458" t="s">
        <v>16</v>
      </c>
    </row>
    <row r="168" spans="1:11" ht="15.8" customHeight="1" x14ac:dyDescent="0.2">
      <c r="A168" s="456" t="s">
        <v>35</v>
      </c>
      <c r="B168" s="456" t="s">
        <v>2401</v>
      </c>
      <c r="C168" s="576"/>
      <c r="D168" s="457">
        <v>45868</v>
      </c>
      <c r="E168" s="456" t="s">
        <v>72</v>
      </c>
      <c r="F168" s="456" t="s">
        <v>4892</v>
      </c>
      <c r="G168" s="456" t="s">
        <v>135</v>
      </c>
      <c r="H168" s="456" t="s">
        <v>4893</v>
      </c>
      <c r="I168" s="456" t="s">
        <v>3721</v>
      </c>
      <c r="J168" s="456">
        <v>9</v>
      </c>
      <c r="K168" s="456" t="s">
        <v>41</v>
      </c>
    </row>
    <row r="169" spans="1:11" ht="15.8" customHeight="1" x14ac:dyDescent="0.2">
      <c r="A169" s="458" t="s">
        <v>51</v>
      </c>
      <c r="B169" s="458" t="s">
        <v>52</v>
      </c>
      <c r="C169" s="576"/>
      <c r="D169" s="459">
        <v>45868</v>
      </c>
      <c r="E169" s="458" t="s">
        <v>57</v>
      </c>
      <c r="F169" s="458" t="s">
        <v>4894</v>
      </c>
      <c r="G169" s="458" t="s">
        <v>135</v>
      </c>
      <c r="H169" s="458" t="s">
        <v>4895</v>
      </c>
      <c r="I169" s="458" t="s">
        <v>4587</v>
      </c>
      <c r="J169" s="458">
        <v>7</v>
      </c>
      <c r="K169" s="458" t="s">
        <v>56</v>
      </c>
    </row>
    <row r="170" spans="1:11" ht="15.8" customHeight="1" x14ac:dyDescent="0.2">
      <c r="A170" s="511" t="s">
        <v>2147</v>
      </c>
      <c r="B170" s="509"/>
      <c r="C170" s="391"/>
      <c r="D170" s="510"/>
      <c r="E170" s="509"/>
      <c r="F170" s="509"/>
      <c r="G170" s="509"/>
      <c r="H170" s="509"/>
      <c r="I170" s="509"/>
      <c r="J170" s="509"/>
      <c r="K170" s="509"/>
    </row>
    <row r="171" spans="1:11" ht="15.8" customHeight="1" x14ac:dyDescent="0.2">
      <c r="A171" s="458" t="s">
        <v>51</v>
      </c>
      <c r="B171" s="458" t="s">
        <v>52</v>
      </c>
      <c r="C171" s="576">
        <f>COUNTIF(B171:B182,C2)</f>
        <v>6</v>
      </c>
      <c r="D171" s="459">
        <v>45870</v>
      </c>
      <c r="E171" s="458" t="s">
        <v>4711</v>
      </c>
      <c r="F171" s="458" t="s">
        <v>4896</v>
      </c>
      <c r="G171" s="458" t="s">
        <v>139</v>
      </c>
      <c r="H171" s="458" t="s">
        <v>4897</v>
      </c>
      <c r="I171" s="458" t="s">
        <v>4898</v>
      </c>
      <c r="J171" s="458">
        <v>4</v>
      </c>
      <c r="K171" s="458" t="s">
        <v>16</v>
      </c>
    </row>
    <row r="172" spans="1:11" ht="15.8" customHeight="1" x14ac:dyDescent="0.2">
      <c r="A172" s="456" t="s">
        <v>51</v>
      </c>
      <c r="B172" s="456" t="s">
        <v>52</v>
      </c>
      <c r="C172" s="576"/>
      <c r="D172" s="457">
        <v>45870</v>
      </c>
      <c r="E172" s="456" t="s">
        <v>2458</v>
      </c>
      <c r="F172" s="456" t="s">
        <v>4899</v>
      </c>
      <c r="G172" s="456" t="s">
        <v>217</v>
      </c>
      <c r="H172" s="456" t="s">
        <v>4900</v>
      </c>
      <c r="I172" s="456" t="s">
        <v>4901</v>
      </c>
      <c r="J172" s="456">
        <v>7</v>
      </c>
      <c r="K172" s="456" t="s">
        <v>2307</v>
      </c>
    </row>
    <row r="173" spans="1:11" ht="15.8" customHeight="1" x14ac:dyDescent="0.2">
      <c r="A173" s="458" t="s">
        <v>10</v>
      </c>
      <c r="B173" s="458" t="s">
        <v>29</v>
      </c>
      <c r="C173" s="576"/>
      <c r="D173" s="459">
        <v>45874</v>
      </c>
      <c r="E173" s="458" t="s">
        <v>72</v>
      </c>
      <c r="F173" s="458" t="s">
        <v>4902</v>
      </c>
      <c r="G173" s="458" t="s">
        <v>987</v>
      </c>
      <c r="H173" s="458" t="s">
        <v>3808</v>
      </c>
      <c r="I173" s="458" t="s">
        <v>3937</v>
      </c>
      <c r="J173" s="458">
        <v>3</v>
      </c>
      <c r="K173" s="458" t="s">
        <v>2186</v>
      </c>
    </row>
    <row r="174" spans="1:11" ht="15.8" customHeight="1" x14ac:dyDescent="0.2">
      <c r="A174" s="456" t="s">
        <v>51</v>
      </c>
      <c r="B174" s="456" t="s">
        <v>52</v>
      </c>
      <c r="C174" s="576"/>
      <c r="D174" s="457">
        <v>45875</v>
      </c>
      <c r="E174" s="456" t="s">
        <v>4244</v>
      </c>
      <c r="F174" s="456" t="s">
        <v>2605</v>
      </c>
      <c r="G174" s="456" t="s">
        <v>2605</v>
      </c>
      <c r="H174" s="456" t="s">
        <v>4903</v>
      </c>
      <c r="I174" s="456" t="s">
        <v>3721</v>
      </c>
      <c r="J174" s="456">
        <v>6</v>
      </c>
      <c r="K174" s="456" t="s">
        <v>1075</v>
      </c>
    </row>
    <row r="175" spans="1:11" ht="15.8" customHeight="1" x14ac:dyDescent="0.2">
      <c r="A175" s="458" t="s">
        <v>10</v>
      </c>
      <c r="B175" s="458" t="s">
        <v>2161</v>
      </c>
      <c r="C175" s="576"/>
      <c r="D175" s="459">
        <v>45876</v>
      </c>
      <c r="E175" s="458" t="s">
        <v>57</v>
      </c>
      <c r="F175" s="458" t="s">
        <v>4904</v>
      </c>
      <c r="G175" s="458" t="s">
        <v>1866</v>
      </c>
      <c r="H175" s="458" t="s">
        <v>4905</v>
      </c>
      <c r="I175" s="458" t="s">
        <v>3937</v>
      </c>
      <c r="J175" s="458">
        <v>2</v>
      </c>
      <c r="K175" s="458" t="s">
        <v>50</v>
      </c>
    </row>
    <row r="176" spans="1:11" ht="15.8" customHeight="1" x14ac:dyDescent="0.2">
      <c r="A176" s="456" t="s">
        <v>51</v>
      </c>
      <c r="B176" s="456" t="s">
        <v>52</v>
      </c>
      <c r="C176" s="576"/>
      <c r="D176" s="456" t="s">
        <v>4906</v>
      </c>
      <c r="E176" s="456" t="s">
        <v>153</v>
      </c>
      <c r="F176" s="456" t="s">
        <v>4907</v>
      </c>
      <c r="G176" s="456" t="s">
        <v>4908</v>
      </c>
      <c r="H176" s="456" t="s">
        <v>4909</v>
      </c>
      <c r="I176" s="456" t="s">
        <v>3721</v>
      </c>
      <c r="J176" s="456">
        <v>3</v>
      </c>
      <c r="K176" s="456" t="s">
        <v>16</v>
      </c>
    </row>
    <row r="177" spans="1:11" ht="15.8" customHeight="1" x14ac:dyDescent="0.2">
      <c r="A177" s="458" t="s">
        <v>387</v>
      </c>
      <c r="B177" s="458" t="s">
        <v>481</v>
      </c>
      <c r="C177" s="576"/>
      <c r="D177" s="459">
        <v>45884</v>
      </c>
      <c r="E177" s="458" t="s">
        <v>2587</v>
      </c>
      <c r="F177" s="458" t="s">
        <v>4910</v>
      </c>
      <c r="G177" s="458" t="s">
        <v>85</v>
      </c>
      <c r="H177" s="458" t="s">
        <v>4911</v>
      </c>
      <c r="I177" s="458" t="s">
        <v>3721</v>
      </c>
      <c r="J177" s="458">
        <v>6</v>
      </c>
      <c r="K177" s="458" t="s">
        <v>1075</v>
      </c>
    </row>
    <row r="178" spans="1:11" ht="15.8" customHeight="1" x14ac:dyDescent="0.2">
      <c r="A178" s="456" t="s">
        <v>51</v>
      </c>
      <c r="B178" s="456" t="s">
        <v>397</v>
      </c>
      <c r="C178" s="576"/>
      <c r="D178" s="457">
        <v>45885</v>
      </c>
      <c r="E178" s="456" t="s">
        <v>1520</v>
      </c>
      <c r="F178" s="456" t="s">
        <v>4912</v>
      </c>
      <c r="G178" s="456" t="s">
        <v>95</v>
      </c>
      <c r="H178" s="456" t="s">
        <v>4913</v>
      </c>
      <c r="I178" s="456" t="s">
        <v>167</v>
      </c>
      <c r="J178" s="456">
        <v>2</v>
      </c>
      <c r="K178" s="456" t="s">
        <v>16</v>
      </c>
    </row>
    <row r="179" spans="1:11" ht="15.8" customHeight="1" x14ac:dyDescent="0.2">
      <c r="A179" s="458" t="s">
        <v>51</v>
      </c>
      <c r="B179" s="458" t="s">
        <v>52</v>
      </c>
      <c r="C179" s="576"/>
      <c r="D179" s="459">
        <v>45886</v>
      </c>
      <c r="E179" s="458" t="s">
        <v>37</v>
      </c>
      <c r="F179" s="458" t="s">
        <v>4914</v>
      </c>
      <c r="G179" s="458" t="s">
        <v>441</v>
      </c>
      <c r="H179" s="458" t="s">
        <v>4915</v>
      </c>
      <c r="I179" s="458" t="s">
        <v>3937</v>
      </c>
      <c r="J179" s="458">
        <v>3</v>
      </c>
      <c r="K179" s="458" t="s">
        <v>16</v>
      </c>
    </row>
    <row r="180" spans="1:11" ht="15.8" customHeight="1" x14ac:dyDescent="0.2">
      <c r="A180" s="456" t="s">
        <v>1082</v>
      </c>
      <c r="B180" s="456" t="s">
        <v>397</v>
      </c>
      <c r="C180" s="576"/>
      <c r="D180" s="457">
        <v>45888</v>
      </c>
      <c r="E180" s="456" t="s">
        <v>118</v>
      </c>
      <c r="F180" s="456" t="s">
        <v>4916</v>
      </c>
      <c r="G180" s="456" t="s">
        <v>139</v>
      </c>
      <c r="H180" s="456" t="s">
        <v>4917</v>
      </c>
      <c r="I180" s="456" t="s">
        <v>3721</v>
      </c>
      <c r="J180" s="456">
        <v>4</v>
      </c>
      <c r="K180" s="456" t="s">
        <v>16</v>
      </c>
    </row>
    <row r="181" spans="1:11" ht="15.8" customHeight="1" x14ac:dyDescent="0.2">
      <c r="A181" s="458" t="s">
        <v>35</v>
      </c>
      <c r="B181" s="458" t="s">
        <v>137</v>
      </c>
      <c r="C181" s="576"/>
      <c r="D181" s="459">
        <v>45891</v>
      </c>
      <c r="E181" s="458" t="s">
        <v>164</v>
      </c>
      <c r="F181" s="458" t="s">
        <v>4918</v>
      </c>
      <c r="G181" s="458" t="s">
        <v>1837</v>
      </c>
      <c r="H181" s="458" t="s">
        <v>4919</v>
      </c>
      <c r="I181" s="458" t="s">
        <v>3937</v>
      </c>
      <c r="J181" s="458">
        <v>3</v>
      </c>
      <c r="K181" s="458" t="s">
        <v>2186</v>
      </c>
    </row>
    <row r="182" spans="1:11" ht="15.8" customHeight="1" x14ac:dyDescent="0.2">
      <c r="A182" s="456" t="s">
        <v>51</v>
      </c>
      <c r="B182" s="456" t="s">
        <v>52</v>
      </c>
      <c r="C182" s="576"/>
      <c r="D182" s="457">
        <v>45900</v>
      </c>
      <c r="E182" s="456" t="s">
        <v>180</v>
      </c>
      <c r="F182" s="456" t="s">
        <v>4920</v>
      </c>
      <c r="G182" s="456" t="s">
        <v>110</v>
      </c>
      <c r="H182" s="456" t="s">
        <v>4921</v>
      </c>
      <c r="I182" s="456" t="s">
        <v>4922</v>
      </c>
      <c r="J182" s="456">
        <v>3</v>
      </c>
      <c r="K182" s="456" t="s">
        <v>16</v>
      </c>
    </row>
    <row r="183" spans="1:11" ht="15.8" customHeight="1" x14ac:dyDescent="0.2">
      <c r="A183" s="512" t="s">
        <v>2148</v>
      </c>
      <c r="B183" s="387"/>
      <c r="C183" s="85"/>
      <c r="D183" s="387"/>
      <c r="E183" s="387"/>
      <c r="F183" s="387"/>
      <c r="G183" s="387"/>
      <c r="H183" s="387"/>
      <c r="I183" s="387"/>
      <c r="J183" s="387"/>
      <c r="K183" s="387"/>
    </row>
    <row r="184" spans="1:11" ht="15.8" customHeight="1" x14ac:dyDescent="0.2">
      <c r="A184" s="456" t="s">
        <v>146</v>
      </c>
      <c r="B184" s="458" t="s">
        <v>2163</v>
      </c>
      <c r="C184" s="576">
        <f>COUNTIF(B184:B204,C2)</f>
        <v>5</v>
      </c>
      <c r="D184" s="457">
        <v>45903</v>
      </c>
      <c r="E184" s="456" t="s">
        <v>4923</v>
      </c>
      <c r="F184" s="456" t="s">
        <v>4924</v>
      </c>
      <c r="G184" s="456" t="s">
        <v>4925</v>
      </c>
      <c r="H184" s="456" t="s">
        <v>4926</v>
      </c>
      <c r="I184" s="456" t="s">
        <v>4922</v>
      </c>
      <c r="J184" s="456">
        <v>5</v>
      </c>
      <c r="K184" s="456" t="s">
        <v>34</v>
      </c>
    </row>
    <row r="185" spans="1:11" ht="15.8" customHeight="1" x14ac:dyDescent="0.2">
      <c r="A185" s="458" t="s">
        <v>51</v>
      </c>
      <c r="B185" s="456" t="s">
        <v>52</v>
      </c>
      <c r="C185" s="576"/>
      <c r="D185" s="459">
        <v>45904</v>
      </c>
      <c r="E185" s="458" t="s">
        <v>800</v>
      </c>
      <c r="F185" s="458" t="s">
        <v>4927</v>
      </c>
      <c r="G185" s="458" t="s">
        <v>3859</v>
      </c>
      <c r="H185" s="458" t="s">
        <v>4928</v>
      </c>
      <c r="I185" s="458" t="s">
        <v>4901</v>
      </c>
      <c r="J185" s="458">
        <v>7</v>
      </c>
      <c r="K185" s="458" t="s">
        <v>2607</v>
      </c>
    </row>
    <row r="186" spans="1:11" ht="15.8" customHeight="1" x14ac:dyDescent="0.2">
      <c r="A186" s="456" t="s">
        <v>35</v>
      </c>
      <c r="B186" s="458" t="s">
        <v>137</v>
      </c>
      <c r="C186" s="576"/>
      <c r="D186" s="457">
        <v>45911</v>
      </c>
      <c r="E186" s="456" t="s">
        <v>108</v>
      </c>
      <c r="F186" s="456" t="s">
        <v>2691</v>
      </c>
      <c r="G186" s="456" t="s">
        <v>95</v>
      </c>
      <c r="H186" s="456" t="s">
        <v>4929</v>
      </c>
      <c r="I186" s="456" t="s">
        <v>3721</v>
      </c>
      <c r="J186" s="456">
        <v>3</v>
      </c>
      <c r="K186" s="456" t="s">
        <v>50</v>
      </c>
    </row>
    <row r="187" spans="1:11" ht="15.8" customHeight="1" x14ac:dyDescent="0.2">
      <c r="A187" s="458" t="s">
        <v>35</v>
      </c>
      <c r="B187" s="456" t="s">
        <v>137</v>
      </c>
      <c r="C187" s="576"/>
      <c r="D187" s="459">
        <v>45912</v>
      </c>
      <c r="E187" s="458" t="s">
        <v>57</v>
      </c>
      <c r="F187" s="458" t="s">
        <v>4930</v>
      </c>
      <c r="G187" s="458" t="s">
        <v>58</v>
      </c>
      <c r="H187" s="458" t="s">
        <v>4931</v>
      </c>
      <c r="I187" s="458" t="s">
        <v>3721</v>
      </c>
      <c r="J187" s="458">
        <v>4</v>
      </c>
      <c r="K187" s="458" t="s">
        <v>50</v>
      </c>
    </row>
    <row r="188" spans="1:11" ht="15.8" customHeight="1" x14ac:dyDescent="0.2">
      <c r="A188" s="456" t="s">
        <v>51</v>
      </c>
      <c r="B188" s="458" t="s">
        <v>52</v>
      </c>
      <c r="C188" s="576"/>
      <c r="D188" s="457">
        <v>45913</v>
      </c>
      <c r="E188" s="456" t="s">
        <v>458</v>
      </c>
      <c r="F188" s="456" t="s">
        <v>4932</v>
      </c>
      <c r="G188" s="456" t="s">
        <v>1027</v>
      </c>
      <c r="H188" s="456" t="s">
        <v>4933</v>
      </c>
      <c r="I188" s="456" t="s">
        <v>4934</v>
      </c>
      <c r="J188" s="456">
        <v>3</v>
      </c>
      <c r="K188" s="456" t="s">
        <v>192</v>
      </c>
    </row>
    <row r="189" spans="1:11" ht="15.8" customHeight="1" x14ac:dyDescent="0.2">
      <c r="A189" s="458" t="s">
        <v>51</v>
      </c>
      <c r="B189" s="456" t="s">
        <v>52</v>
      </c>
      <c r="C189" s="576"/>
      <c r="D189" s="459">
        <v>45913</v>
      </c>
      <c r="E189" s="458" t="s">
        <v>57</v>
      </c>
      <c r="F189" s="458" t="s">
        <v>4935</v>
      </c>
      <c r="G189" s="458" t="s">
        <v>1027</v>
      </c>
      <c r="H189" s="458" t="s">
        <v>4936</v>
      </c>
      <c r="I189" s="458" t="s">
        <v>3937</v>
      </c>
      <c r="J189" s="458">
        <v>3</v>
      </c>
      <c r="K189" s="458" t="s">
        <v>192</v>
      </c>
    </row>
    <row r="190" spans="1:11" ht="15.8" customHeight="1" x14ac:dyDescent="0.2">
      <c r="A190" s="456" t="s">
        <v>387</v>
      </c>
      <c r="B190" s="458" t="s">
        <v>52</v>
      </c>
      <c r="C190" s="576"/>
      <c r="D190" s="457">
        <v>45915</v>
      </c>
      <c r="E190" s="456" t="s">
        <v>91</v>
      </c>
      <c r="F190" s="456" t="s">
        <v>4937</v>
      </c>
      <c r="G190" s="456" t="s">
        <v>4624</v>
      </c>
      <c r="H190" s="456" t="s">
        <v>4938</v>
      </c>
      <c r="I190" s="456" t="s">
        <v>3937</v>
      </c>
      <c r="J190" s="456">
        <v>2</v>
      </c>
      <c r="K190" s="456" t="s">
        <v>16</v>
      </c>
    </row>
    <row r="191" spans="1:11" ht="15.8" customHeight="1" x14ac:dyDescent="0.2">
      <c r="A191" s="458" t="s">
        <v>51</v>
      </c>
      <c r="B191" s="456" t="s">
        <v>481</v>
      </c>
      <c r="C191" s="576"/>
      <c r="D191" s="459">
        <v>45915</v>
      </c>
      <c r="E191" s="458" t="s">
        <v>57</v>
      </c>
      <c r="F191" s="458" t="s">
        <v>4939</v>
      </c>
      <c r="G191" s="458" t="s">
        <v>4940</v>
      </c>
      <c r="H191" s="458" t="s">
        <v>4941</v>
      </c>
      <c r="I191" s="458" t="s">
        <v>3937</v>
      </c>
      <c r="J191" s="458">
        <v>6</v>
      </c>
      <c r="K191" s="458" t="s">
        <v>2277</v>
      </c>
    </row>
    <row r="192" spans="1:11" ht="15.8" customHeight="1" x14ac:dyDescent="0.2">
      <c r="A192" s="456" t="s">
        <v>387</v>
      </c>
      <c r="B192" s="458" t="s">
        <v>52</v>
      </c>
      <c r="C192" s="576"/>
      <c r="D192" s="457">
        <v>45915</v>
      </c>
      <c r="E192" s="456" t="s">
        <v>2587</v>
      </c>
      <c r="F192" s="456" t="s">
        <v>4942</v>
      </c>
      <c r="G192" s="456" t="s">
        <v>76</v>
      </c>
      <c r="H192" s="456" t="s">
        <v>4943</v>
      </c>
      <c r="I192" s="456" t="s">
        <v>3721</v>
      </c>
      <c r="J192" s="456">
        <v>2</v>
      </c>
      <c r="K192" s="456" t="s">
        <v>16</v>
      </c>
    </row>
    <row r="193" spans="1:11" ht="15.8" customHeight="1" x14ac:dyDescent="0.2">
      <c r="A193" s="458" t="s">
        <v>17</v>
      </c>
      <c r="B193" s="456" t="s">
        <v>29</v>
      </c>
      <c r="C193" s="576"/>
      <c r="D193" s="459">
        <v>45917</v>
      </c>
      <c r="E193" s="458" t="s">
        <v>91</v>
      </c>
      <c r="F193" s="458" t="s">
        <v>4944</v>
      </c>
      <c r="G193" s="458" t="s">
        <v>32</v>
      </c>
      <c r="H193" s="458" t="s">
        <v>4945</v>
      </c>
      <c r="I193" s="458" t="s">
        <v>3937</v>
      </c>
      <c r="J193" s="458">
        <v>1</v>
      </c>
      <c r="K193" s="458" t="s">
        <v>78</v>
      </c>
    </row>
    <row r="194" spans="1:11" ht="15.8" customHeight="1" x14ac:dyDescent="0.2">
      <c r="A194" s="456" t="s">
        <v>10</v>
      </c>
      <c r="B194" s="458" t="s">
        <v>137</v>
      </c>
      <c r="C194" s="576"/>
      <c r="D194" s="457">
        <v>45917</v>
      </c>
      <c r="E194" s="456" t="s">
        <v>4946</v>
      </c>
      <c r="F194" s="456" t="s">
        <v>4947</v>
      </c>
      <c r="G194" s="456" t="s">
        <v>85</v>
      </c>
      <c r="H194" s="456" t="s">
        <v>4948</v>
      </c>
      <c r="I194" s="456" t="s">
        <v>3721</v>
      </c>
      <c r="J194" s="456">
        <v>1</v>
      </c>
      <c r="K194" s="456" t="s">
        <v>78</v>
      </c>
    </row>
    <row r="195" spans="1:11" ht="15.8" customHeight="1" x14ac:dyDescent="0.2">
      <c r="A195" s="458" t="s">
        <v>35</v>
      </c>
      <c r="B195" s="456" t="s">
        <v>2401</v>
      </c>
      <c r="C195" s="576"/>
      <c r="D195" s="459">
        <v>45918</v>
      </c>
      <c r="E195" s="458" t="s">
        <v>305</v>
      </c>
      <c r="F195" s="458" t="s">
        <v>1837</v>
      </c>
      <c r="G195" s="458" t="s">
        <v>1866</v>
      </c>
      <c r="H195" s="458" t="s">
        <v>4949</v>
      </c>
      <c r="I195" s="458" t="s">
        <v>3937</v>
      </c>
      <c r="J195" s="458">
        <v>6</v>
      </c>
      <c r="K195" s="458" t="s">
        <v>2277</v>
      </c>
    </row>
    <row r="196" spans="1:11" ht="15.8" customHeight="1" x14ac:dyDescent="0.2">
      <c r="A196" s="456" t="s">
        <v>10</v>
      </c>
      <c r="B196" s="458" t="s">
        <v>11</v>
      </c>
      <c r="C196" s="576"/>
      <c r="D196" s="457">
        <v>45918</v>
      </c>
      <c r="E196" s="456" t="s">
        <v>37</v>
      </c>
      <c r="F196" s="456" t="s">
        <v>4950</v>
      </c>
      <c r="G196" s="456" t="s">
        <v>95</v>
      </c>
      <c r="H196" s="456" t="s">
        <v>4951</v>
      </c>
      <c r="I196" s="456" t="s">
        <v>3937</v>
      </c>
      <c r="J196" s="456">
        <v>6</v>
      </c>
      <c r="K196" s="456" t="s">
        <v>16</v>
      </c>
    </row>
    <row r="197" spans="1:11" ht="15.8" customHeight="1" x14ac:dyDescent="0.2">
      <c r="A197" s="458" t="s">
        <v>51</v>
      </c>
      <c r="B197" s="456" t="s">
        <v>481</v>
      </c>
      <c r="C197" s="576"/>
      <c r="D197" s="459">
        <v>45919</v>
      </c>
      <c r="E197" s="458" t="s">
        <v>4952</v>
      </c>
      <c r="F197" s="458" t="s">
        <v>4953</v>
      </c>
      <c r="G197" s="458" t="s">
        <v>27</v>
      </c>
      <c r="H197" s="458" t="s">
        <v>4954</v>
      </c>
      <c r="I197" s="458" t="s">
        <v>167</v>
      </c>
      <c r="J197" s="458">
        <v>4</v>
      </c>
      <c r="K197" s="458" t="s">
        <v>16</v>
      </c>
    </row>
    <row r="198" spans="1:11" ht="15.8" customHeight="1" x14ac:dyDescent="0.2">
      <c r="A198" s="456" t="s">
        <v>10</v>
      </c>
      <c r="B198" s="458" t="s">
        <v>11</v>
      </c>
      <c r="C198" s="576"/>
      <c r="D198" s="457">
        <v>45920</v>
      </c>
      <c r="E198" s="456" t="s">
        <v>61</v>
      </c>
      <c r="F198" s="456" t="s">
        <v>4955</v>
      </c>
      <c r="G198" s="456" t="s">
        <v>4956</v>
      </c>
      <c r="H198" s="456" t="s">
        <v>4957</v>
      </c>
      <c r="I198" s="456" t="s">
        <v>3721</v>
      </c>
      <c r="J198" s="456">
        <v>6</v>
      </c>
      <c r="K198" s="456" t="s">
        <v>1075</v>
      </c>
    </row>
    <row r="199" spans="1:11" ht="15.8" customHeight="1" x14ac:dyDescent="0.2">
      <c r="A199" s="458" t="s">
        <v>146</v>
      </c>
      <c r="B199" s="456" t="s">
        <v>11</v>
      </c>
      <c r="C199" s="576"/>
      <c r="D199" s="459">
        <v>45921</v>
      </c>
      <c r="E199" s="458" t="s">
        <v>164</v>
      </c>
      <c r="F199" s="458" t="s">
        <v>4958</v>
      </c>
      <c r="G199" s="458" t="s">
        <v>222</v>
      </c>
      <c r="H199" s="458" t="s">
        <v>4959</v>
      </c>
      <c r="I199" s="458" t="s">
        <v>3937</v>
      </c>
      <c r="J199" s="458">
        <v>3</v>
      </c>
      <c r="K199" s="458" t="s">
        <v>192</v>
      </c>
    </row>
    <row r="200" spans="1:11" ht="15.8" customHeight="1" x14ac:dyDescent="0.2">
      <c r="A200" s="456" t="s">
        <v>10</v>
      </c>
      <c r="B200" s="458" t="s">
        <v>2162</v>
      </c>
      <c r="C200" s="576"/>
      <c r="D200" s="457">
        <v>45924</v>
      </c>
      <c r="E200" s="456" t="s">
        <v>4519</v>
      </c>
      <c r="F200" s="456" t="s">
        <v>4960</v>
      </c>
      <c r="G200" s="456" t="s">
        <v>217</v>
      </c>
      <c r="H200" s="456" t="s">
        <v>4961</v>
      </c>
      <c r="I200" s="456" t="s">
        <v>3721</v>
      </c>
      <c r="J200" s="456">
        <v>4</v>
      </c>
      <c r="K200" s="456" t="s">
        <v>34</v>
      </c>
    </row>
    <row r="201" spans="1:11" ht="15.8" customHeight="1" x14ac:dyDescent="0.2">
      <c r="A201" s="458" t="s">
        <v>51</v>
      </c>
      <c r="B201" s="456" t="s">
        <v>244</v>
      </c>
      <c r="C201" s="576"/>
      <c r="D201" s="459">
        <v>45925</v>
      </c>
      <c r="E201" s="458" t="s">
        <v>57</v>
      </c>
      <c r="F201" s="458" t="s">
        <v>4962</v>
      </c>
      <c r="G201" s="502"/>
      <c r="H201" s="458" t="s">
        <v>4963</v>
      </c>
      <c r="I201" s="458" t="s">
        <v>3937</v>
      </c>
      <c r="J201" s="458">
        <v>5</v>
      </c>
      <c r="K201" s="458" t="s">
        <v>34</v>
      </c>
    </row>
    <row r="202" spans="1:11" ht="15.8" customHeight="1" x14ac:dyDescent="0.2">
      <c r="A202" s="456" t="s">
        <v>10</v>
      </c>
      <c r="B202" s="458" t="s">
        <v>64</v>
      </c>
      <c r="C202" s="576"/>
      <c r="D202" s="457">
        <v>45924</v>
      </c>
      <c r="E202" s="456" t="s">
        <v>4923</v>
      </c>
      <c r="F202" s="456" t="s">
        <v>4964</v>
      </c>
      <c r="G202" s="456" t="s">
        <v>4218</v>
      </c>
      <c r="H202" s="456" t="s">
        <v>4965</v>
      </c>
      <c r="I202" s="456" t="s">
        <v>3721</v>
      </c>
      <c r="J202" s="456">
        <v>3</v>
      </c>
      <c r="K202" s="456" t="s">
        <v>50</v>
      </c>
    </row>
    <row r="203" spans="1:11" ht="15.8" customHeight="1" x14ac:dyDescent="0.2">
      <c r="A203" s="458" t="s">
        <v>51</v>
      </c>
      <c r="B203" s="456" t="s">
        <v>244</v>
      </c>
      <c r="C203" s="576"/>
      <c r="D203" s="459">
        <v>45925</v>
      </c>
      <c r="E203" s="458" t="s">
        <v>4966</v>
      </c>
      <c r="F203" s="458" t="s">
        <v>4967</v>
      </c>
      <c r="G203" s="458" t="s">
        <v>144</v>
      </c>
      <c r="H203" s="458" t="s">
        <v>4968</v>
      </c>
      <c r="I203" s="458" t="s">
        <v>3721</v>
      </c>
      <c r="J203" s="458">
        <v>5</v>
      </c>
      <c r="K203" s="458" t="s">
        <v>34</v>
      </c>
    </row>
    <row r="204" spans="1:11" ht="15.8" customHeight="1" x14ac:dyDescent="0.2">
      <c r="A204" s="456" t="s">
        <v>10</v>
      </c>
      <c r="B204" s="458" t="s">
        <v>2162</v>
      </c>
      <c r="C204" s="576"/>
      <c r="D204" s="457">
        <v>45930</v>
      </c>
      <c r="E204" s="456" t="s">
        <v>57</v>
      </c>
      <c r="F204" s="456" t="s">
        <v>4969</v>
      </c>
      <c r="G204" s="456" t="s">
        <v>150</v>
      </c>
      <c r="H204" s="456" t="s">
        <v>4970</v>
      </c>
      <c r="I204" s="456" t="s">
        <v>3937</v>
      </c>
      <c r="J204" s="456">
        <v>2</v>
      </c>
      <c r="K204" s="456" t="s">
        <v>16</v>
      </c>
    </row>
    <row r="205" spans="1:11" ht="15.8" customHeight="1" x14ac:dyDescent="0.2">
      <c r="A205" s="500" t="s">
        <v>2149</v>
      </c>
      <c r="B205" s="498"/>
      <c r="C205" s="391"/>
      <c r="D205" s="498"/>
      <c r="E205" s="498"/>
      <c r="F205" s="498"/>
      <c r="G205" s="498"/>
      <c r="H205" s="498"/>
      <c r="I205" s="498"/>
      <c r="J205" s="498"/>
      <c r="K205" s="498"/>
    </row>
    <row r="206" spans="1:11" ht="15.8" customHeight="1" x14ac:dyDescent="0.2">
      <c r="A206" s="456" t="s">
        <v>35</v>
      </c>
      <c r="B206" s="458" t="s">
        <v>137</v>
      </c>
      <c r="C206" s="576">
        <f>COUNTIF(B206:B223,C2)</f>
        <v>1</v>
      </c>
      <c r="D206" s="457">
        <v>45934</v>
      </c>
      <c r="E206" s="456" t="s">
        <v>4971</v>
      </c>
      <c r="F206" s="456" t="s">
        <v>4972</v>
      </c>
      <c r="G206" s="456" t="s">
        <v>134</v>
      </c>
      <c r="H206" s="456" t="s">
        <v>4973</v>
      </c>
      <c r="I206" s="456" t="s">
        <v>167</v>
      </c>
      <c r="J206" s="456">
        <v>5</v>
      </c>
      <c r="K206" s="456" t="s">
        <v>34</v>
      </c>
    </row>
    <row r="207" spans="1:11" ht="15.8" customHeight="1" x14ac:dyDescent="0.2">
      <c r="A207" s="458" t="s">
        <v>10</v>
      </c>
      <c r="B207" s="456" t="s">
        <v>2162</v>
      </c>
      <c r="C207" s="576"/>
      <c r="D207" s="459">
        <v>45935</v>
      </c>
      <c r="E207" s="458" t="s">
        <v>94</v>
      </c>
      <c r="F207" s="458" t="s">
        <v>950</v>
      </c>
      <c r="G207" s="458" t="s">
        <v>950</v>
      </c>
      <c r="H207" s="458" t="s">
        <v>4974</v>
      </c>
      <c r="I207" s="458" t="s">
        <v>167</v>
      </c>
      <c r="J207" s="458">
        <v>5</v>
      </c>
      <c r="K207" s="458" t="s">
        <v>50</v>
      </c>
    </row>
    <row r="208" spans="1:11" ht="15.8" customHeight="1" x14ac:dyDescent="0.2">
      <c r="A208" s="456" t="s">
        <v>51</v>
      </c>
      <c r="B208" s="458" t="s">
        <v>451</v>
      </c>
      <c r="C208" s="576"/>
      <c r="D208" s="457">
        <v>45935</v>
      </c>
      <c r="E208" s="456" t="s">
        <v>57</v>
      </c>
      <c r="F208" s="456" t="s">
        <v>4975</v>
      </c>
      <c r="G208" s="456" t="s">
        <v>173</v>
      </c>
      <c r="H208" s="456" t="s">
        <v>4976</v>
      </c>
      <c r="I208" s="456" t="s">
        <v>167</v>
      </c>
      <c r="J208" s="456">
        <v>6</v>
      </c>
      <c r="K208" s="456" t="s">
        <v>1075</v>
      </c>
    </row>
    <row r="209" spans="1:11" ht="15.8" customHeight="1" x14ac:dyDescent="0.2">
      <c r="A209" s="458" t="s">
        <v>10</v>
      </c>
      <c r="B209" s="456" t="s">
        <v>2162</v>
      </c>
      <c r="C209" s="576"/>
      <c r="D209" s="459">
        <v>45935</v>
      </c>
      <c r="E209" s="458" t="s">
        <v>4977</v>
      </c>
      <c r="F209" s="458" t="s">
        <v>4978</v>
      </c>
      <c r="G209" s="458" t="s">
        <v>4956</v>
      </c>
      <c r="H209" s="458" t="s">
        <v>4979</v>
      </c>
      <c r="I209" s="458" t="s">
        <v>3721</v>
      </c>
      <c r="J209" s="458">
        <v>5</v>
      </c>
      <c r="K209" s="458" t="s">
        <v>50</v>
      </c>
    </row>
    <row r="210" spans="1:11" ht="15.8" customHeight="1" x14ac:dyDescent="0.2">
      <c r="A210" s="456" t="s">
        <v>10</v>
      </c>
      <c r="B210" s="458" t="s">
        <v>29</v>
      </c>
      <c r="C210" s="576"/>
      <c r="D210" s="508" t="s">
        <v>4980</v>
      </c>
      <c r="E210" s="456" t="s">
        <v>4981</v>
      </c>
      <c r="F210" s="456" t="s">
        <v>4982</v>
      </c>
      <c r="G210" s="456" t="s">
        <v>139</v>
      </c>
      <c r="H210" s="456" t="s">
        <v>1444</v>
      </c>
      <c r="I210" s="456" t="s">
        <v>3721</v>
      </c>
      <c r="J210" s="456">
        <v>2</v>
      </c>
      <c r="K210" s="456" t="s">
        <v>78</v>
      </c>
    </row>
    <row r="211" spans="1:11" ht="15.8" customHeight="1" x14ac:dyDescent="0.2">
      <c r="A211" s="458" t="s">
        <v>146</v>
      </c>
      <c r="B211" s="456" t="s">
        <v>2163</v>
      </c>
      <c r="C211" s="576"/>
      <c r="D211" s="459">
        <v>45938</v>
      </c>
      <c r="E211" s="458" t="s">
        <v>4983</v>
      </c>
      <c r="F211" s="458" t="s">
        <v>4984</v>
      </c>
      <c r="G211" s="458" t="s">
        <v>76</v>
      </c>
      <c r="H211" s="458" t="s">
        <v>4985</v>
      </c>
      <c r="I211" s="458" t="s">
        <v>4986</v>
      </c>
      <c r="J211" s="458">
        <v>3</v>
      </c>
      <c r="K211" s="458" t="s">
        <v>50</v>
      </c>
    </row>
    <row r="212" spans="1:11" ht="15.8" customHeight="1" x14ac:dyDescent="0.2">
      <c r="A212" s="456" t="s">
        <v>35</v>
      </c>
      <c r="B212" s="458" t="s">
        <v>29</v>
      </c>
      <c r="C212" s="576"/>
      <c r="D212" s="457">
        <v>45945</v>
      </c>
      <c r="E212" s="456" t="s">
        <v>57</v>
      </c>
      <c r="F212" s="456" t="s">
        <v>4987</v>
      </c>
      <c r="G212" s="456" t="s">
        <v>139</v>
      </c>
      <c r="H212" s="456" t="s">
        <v>1444</v>
      </c>
      <c r="I212" s="456" t="s">
        <v>4988</v>
      </c>
      <c r="J212" s="456">
        <v>2</v>
      </c>
      <c r="K212" s="456" t="s">
        <v>78</v>
      </c>
    </row>
    <row r="213" spans="1:11" ht="15.8" customHeight="1" x14ac:dyDescent="0.2">
      <c r="A213" s="458" t="s">
        <v>51</v>
      </c>
      <c r="B213" s="456" t="s">
        <v>52</v>
      </c>
      <c r="C213" s="576"/>
      <c r="D213" s="459">
        <v>45946</v>
      </c>
      <c r="E213" s="458" t="s">
        <v>57</v>
      </c>
      <c r="F213" s="458" t="s">
        <v>173</v>
      </c>
      <c r="G213" s="458" t="s">
        <v>173</v>
      </c>
      <c r="H213" s="458" t="s">
        <v>4989</v>
      </c>
      <c r="I213" s="458" t="s">
        <v>4990</v>
      </c>
      <c r="J213" s="458">
        <v>5</v>
      </c>
      <c r="K213" s="458" t="s">
        <v>16</v>
      </c>
    </row>
    <row r="214" spans="1:11" ht="15.8" customHeight="1" x14ac:dyDescent="0.2">
      <c r="A214" s="456" t="s">
        <v>35</v>
      </c>
      <c r="B214" s="458" t="s">
        <v>137</v>
      </c>
      <c r="C214" s="576"/>
      <c r="D214" s="457">
        <v>45948</v>
      </c>
      <c r="E214" s="456" t="s">
        <v>1306</v>
      </c>
      <c r="F214" s="456" t="s">
        <v>4991</v>
      </c>
      <c r="G214" s="456" t="s">
        <v>76</v>
      </c>
      <c r="H214" s="456" t="s">
        <v>4992</v>
      </c>
      <c r="I214" s="456" t="s">
        <v>3937</v>
      </c>
      <c r="J214" s="456">
        <v>3</v>
      </c>
      <c r="K214" s="456" t="s">
        <v>192</v>
      </c>
    </row>
    <row r="215" spans="1:11" ht="15.8" customHeight="1" x14ac:dyDescent="0.2">
      <c r="A215" s="458" t="s">
        <v>10</v>
      </c>
      <c r="B215" s="456" t="s">
        <v>2161</v>
      </c>
      <c r="C215" s="576"/>
      <c r="D215" s="459">
        <v>45948</v>
      </c>
      <c r="E215" s="458" t="s">
        <v>37</v>
      </c>
      <c r="F215" s="458" t="s">
        <v>4171</v>
      </c>
      <c r="G215" s="458" t="s">
        <v>3975</v>
      </c>
      <c r="H215" s="458" t="s">
        <v>4993</v>
      </c>
      <c r="I215" s="458" t="s">
        <v>3937</v>
      </c>
      <c r="J215" s="458">
        <v>3</v>
      </c>
      <c r="K215" s="458" t="s">
        <v>50</v>
      </c>
    </row>
    <row r="216" spans="1:11" ht="15.8" customHeight="1" x14ac:dyDescent="0.2">
      <c r="A216" s="456" t="s">
        <v>10</v>
      </c>
      <c r="B216" s="458" t="s">
        <v>451</v>
      </c>
      <c r="C216" s="576"/>
      <c r="D216" s="457">
        <v>45949</v>
      </c>
      <c r="E216" s="456" t="s">
        <v>37</v>
      </c>
      <c r="F216" s="456" t="s">
        <v>4994</v>
      </c>
      <c r="G216" s="456" t="s">
        <v>446</v>
      </c>
      <c r="H216" s="456" t="s">
        <v>4995</v>
      </c>
      <c r="I216" s="456" t="s">
        <v>3937</v>
      </c>
      <c r="J216" s="456">
        <v>3</v>
      </c>
      <c r="K216" s="456" t="s">
        <v>16</v>
      </c>
    </row>
    <row r="217" spans="1:11" ht="15.8" customHeight="1" x14ac:dyDescent="0.2">
      <c r="A217" s="458" t="s">
        <v>10</v>
      </c>
      <c r="B217" s="456" t="s">
        <v>451</v>
      </c>
      <c r="C217" s="576"/>
      <c r="D217" s="459">
        <v>45950</v>
      </c>
      <c r="E217" s="458" t="s">
        <v>4996</v>
      </c>
      <c r="F217" s="458" t="s">
        <v>4997</v>
      </c>
      <c r="G217" s="458" t="s">
        <v>446</v>
      </c>
      <c r="H217" s="458" t="s">
        <v>4998</v>
      </c>
      <c r="I217" s="458" t="s">
        <v>4999</v>
      </c>
      <c r="J217" s="458">
        <v>2</v>
      </c>
      <c r="K217" s="458" t="s">
        <v>50</v>
      </c>
    </row>
    <row r="218" spans="1:11" ht="15.8" customHeight="1" x14ac:dyDescent="0.2">
      <c r="A218" s="456" t="s">
        <v>17</v>
      </c>
      <c r="B218" s="458" t="s">
        <v>24</v>
      </c>
      <c r="C218" s="576"/>
      <c r="D218" s="457">
        <v>45951</v>
      </c>
      <c r="E218" s="456" t="s">
        <v>57</v>
      </c>
      <c r="F218" s="456" t="s">
        <v>5000</v>
      </c>
      <c r="G218" s="503"/>
      <c r="H218" s="456" t="s">
        <v>1959</v>
      </c>
      <c r="I218" s="456" t="s">
        <v>3937</v>
      </c>
      <c r="J218" s="456">
        <v>1</v>
      </c>
      <c r="K218" s="456" t="s">
        <v>78</v>
      </c>
    </row>
    <row r="219" spans="1:11" ht="15.8" customHeight="1" x14ac:dyDescent="0.2">
      <c r="A219" s="458" t="s">
        <v>10</v>
      </c>
      <c r="B219" s="456" t="s">
        <v>2162</v>
      </c>
      <c r="C219" s="576"/>
      <c r="D219" s="459">
        <v>45952</v>
      </c>
      <c r="E219" s="458" t="s">
        <v>519</v>
      </c>
      <c r="F219" s="458" t="s">
        <v>1137</v>
      </c>
      <c r="G219" s="458" t="s">
        <v>27</v>
      </c>
      <c r="H219" s="458" t="s">
        <v>5001</v>
      </c>
      <c r="I219" s="458" t="s">
        <v>167</v>
      </c>
      <c r="J219" s="458">
        <v>18</v>
      </c>
      <c r="K219" s="458" t="s">
        <v>1079</v>
      </c>
    </row>
    <row r="220" spans="1:11" ht="15.8" customHeight="1" x14ac:dyDescent="0.2">
      <c r="A220" s="456" t="s">
        <v>10</v>
      </c>
      <c r="B220" s="456" t="s">
        <v>324</v>
      </c>
      <c r="C220" s="576"/>
      <c r="D220" s="457">
        <v>45955</v>
      </c>
      <c r="E220" s="456" t="s">
        <v>4519</v>
      </c>
      <c r="F220" s="456" t="s">
        <v>5002</v>
      </c>
      <c r="G220" s="456" t="s">
        <v>2194</v>
      </c>
      <c r="H220" s="456" t="s">
        <v>5003</v>
      </c>
      <c r="I220" s="456" t="s">
        <v>5004</v>
      </c>
      <c r="J220" s="456">
        <v>2</v>
      </c>
      <c r="K220" s="456" t="s">
        <v>192</v>
      </c>
    </row>
    <row r="221" spans="1:11" ht="15.8" customHeight="1" x14ac:dyDescent="0.2">
      <c r="A221" s="458" t="s">
        <v>146</v>
      </c>
      <c r="B221" s="458" t="s">
        <v>11</v>
      </c>
      <c r="C221" s="576"/>
      <c r="D221" s="459">
        <v>45956</v>
      </c>
      <c r="E221" s="458" t="s">
        <v>2619</v>
      </c>
      <c r="F221" s="458" t="s">
        <v>5005</v>
      </c>
      <c r="G221" s="458" t="s">
        <v>21</v>
      </c>
      <c r="H221" s="458" t="s">
        <v>5006</v>
      </c>
      <c r="I221" s="458" t="s">
        <v>4658</v>
      </c>
      <c r="J221" s="458">
        <v>3</v>
      </c>
      <c r="K221" s="458" t="s">
        <v>16</v>
      </c>
    </row>
    <row r="222" spans="1:11" ht="15.8" customHeight="1" x14ac:dyDescent="0.2">
      <c r="A222" s="456" t="s">
        <v>10</v>
      </c>
      <c r="B222" s="456" t="s">
        <v>2162</v>
      </c>
      <c r="C222" s="576"/>
      <c r="D222" s="457">
        <v>45960</v>
      </c>
      <c r="E222" s="456" t="s">
        <v>4387</v>
      </c>
      <c r="F222" s="456" t="s">
        <v>1343</v>
      </c>
      <c r="G222" s="456" t="s">
        <v>1343</v>
      </c>
      <c r="H222" s="456" t="s">
        <v>5007</v>
      </c>
      <c r="I222" s="456" t="s">
        <v>3721</v>
      </c>
      <c r="J222" s="456">
        <v>2</v>
      </c>
      <c r="K222" s="456" t="s">
        <v>34</v>
      </c>
    </row>
    <row r="223" spans="1:11" ht="15.8" customHeight="1" x14ac:dyDescent="0.2">
      <c r="A223" s="458" t="s">
        <v>10</v>
      </c>
      <c r="B223" s="458" t="s">
        <v>2162</v>
      </c>
      <c r="C223" s="576"/>
      <c r="D223" s="459">
        <v>45961</v>
      </c>
      <c r="E223" s="458" t="s">
        <v>800</v>
      </c>
      <c r="F223" s="458" t="s">
        <v>5008</v>
      </c>
      <c r="G223" s="458" t="s">
        <v>27</v>
      </c>
      <c r="H223" s="458" t="s">
        <v>5009</v>
      </c>
      <c r="I223" s="458" t="s">
        <v>3937</v>
      </c>
      <c r="J223" s="458">
        <v>7</v>
      </c>
      <c r="K223" s="458" t="s">
        <v>34</v>
      </c>
    </row>
    <row r="224" spans="1:11" ht="15.8" customHeight="1" x14ac:dyDescent="0.2">
      <c r="A224" s="500" t="s">
        <v>2150</v>
      </c>
      <c r="B224" s="498"/>
      <c r="C224" s="391"/>
      <c r="D224" s="498"/>
      <c r="E224" s="498"/>
      <c r="F224" s="498"/>
      <c r="G224" s="498"/>
      <c r="H224" s="498"/>
      <c r="I224" s="498"/>
      <c r="J224" s="498"/>
      <c r="K224" s="498"/>
    </row>
    <row r="225" spans="1:11" ht="15.8" customHeight="1" x14ac:dyDescent="0.2">
      <c r="A225" s="458" t="s">
        <v>159</v>
      </c>
      <c r="B225" s="458" t="s">
        <v>2401</v>
      </c>
      <c r="C225" s="576">
        <f>COUNTIF(B225:B238,C2)</f>
        <v>0</v>
      </c>
      <c r="D225" s="459">
        <v>45963</v>
      </c>
      <c r="E225" s="458" t="s">
        <v>4173</v>
      </c>
      <c r="F225" s="458" t="s">
        <v>1837</v>
      </c>
      <c r="G225" s="458" t="s">
        <v>5010</v>
      </c>
      <c r="H225" s="458" t="s">
        <v>5011</v>
      </c>
      <c r="I225" s="458" t="s">
        <v>3937</v>
      </c>
      <c r="J225" s="458">
        <v>5</v>
      </c>
      <c r="K225" s="458" t="s">
        <v>34</v>
      </c>
    </row>
    <row r="226" spans="1:11" ht="15.8" customHeight="1" x14ac:dyDescent="0.2">
      <c r="A226" s="456" t="s">
        <v>10</v>
      </c>
      <c r="B226" s="456" t="s">
        <v>163</v>
      </c>
      <c r="C226" s="576"/>
      <c r="D226" s="457">
        <v>45966</v>
      </c>
      <c r="E226" s="456" t="s">
        <v>164</v>
      </c>
      <c r="F226" s="456" t="s">
        <v>5012</v>
      </c>
      <c r="G226" s="456" t="s">
        <v>27</v>
      </c>
      <c r="H226" s="456" t="s">
        <v>5013</v>
      </c>
      <c r="I226" s="456" t="s">
        <v>3937</v>
      </c>
      <c r="J226" s="456">
        <v>2</v>
      </c>
      <c r="K226" s="456" t="s">
        <v>192</v>
      </c>
    </row>
    <row r="227" spans="1:11" ht="15.8" customHeight="1" x14ac:dyDescent="0.2">
      <c r="A227" s="458" t="s">
        <v>10</v>
      </c>
      <c r="B227" s="458" t="s">
        <v>188</v>
      </c>
      <c r="C227" s="576"/>
      <c r="D227" s="459">
        <v>45972</v>
      </c>
      <c r="E227" s="458" t="s">
        <v>4474</v>
      </c>
      <c r="F227" s="458" t="s">
        <v>5014</v>
      </c>
      <c r="G227" s="458" t="s">
        <v>110</v>
      </c>
      <c r="H227" s="458" t="s">
        <v>5015</v>
      </c>
      <c r="I227" s="458" t="s">
        <v>3937</v>
      </c>
      <c r="J227" s="458">
        <v>2</v>
      </c>
      <c r="K227" s="458" t="s">
        <v>192</v>
      </c>
    </row>
    <row r="228" spans="1:11" ht="15.8" customHeight="1" x14ac:dyDescent="0.2">
      <c r="A228" s="456" t="s">
        <v>35</v>
      </c>
      <c r="B228" s="456" t="s">
        <v>137</v>
      </c>
      <c r="C228" s="576"/>
      <c r="D228" s="457">
        <v>45977</v>
      </c>
      <c r="E228" s="456" t="s">
        <v>57</v>
      </c>
      <c r="F228" s="456" t="s">
        <v>5016</v>
      </c>
      <c r="G228" s="456" t="s">
        <v>150</v>
      </c>
      <c r="H228" s="456" t="s">
        <v>5017</v>
      </c>
      <c r="I228" s="456" t="s">
        <v>3721</v>
      </c>
      <c r="J228" s="456">
        <v>3</v>
      </c>
      <c r="K228" s="456" t="s">
        <v>16</v>
      </c>
    </row>
    <row r="229" spans="1:11" ht="15.8" customHeight="1" x14ac:dyDescent="0.2">
      <c r="A229" s="458" t="s">
        <v>146</v>
      </c>
      <c r="B229" s="458" t="s">
        <v>11</v>
      </c>
      <c r="C229" s="576"/>
      <c r="D229" s="459">
        <v>45981</v>
      </c>
      <c r="E229" s="458" t="s">
        <v>57</v>
      </c>
      <c r="F229" s="458" t="s">
        <v>5018</v>
      </c>
      <c r="G229" s="458" t="s">
        <v>32</v>
      </c>
      <c r="H229" s="458" t="s">
        <v>5019</v>
      </c>
      <c r="I229" s="458" t="s">
        <v>3937</v>
      </c>
      <c r="J229" s="458">
        <v>4</v>
      </c>
      <c r="K229" s="458" t="s">
        <v>16</v>
      </c>
    </row>
    <row r="230" spans="1:11" ht="15.8" customHeight="1" x14ac:dyDescent="0.2">
      <c r="A230" s="456" t="s">
        <v>35</v>
      </c>
      <c r="B230" s="456" t="s">
        <v>2401</v>
      </c>
      <c r="C230" s="576"/>
      <c r="D230" s="457">
        <v>45988</v>
      </c>
      <c r="E230" s="456" t="s">
        <v>1520</v>
      </c>
      <c r="F230" s="456" t="s">
        <v>1929</v>
      </c>
      <c r="G230" s="503"/>
      <c r="H230" s="456" t="s">
        <v>5020</v>
      </c>
      <c r="I230" s="456" t="s">
        <v>167</v>
      </c>
      <c r="J230" s="456">
        <v>7</v>
      </c>
      <c r="K230" s="456" t="s">
        <v>34</v>
      </c>
    </row>
    <row r="231" spans="1:11" ht="15.8" customHeight="1" x14ac:dyDescent="0.2">
      <c r="A231" s="458" t="s">
        <v>10</v>
      </c>
      <c r="B231" s="458" t="s">
        <v>152</v>
      </c>
      <c r="C231" s="576"/>
      <c r="D231" s="459">
        <v>45988</v>
      </c>
      <c r="E231" s="458" t="s">
        <v>37</v>
      </c>
      <c r="F231" s="458" t="s">
        <v>5021</v>
      </c>
      <c r="G231" s="458" t="s">
        <v>76</v>
      </c>
      <c r="H231" s="458" t="s">
        <v>5022</v>
      </c>
      <c r="I231" s="458" t="s">
        <v>3937</v>
      </c>
      <c r="J231" s="458">
        <v>2</v>
      </c>
      <c r="K231" s="458" t="s">
        <v>167</v>
      </c>
    </row>
    <row r="232" spans="1:11" ht="15.8" customHeight="1" x14ac:dyDescent="0.2">
      <c r="A232" s="456" t="s">
        <v>51</v>
      </c>
      <c r="B232" s="456" t="s">
        <v>397</v>
      </c>
      <c r="C232" s="576"/>
      <c r="D232" s="457">
        <v>45988</v>
      </c>
      <c r="E232" s="456" t="s">
        <v>57</v>
      </c>
      <c r="F232" s="456" t="s">
        <v>5023</v>
      </c>
      <c r="G232" s="456" t="s">
        <v>355</v>
      </c>
      <c r="H232" s="456" t="s">
        <v>5024</v>
      </c>
      <c r="I232" s="456" t="s">
        <v>167</v>
      </c>
      <c r="J232" s="456">
        <v>5</v>
      </c>
      <c r="K232" s="456" t="s">
        <v>60</v>
      </c>
    </row>
    <row r="233" spans="1:11" ht="15.8" customHeight="1" x14ac:dyDescent="0.2">
      <c r="A233" s="458" t="s">
        <v>146</v>
      </c>
      <c r="B233" s="458" t="s">
        <v>2162</v>
      </c>
      <c r="C233" s="576"/>
      <c r="D233" s="459">
        <v>45988</v>
      </c>
      <c r="E233" s="458" t="s">
        <v>4182</v>
      </c>
      <c r="F233" s="458" t="s">
        <v>5025</v>
      </c>
      <c r="G233" s="458" t="s">
        <v>139</v>
      </c>
      <c r="H233" s="458" t="s">
        <v>5026</v>
      </c>
      <c r="I233" s="458" t="s">
        <v>167</v>
      </c>
      <c r="J233" s="458">
        <v>3</v>
      </c>
      <c r="K233" s="458" t="s">
        <v>192</v>
      </c>
    </row>
    <row r="234" spans="1:11" ht="15.8" customHeight="1" x14ac:dyDescent="0.2">
      <c r="A234" s="456" t="s">
        <v>35</v>
      </c>
      <c r="B234" s="456" t="s">
        <v>137</v>
      </c>
      <c r="C234" s="576"/>
      <c r="D234" s="457">
        <v>45989</v>
      </c>
      <c r="E234" s="456" t="s">
        <v>57</v>
      </c>
      <c r="F234" s="456" t="s">
        <v>5027</v>
      </c>
      <c r="G234" s="503"/>
      <c r="H234" s="456" t="s">
        <v>5028</v>
      </c>
      <c r="I234" s="456" t="s">
        <v>4810</v>
      </c>
      <c r="J234" s="456">
        <v>4</v>
      </c>
      <c r="K234" s="456" t="s">
        <v>34</v>
      </c>
    </row>
    <row r="235" spans="1:11" ht="15.8" customHeight="1" x14ac:dyDescent="0.2">
      <c r="A235" s="458" t="s">
        <v>10</v>
      </c>
      <c r="B235" s="458" t="s">
        <v>324</v>
      </c>
      <c r="C235" s="576"/>
      <c r="D235" s="459">
        <v>45980</v>
      </c>
      <c r="E235" s="458" t="s">
        <v>5029</v>
      </c>
      <c r="F235" s="458" t="s">
        <v>5030</v>
      </c>
      <c r="G235" s="458" t="s">
        <v>1610</v>
      </c>
      <c r="H235" s="458" t="s">
        <v>5031</v>
      </c>
      <c r="I235" s="458" t="s">
        <v>4898</v>
      </c>
      <c r="J235" s="458">
        <v>8</v>
      </c>
      <c r="K235" s="458" t="s">
        <v>34</v>
      </c>
    </row>
    <row r="236" spans="1:11" ht="15.8" customHeight="1" x14ac:dyDescent="0.2">
      <c r="A236" s="456" t="s">
        <v>51</v>
      </c>
      <c r="B236" s="456" t="s">
        <v>397</v>
      </c>
      <c r="C236" s="576"/>
      <c r="D236" s="457">
        <v>45988</v>
      </c>
      <c r="E236" s="456" t="s">
        <v>4244</v>
      </c>
      <c r="F236" s="456" t="s">
        <v>5032</v>
      </c>
      <c r="G236" s="456" t="s">
        <v>355</v>
      </c>
      <c r="H236" s="456" t="s">
        <v>5033</v>
      </c>
      <c r="I236" s="456" t="s">
        <v>4658</v>
      </c>
      <c r="J236" s="456">
        <v>5</v>
      </c>
      <c r="K236" s="456" t="s">
        <v>60</v>
      </c>
    </row>
    <row r="237" spans="1:11" ht="15.8" customHeight="1" x14ac:dyDescent="0.2">
      <c r="A237" s="458" t="s">
        <v>146</v>
      </c>
      <c r="B237" s="458" t="s">
        <v>2162</v>
      </c>
      <c r="C237" s="576"/>
      <c r="D237" s="459">
        <v>45988</v>
      </c>
      <c r="E237" s="458" t="s">
        <v>286</v>
      </c>
      <c r="F237" s="458" t="s">
        <v>5034</v>
      </c>
      <c r="G237" s="458" t="s">
        <v>139</v>
      </c>
      <c r="H237" s="458" t="s">
        <v>5035</v>
      </c>
      <c r="I237" s="458" t="s">
        <v>4587</v>
      </c>
      <c r="J237" s="458">
        <v>3</v>
      </c>
      <c r="K237" s="458" t="s">
        <v>192</v>
      </c>
    </row>
    <row r="238" spans="1:11" ht="15.8" customHeight="1" x14ac:dyDescent="0.2">
      <c r="A238" s="456" t="s">
        <v>159</v>
      </c>
      <c r="B238" s="456" t="s">
        <v>137</v>
      </c>
      <c r="C238" s="576"/>
      <c r="D238" s="457">
        <v>45991</v>
      </c>
      <c r="E238" s="456" t="s">
        <v>57</v>
      </c>
      <c r="F238" s="456" t="s">
        <v>5036</v>
      </c>
      <c r="G238" s="456" t="s">
        <v>95</v>
      </c>
      <c r="H238" s="456" t="s">
        <v>5037</v>
      </c>
      <c r="I238" s="456" t="s">
        <v>3937</v>
      </c>
      <c r="J238" s="456">
        <v>3</v>
      </c>
      <c r="K238" s="456" t="s">
        <v>50</v>
      </c>
    </row>
    <row r="239" spans="1:11" ht="15.8" customHeight="1" x14ac:dyDescent="0.2">
      <c r="A239" s="500" t="s">
        <v>2151</v>
      </c>
      <c r="B239" s="498"/>
      <c r="C239" s="391"/>
      <c r="D239" s="498"/>
      <c r="E239" s="498"/>
      <c r="F239" s="498"/>
      <c r="G239" s="498"/>
      <c r="H239" s="498"/>
      <c r="I239" s="498"/>
      <c r="J239" s="498"/>
      <c r="K239" s="498"/>
    </row>
    <row r="240" spans="1:11" ht="15.8" customHeight="1" x14ac:dyDescent="0.2">
      <c r="A240" s="456" t="s">
        <v>51</v>
      </c>
      <c r="B240" s="456" t="s">
        <v>52</v>
      </c>
      <c r="C240" s="576">
        <f>COUNTIF(B240:B250,C2)</f>
        <v>3</v>
      </c>
      <c r="D240" s="457">
        <v>45993</v>
      </c>
      <c r="E240" s="456" t="s">
        <v>5038</v>
      </c>
      <c r="F240" s="456" t="s">
        <v>4305</v>
      </c>
      <c r="G240" s="456" t="s">
        <v>62</v>
      </c>
      <c r="H240" s="456" t="s">
        <v>5039</v>
      </c>
      <c r="I240" s="456" t="s">
        <v>4650</v>
      </c>
      <c r="J240" s="456">
        <v>5</v>
      </c>
      <c r="K240" s="456" t="s">
        <v>16</v>
      </c>
    </row>
    <row r="241" spans="1:11" ht="15.8" customHeight="1" x14ac:dyDescent="0.2">
      <c r="A241" s="458" t="s">
        <v>10</v>
      </c>
      <c r="B241" s="458" t="s">
        <v>2162</v>
      </c>
      <c r="C241" s="576"/>
      <c r="D241" s="459">
        <v>45995</v>
      </c>
      <c r="E241" s="458" t="s">
        <v>164</v>
      </c>
      <c r="F241" s="458" t="s">
        <v>5040</v>
      </c>
      <c r="G241" s="458" t="s">
        <v>27</v>
      </c>
      <c r="H241" s="458" t="s">
        <v>5041</v>
      </c>
      <c r="I241" s="458" t="s">
        <v>167</v>
      </c>
      <c r="J241" s="458">
        <v>11</v>
      </c>
      <c r="K241" s="458" t="s">
        <v>56</v>
      </c>
    </row>
    <row r="242" spans="1:11" ht="15.8" customHeight="1" x14ac:dyDescent="0.2">
      <c r="A242" s="456" t="s">
        <v>10</v>
      </c>
      <c r="B242" s="456" t="s">
        <v>2164</v>
      </c>
      <c r="C242" s="576"/>
      <c r="D242" s="457">
        <v>45998</v>
      </c>
      <c r="E242" s="456" t="s">
        <v>4585</v>
      </c>
      <c r="F242" s="456" t="s">
        <v>5042</v>
      </c>
      <c r="G242" s="456" t="s">
        <v>128</v>
      </c>
      <c r="H242" s="456" t="s">
        <v>5043</v>
      </c>
      <c r="I242" s="456" t="s">
        <v>3721</v>
      </c>
      <c r="J242" s="456">
        <v>2</v>
      </c>
      <c r="K242" s="456" t="s">
        <v>50</v>
      </c>
    </row>
    <row r="243" spans="1:11" ht="15.8" customHeight="1" x14ac:dyDescent="0.2">
      <c r="A243" s="458" t="s">
        <v>10</v>
      </c>
      <c r="B243" s="458" t="s">
        <v>188</v>
      </c>
      <c r="C243" s="576"/>
      <c r="D243" s="459">
        <v>46002</v>
      </c>
      <c r="E243" s="458" t="s">
        <v>37</v>
      </c>
      <c r="F243" s="458" t="s">
        <v>5044</v>
      </c>
      <c r="G243" s="458" t="s">
        <v>1206</v>
      </c>
      <c r="H243" s="458" t="s">
        <v>5045</v>
      </c>
      <c r="I243" s="458" t="s">
        <v>3937</v>
      </c>
      <c r="J243" s="458">
        <v>2</v>
      </c>
      <c r="K243" s="458" t="s">
        <v>192</v>
      </c>
    </row>
    <row r="244" spans="1:11" ht="15.8" customHeight="1" x14ac:dyDescent="0.2">
      <c r="A244" s="456" t="s">
        <v>51</v>
      </c>
      <c r="B244" s="456" t="s">
        <v>52</v>
      </c>
      <c r="C244" s="576"/>
      <c r="D244" s="457">
        <v>46002</v>
      </c>
      <c r="E244" s="456" t="s">
        <v>37</v>
      </c>
      <c r="F244" s="456" t="s">
        <v>5046</v>
      </c>
      <c r="G244" s="503"/>
      <c r="H244" s="456" t="s">
        <v>5047</v>
      </c>
      <c r="I244" s="456" t="s">
        <v>3937</v>
      </c>
      <c r="J244" s="456">
        <v>6</v>
      </c>
      <c r="K244" s="456" t="s">
        <v>56</v>
      </c>
    </row>
    <row r="245" spans="1:11" ht="15.8" customHeight="1" x14ac:dyDescent="0.2">
      <c r="A245" s="458" t="s">
        <v>10</v>
      </c>
      <c r="B245" s="458" t="s">
        <v>2162</v>
      </c>
      <c r="C245" s="576"/>
      <c r="D245" s="459">
        <v>46004</v>
      </c>
      <c r="E245" s="458" t="s">
        <v>5048</v>
      </c>
      <c r="F245" s="458" t="s">
        <v>5049</v>
      </c>
      <c r="G245" s="458" t="s">
        <v>85</v>
      </c>
      <c r="H245" s="458" t="s">
        <v>5050</v>
      </c>
      <c r="I245" s="458" t="s">
        <v>167</v>
      </c>
      <c r="J245" s="458">
        <v>6</v>
      </c>
      <c r="K245" s="458" t="s">
        <v>56</v>
      </c>
    </row>
    <row r="246" spans="1:11" ht="15.8" customHeight="1" x14ac:dyDescent="0.2">
      <c r="A246" s="456" t="s">
        <v>35</v>
      </c>
      <c r="B246" s="456" t="s">
        <v>137</v>
      </c>
      <c r="C246" s="576"/>
      <c r="D246" s="457">
        <v>46010</v>
      </c>
      <c r="E246" s="456" t="s">
        <v>57</v>
      </c>
      <c r="F246" s="456" t="s">
        <v>5051</v>
      </c>
      <c r="G246" s="456" t="s">
        <v>95</v>
      </c>
      <c r="H246" s="456" t="s">
        <v>5052</v>
      </c>
      <c r="I246" s="456" t="s">
        <v>3721</v>
      </c>
      <c r="J246" s="456">
        <v>3</v>
      </c>
      <c r="K246" s="456" t="s">
        <v>78</v>
      </c>
    </row>
    <row r="247" spans="1:11" ht="15.8" customHeight="1" x14ac:dyDescent="0.2">
      <c r="A247" s="458" t="s">
        <v>51</v>
      </c>
      <c r="B247" s="458" t="s">
        <v>244</v>
      </c>
      <c r="C247" s="576"/>
      <c r="D247" s="459">
        <v>46013</v>
      </c>
      <c r="E247" s="458" t="s">
        <v>57</v>
      </c>
      <c r="F247" s="458" t="s">
        <v>5053</v>
      </c>
      <c r="G247" s="458" t="s">
        <v>355</v>
      </c>
      <c r="H247" s="458" t="s">
        <v>5054</v>
      </c>
      <c r="I247" s="458" t="s">
        <v>167</v>
      </c>
      <c r="J247" s="458">
        <v>2</v>
      </c>
      <c r="K247" s="458" t="s">
        <v>16</v>
      </c>
    </row>
    <row r="248" spans="1:11" ht="15.8" customHeight="1" x14ac:dyDescent="0.2">
      <c r="A248" s="456" t="s">
        <v>159</v>
      </c>
      <c r="B248" s="456" t="s">
        <v>137</v>
      </c>
      <c r="C248" s="576"/>
      <c r="D248" s="457">
        <v>46014</v>
      </c>
      <c r="E248" s="456" t="s">
        <v>72</v>
      </c>
      <c r="F248" s="456" t="s">
        <v>5055</v>
      </c>
      <c r="G248" s="456" t="s">
        <v>918</v>
      </c>
      <c r="H248" s="456" t="s">
        <v>5056</v>
      </c>
      <c r="I248" s="456" t="s">
        <v>3937</v>
      </c>
      <c r="J248" s="456">
        <v>3</v>
      </c>
      <c r="K248" s="456" t="s">
        <v>16</v>
      </c>
    </row>
    <row r="249" spans="1:11" ht="15.8" customHeight="1" x14ac:dyDescent="0.2">
      <c r="A249" s="458" t="s">
        <v>51</v>
      </c>
      <c r="B249" s="458" t="s">
        <v>52</v>
      </c>
      <c r="C249" s="576"/>
      <c r="D249" s="459">
        <v>46021</v>
      </c>
      <c r="E249" s="458" t="s">
        <v>4248</v>
      </c>
      <c r="F249" s="458" t="s">
        <v>5057</v>
      </c>
      <c r="G249" s="458" t="s">
        <v>135</v>
      </c>
      <c r="H249" s="458" t="s">
        <v>2538</v>
      </c>
      <c r="I249" s="458" t="s">
        <v>3708</v>
      </c>
      <c r="J249" s="458">
        <v>6</v>
      </c>
      <c r="K249" s="458" t="s">
        <v>60</v>
      </c>
    </row>
    <row r="250" spans="1:11" ht="15.8" customHeight="1" x14ac:dyDescent="0.2">
      <c r="A250" s="456" t="s">
        <v>159</v>
      </c>
      <c r="B250" s="456" t="s">
        <v>2164</v>
      </c>
      <c r="C250" s="576"/>
      <c r="D250" s="457">
        <v>46022</v>
      </c>
      <c r="E250" s="456" t="s">
        <v>2468</v>
      </c>
      <c r="F250" s="456" t="s">
        <v>5058</v>
      </c>
      <c r="G250" s="456" t="s">
        <v>747</v>
      </c>
      <c r="H250" s="456" t="s">
        <v>5059</v>
      </c>
      <c r="I250" s="456" t="s">
        <v>3721</v>
      </c>
      <c r="J250" s="456">
        <v>5</v>
      </c>
      <c r="K250" s="456" t="s">
        <v>50</v>
      </c>
    </row>
    <row r="251" spans="1:11" ht="46.9" x14ac:dyDescent="0.2">
      <c r="A251" s="492" t="s">
        <v>2677</v>
      </c>
      <c r="B251" s="493">
        <f>COUNTA($B$3:B250)</f>
        <v>236</v>
      </c>
      <c r="C251" s="493">
        <f>SUM(C3:C250)</f>
        <v>31</v>
      </c>
      <c r="D251" s="494"/>
      <c r="E251" s="495"/>
      <c r="F251" s="495"/>
      <c r="G251" s="496"/>
      <c r="H251" s="495"/>
      <c r="I251" s="495"/>
      <c r="J251" s="495"/>
      <c r="K251" s="497"/>
    </row>
    <row r="252" spans="1:11" ht="12.9" x14ac:dyDescent="0.2">
      <c r="A252" s="13"/>
      <c r="B252" s="13"/>
      <c r="C252" s="89"/>
      <c r="D252" s="60"/>
      <c r="E252" s="13"/>
      <c r="F252" s="13"/>
      <c r="G252" s="13"/>
      <c r="H252" s="42"/>
      <c r="I252" s="13"/>
    </row>
    <row r="253" spans="1:11" ht="15.8" customHeight="1" x14ac:dyDescent="0.2">
      <c r="A253"/>
      <c r="B253"/>
      <c r="C253" s="89"/>
      <c r="D253"/>
      <c r="E253"/>
      <c r="F253"/>
      <c r="G253"/>
      <c r="H253"/>
      <c r="I253"/>
    </row>
  </sheetData>
  <sheetProtection sheet="1" objects="1" scenarios="1"/>
  <autoFilter ref="A1:AR1" xr:uid="{00000000-0009-0000-0000-000004000000}"/>
  <mergeCells count="22">
    <mergeCell ref="A1:A2"/>
    <mergeCell ref="B1:B2"/>
    <mergeCell ref="C4:C32"/>
    <mergeCell ref="C171:C182"/>
    <mergeCell ref="C144:C169"/>
    <mergeCell ref="C77:C103"/>
    <mergeCell ref="C105:C127"/>
    <mergeCell ref="C129:C142"/>
    <mergeCell ref="F1:F2"/>
    <mergeCell ref="K1:K2"/>
    <mergeCell ref="H1:H2"/>
    <mergeCell ref="I1:I2"/>
    <mergeCell ref="J1:J2"/>
    <mergeCell ref="G1:G2"/>
    <mergeCell ref="C206:C223"/>
    <mergeCell ref="C225:C238"/>
    <mergeCell ref="C240:C250"/>
    <mergeCell ref="D1:D2"/>
    <mergeCell ref="E1:E2"/>
    <mergeCell ref="C57:C75"/>
    <mergeCell ref="C34:C55"/>
    <mergeCell ref="C184:C204"/>
  </mergeCells>
  <conditionalFormatting sqref="B3:B182 B251:B1048576">
    <cfRule type="cellIs" dxfId="12" priority="5" operator="equal">
      <formula>$C$2</formula>
    </cfRule>
  </conditionalFormatting>
  <conditionalFormatting sqref="C2">
    <cfRule type="cellIs" dxfId="11" priority="4" operator="equal">
      <formula>$C$2</formula>
    </cfRule>
  </conditionalFormatting>
  <conditionalFormatting sqref="B183">
    <cfRule type="cellIs" dxfId="10" priority="3" operator="equal">
      <formula>$C$2</formula>
    </cfRule>
  </conditionalFormatting>
  <conditionalFormatting sqref="B184:B204">
    <cfRule type="cellIs" dxfId="9" priority="2" operator="equal">
      <formula>$C$2</formula>
    </cfRule>
  </conditionalFormatting>
  <conditionalFormatting sqref="B206:B250">
    <cfRule type="cellIs" dxfId="8" priority="1" operator="equal">
      <formula>$C$2</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415"/>
  <sheetViews>
    <sheetView zoomScaleNormal="100" workbookViewId="0">
      <pane ySplit="2" topLeftCell="A3" activePane="bottomLeft" state="frozen"/>
      <selection pane="bottomLeft" activeCell="L412" sqref="A3:L412"/>
    </sheetView>
  </sheetViews>
  <sheetFormatPr baseColWidth="10" defaultColWidth="12.625" defaultRowHeight="15.8" customHeight="1" x14ac:dyDescent="0.2"/>
  <cols>
    <col min="1" max="1" width="25.25" style="15" bestFit="1" customWidth="1"/>
    <col min="2" max="2" width="71.25" style="15" customWidth="1"/>
    <col min="3" max="3" width="44" style="90" bestFit="1" customWidth="1"/>
    <col min="4" max="4" width="21" style="16" bestFit="1" customWidth="1"/>
    <col min="5" max="5" width="36" style="15" bestFit="1" customWidth="1"/>
    <col min="6" max="6" width="41.25" style="15" bestFit="1" customWidth="1"/>
    <col min="7" max="7" width="40" style="180" bestFit="1" customWidth="1"/>
    <col min="8" max="8" width="147.125" style="15" bestFit="1" customWidth="1"/>
    <col min="9" max="9" width="37.75" style="15" bestFit="1" customWidth="1"/>
    <col min="10" max="10" width="15.5" style="80" bestFit="1" customWidth="1"/>
    <col min="11" max="19" width="18.875" customWidth="1"/>
    <col min="21" max="21" width="29.875" bestFit="1" customWidth="1"/>
    <col min="22" max="22" width="23.75" bestFit="1" customWidth="1"/>
    <col min="23" max="23" width="19.125" bestFit="1" customWidth="1"/>
    <col min="24" max="24" width="39.75" bestFit="1" customWidth="1"/>
    <col min="25" max="25" width="13.375" bestFit="1" customWidth="1"/>
    <col min="26" max="26" width="24.375" bestFit="1" customWidth="1"/>
    <col min="27" max="27" width="19.625" bestFit="1" customWidth="1"/>
    <col min="28" max="28" width="22.25" bestFit="1" customWidth="1"/>
    <col min="29" max="29" width="26.125" bestFit="1" customWidth="1"/>
    <col min="30" max="30" width="22.625" bestFit="1" customWidth="1"/>
    <col min="31" max="31" width="14.25" bestFit="1" customWidth="1"/>
    <col min="32" max="32" width="27.75" bestFit="1" customWidth="1"/>
    <col min="33" max="33" width="27.25" bestFit="1" customWidth="1"/>
    <col min="34" max="34" width="21.5" bestFit="1" customWidth="1"/>
    <col min="35" max="35" width="24.75" bestFit="1" customWidth="1"/>
    <col min="36" max="36" width="25.5" bestFit="1" customWidth="1"/>
    <col min="37" max="37" width="21.875" bestFit="1" customWidth="1"/>
    <col min="38" max="38" width="26.25" bestFit="1" customWidth="1"/>
    <col min="39" max="39" width="22" bestFit="1" customWidth="1"/>
    <col min="40" max="40" width="24.625" bestFit="1" customWidth="1"/>
    <col min="41" max="41" width="33.75" bestFit="1" customWidth="1"/>
    <col min="42" max="42" width="24.25" bestFit="1" customWidth="1"/>
    <col min="43" max="43" width="43.5" bestFit="1" customWidth="1"/>
    <col min="44" max="44" width="33.625" bestFit="1" customWidth="1"/>
    <col min="45" max="45" width="24.375" bestFit="1" customWidth="1"/>
  </cols>
  <sheetData>
    <row r="1" spans="1:12" ht="13.6" x14ac:dyDescent="0.2">
      <c r="A1" s="578" t="s">
        <v>0</v>
      </c>
      <c r="B1" s="580" t="s">
        <v>1</v>
      </c>
      <c r="C1" s="429" t="s">
        <v>2651</v>
      </c>
      <c r="D1" s="588" t="s">
        <v>2</v>
      </c>
      <c r="E1" s="580" t="s">
        <v>3</v>
      </c>
      <c r="F1" s="580" t="s">
        <v>4</v>
      </c>
      <c r="G1" s="580" t="s">
        <v>5</v>
      </c>
      <c r="H1" s="585" t="s">
        <v>6</v>
      </c>
      <c r="I1" s="585" t="s">
        <v>2673</v>
      </c>
      <c r="J1" s="580" t="s">
        <v>7</v>
      </c>
      <c r="K1" s="585" t="s">
        <v>8</v>
      </c>
      <c r="L1" s="582" t="s">
        <v>4029</v>
      </c>
    </row>
    <row r="2" spans="1:12" ht="28.05" customHeight="1" x14ac:dyDescent="0.2">
      <c r="A2" s="579"/>
      <c r="B2" s="581"/>
      <c r="C2" s="430" t="str">
        <f>'DETALLADO X MES 2026'!J2</f>
        <v>INCENDIO FORESTAL</v>
      </c>
      <c r="D2" s="589"/>
      <c r="E2" s="581"/>
      <c r="F2" s="581"/>
      <c r="G2" s="581"/>
      <c r="H2" s="586"/>
      <c r="I2" s="586"/>
      <c r="J2" s="581"/>
      <c r="K2" s="586"/>
      <c r="L2" s="583"/>
    </row>
    <row r="3" spans="1:12" ht="15.8" customHeight="1" x14ac:dyDescent="0.2">
      <c r="A3" s="158" t="s">
        <v>9</v>
      </c>
      <c r="B3" s="3"/>
      <c r="C3" s="85"/>
      <c r="D3" s="4"/>
      <c r="E3" s="3"/>
      <c r="F3" s="3"/>
      <c r="G3" s="3"/>
      <c r="H3" s="5"/>
      <c r="I3" s="3"/>
      <c r="J3" s="157"/>
      <c r="K3" s="387"/>
      <c r="L3" s="425"/>
    </row>
    <row r="4" spans="1:12" ht="12.9" x14ac:dyDescent="0.2">
      <c r="A4" s="159" t="s">
        <v>10</v>
      </c>
      <c r="B4" s="154" t="s">
        <v>11</v>
      </c>
      <c r="C4" s="587">
        <f>COUNTIF(B4:B49,$C$2)</f>
        <v>15</v>
      </c>
      <c r="D4" s="155">
        <v>45295</v>
      </c>
      <c r="E4" s="154" t="s">
        <v>2652</v>
      </c>
      <c r="F4" s="154" t="s">
        <v>2653</v>
      </c>
      <c r="G4" s="154" t="s">
        <v>189</v>
      </c>
      <c r="H4" s="181" t="s">
        <v>2654</v>
      </c>
      <c r="I4" s="154" t="s">
        <v>2655</v>
      </c>
      <c r="J4" s="154">
        <v>3</v>
      </c>
      <c r="K4" s="154" t="s">
        <v>192</v>
      </c>
      <c r="L4" s="388"/>
    </row>
    <row r="5" spans="1:12" ht="15.8" customHeight="1" x14ac:dyDescent="0.2">
      <c r="A5" s="159" t="s">
        <v>10</v>
      </c>
      <c r="B5" s="154" t="s">
        <v>29</v>
      </c>
      <c r="C5" s="587"/>
      <c r="D5" s="155">
        <v>45295</v>
      </c>
      <c r="E5" s="154" t="s">
        <v>37</v>
      </c>
      <c r="F5" s="154" t="s">
        <v>2656</v>
      </c>
      <c r="G5" s="154" t="s">
        <v>27</v>
      </c>
      <c r="H5" s="181" t="s">
        <v>2657</v>
      </c>
      <c r="I5" s="154">
        <v>0</v>
      </c>
      <c r="J5" s="154">
        <v>2</v>
      </c>
      <c r="K5" s="154" t="s">
        <v>50</v>
      </c>
      <c r="L5" s="388"/>
    </row>
    <row r="6" spans="1:12" ht="15.8" customHeight="1" x14ac:dyDescent="0.2">
      <c r="A6" s="159" t="s">
        <v>387</v>
      </c>
      <c r="B6" s="154" t="s">
        <v>2164</v>
      </c>
      <c r="C6" s="587"/>
      <c r="D6" s="155">
        <v>45295</v>
      </c>
      <c r="E6" s="154" t="s">
        <v>305</v>
      </c>
      <c r="F6" s="154" t="s">
        <v>274</v>
      </c>
      <c r="G6" s="154" t="s">
        <v>135</v>
      </c>
      <c r="H6" s="181" t="s">
        <v>2658</v>
      </c>
      <c r="I6" s="154">
        <v>0</v>
      </c>
      <c r="J6" s="154">
        <v>3</v>
      </c>
      <c r="K6" s="154" t="s">
        <v>50</v>
      </c>
      <c r="L6" s="388"/>
    </row>
    <row r="7" spans="1:12" ht="15.8" customHeight="1" x14ac:dyDescent="0.2">
      <c r="A7" s="159" t="s">
        <v>51</v>
      </c>
      <c r="B7" s="154" t="s">
        <v>52</v>
      </c>
      <c r="C7" s="587"/>
      <c r="D7" s="155">
        <v>45296</v>
      </c>
      <c r="E7" s="154" t="s">
        <v>2659</v>
      </c>
      <c r="F7" s="154" t="s">
        <v>2660</v>
      </c>
      <c r="G7" s="154" t="s">
        <v>95</v>
      </c>
      <c r="H7" s="181" t="s">
        <v>2661</v>
      </c>
      <c r="I7" s="154" t="s">
        <v>2662</v>
      </c>
      <c r="J7" s="154">
        <v>3</v>
      </c>
      <c r="K7" s="154" t="s">
        <v>192</v>
      </c>
      <c r="L7" s="388"/>
    </row>
    <row r="8" spans="1:12" ht="15.8" customHeight="1" x14ac:dyDescent="0.2">
      <c r="A8" s="159" t="s">
        <v>51</v>
      </c>
      <c r="B8" s="154" t="s">
        <v>52</v>
      </c>
      <c r="C8" s="587"/>
      <c r="D8" s="155">
        <v>45297</v>
      </c>
      <c r="E8" s="154" t="s">
        <v>112</v>
      </c>
      <c r="F8" s="154" t="s">
        <v>1866</v>
      </c>
      <c r="G8" s="154" t="s">
        <v>2663</v>
      </c>
      <c r="H8" s="181" t="s">
        <v>2664</v>
      </c>
      <c r="I8" s="154" t="s">
        <v>2665</v>
      </c>
      <c r="J8" s="154">
        <v>6</v>
      </c>
      <c r="K8" s="154" t="s">
        <v>1075</v>
      </c>
      <c r="L8" s="388"/>
    </row>
    <row r="9" spans="1:12" ht="15.8" customHeight="1" x14ac:dyDescent="0.2">
      <c r="A9" s="159" t="s">
        <v>51</v>
      </c>
      <c r="B9" s="154" t="s">
        <v>397</v>
      </c>
      <c r="C9" s="587"/>
      <c r="D9" s="155">
        <v>45296</v>
      </c>
      <c r="E9" s="154" t="s">
        <v>2666</v>
      </c>
      <c r="F9" s="154" t="s">
        <v>274</v>
      </c>
      <c r="G9" s="154" t="s">
        <v>274</v>
      </c>
      <c r="H9" s="181" t="s">
        <v>2667</v>
      </c>
      <c r="I9" s="154" t="s">
        <v>2655</v>
      </c>
      <c r="J9" s="154">
        <v>4</v>
      </c>
      <c r="K9" s="154" t="s">
        <v>192</v>
      </c>
      <c r="L9" s="388"/>
    </row>
    <row r="10" spans="1:12" ht="15.8" customHeight="1" x14ac:dyDescent="0.2">
      <c r="A10" s="159" t="s">
        <v>51</v>
      </c>
      <c r="B10" s="154" t="s">
        <v>52</v>
      </c>
      <c r="C10" s="587"/>
      <c r="D10" s="155">
        <v>45299</v>
      </c>
      <c r="E10" s="154" t="s">
        <v>1728</v>
      </c>
      <c r="F10" s="154" t="s">
        <v>2668</v>
      </c>
      <c r="G10" s="154" t="s">
        <v>2645</v>
      </c>
      <c r="H10" s="181" t="s">
        <v>2466</v>
      </c>
      <c r="I10" s="154" t="s">
        <v>2655</v>
      </c>
      <c r="J10" s="154">
        <v>3</v>
      </c>
      <c r="K10" s="154" t="s">
        <v>192</v>
      </c>
      <c r="L10" s="388"/>
    </row>
    <row r="11" spans="1:12" ht="15.8" customHeight="1" x14ac:dyDescent="0.2">
      <c r="A11" s="159" t="s">
        <v>51</v>
      </c>
      <c r="B11" s="154" t="s">
        <v>481</v>
      </c>
      <c r="C11" s="587"/>
      <c r="D11" s="155">
        <v>45300</v>
      </c>
      <c r="E11" s="156">
        <v>5.2083333333333336E-2</v>
      </c>
      <c r="F11" s="154" t="s">
        <v>2674</v>
      </c>
      <c r="G11" s="154" t="s">
        <v>76</v>
      </c>
      <c r="H11" s="181" t="s">
        <v>2669</v>
      </c>
      <c r="I11" s="154" t="s">
        <v>167</v>
      </c>
      <c r="J11" s="154">
        <v>8</v>
      </c>
      <c r="K11" s="154" t="s">
        <v>2670</v>
      </c>
      <c r="L11" s="388"/>
    </row>
    <row r="12" spans="1:12" ht="15.8" customHeight="1" x14ac:dyDescent="0.2">
      <c r="A12" s="159" t="s">
        <v>51</v>
      </c>
      <c r="B12" s="154" t="s">
        <v>52</v>
      </c>
      <c r="C12" s="587"/>
      <c r="D12" s="155">
        <v>45300</v>
      </c>
      <c r="E12" s="154" t="s">
        <v>1712</v>
      </c>
      <c r="F12" s="154" t="s">
        <v>2336</v>
      </c>
      <c r="G12" s="154" t="s">
        <v>2336</v>
      </c>
      <c r="H12" s="181" t="s">
        <v>2671</v>
      </c>
      <c r="I12" s="154" t="s">
        <v>2655</v>
      </c>
      <c r="J12" s="154">
        <v>7</v>
      </c>
      <c r="K12" s="154" t="s">
        <v>2672</v>
      </c>
      <c r="L12" s="388"/>
    </row>
    <row r="13" spans="1:12" ht="15.8" customHeight="1" x14ac:dyDescent="0.2">
      <c r="A13" s="179" t="s">
        <v>51</v>
      </c>
      <c r="B13" s="178" t="s">
        <v>52</v>
      </c>
      <c r="C13" s="587"/>
      <c r="D13" s="45">
        <v>45300</v>
      </c>
      <c r="E13" s="178" t="s">
        <v>1535</v>
      </c>
      <c r="F13" s="178" t="s">
        <v>2678</v>
      </c>
      <c r="G13" s="178" t="s">
        <v>441</v>
      </c>
      <c r="H13" s="182" t="s">
        <v>2679</v>
      </c>
      <c r="I13" s="178" t="s">
        <v>2680</v>
      </c>
      <c r="J13" s="178">
        <v>12</v>
      </c>
      <c r="K13" s="178" t="s">
        <v>2681</v>
      </c>
      <c r="L13" s="388"/>
    </row>
    <row r="14" spans="1:12" ht="15.8" customHeight="1" x14ac:dyDescent="0.2">
      <c r="A14" s="179" t="s">
        <v>10</v>
      </c>
      <c r="B14" s="178" t="s">
        <v>29</v>
      </c>
      <c r="C14" s="587"/>
      <c r="D14" s="45">
        <v>45300</v>
      </c>
      <c r="E14" s="178" t="s">
        <v>112</v>
      </c>
      <c r="F14" s="178" t="s">
        <v>2682</v>
      </c>
      <c r="G14" s="178" t="s">
        <v>85</v>
      </c>
      <c r="H14" s="182" t="s">
        <v>2683</v>
      </c>
      <c r="I14" s="178">
        <v>0</v>
      </c>
      <c r="J14" s="178">
        <v>2</v>
      </c>
      <c r="K14" s="178" t="s">
        <v>50</v>
      </c>
      <c r="L14" s="388"/>
    </row>
    <row r="15" spans="1:12" ht="15.8" customHeight="1" x14ac:dyDescent="0.2">
      <c r="A15" s="179" t="s">
        <v>51</v>
      </c>
      <c r="B15" s="178" t="s">
        <v>52</v>
      </c>
      <c r="C15" s="587"/>
      <c r="D15" s="45">
        <v>45301</v>
      </c>
      <c r="E15" s="178" t="s">
        <v>1728</v>
      </c>
      <c r="F15" s="178" t="s">
        <v>2684</v>
      </c>
      <c r="G15" s="178" t="s">
        <v>2685</v>
      </c>
      <c r="H15" s="182" t="s">
        <v>2686</v>
      </c>
      <c r="I15" s="178" t="s">
        <v>2655</v>
      </c>
      <c r="J15" s="178">
        <v>3</v>
      </c>
      <c r="K15" s="178" t="s">
        <v>192</v>
      </c>
      <c r="L15" s="388"/>
    </row>
    <row r="16" spans="1:12" ht="15.8" customHeight="1" x14ac:dyDescent="0.2">
      <c r="A16" s="179" t="s">
        <v>35</v>
      </c>
      <c r="B16" s="178" t="s">
        <v>2401</v>
      </c>
      <c r="C16" s="587"/>
      <c r="D16" s="45">
        <v>45301</v>
      </c>
      <c r="E16" s="178" t="s">
        <v>305</v>
      </c>
      <c r="F16" s="178" t="s">
        <v>2687</v>
      </c>
      <c r="G16" s="178" t="s">
        <v>2688</v>
      </c>
      <c r="H16" s="182" t="s">
        <v>2689</v>
      </c>
      <c r="I16" s="178" t="s">
        <v>2655</v>
      </c>
      <c r="J16" s="178">
        <v>4</v>
      </c>
      <c r="K16" s="178" t="s">
        <v>50</v>
      </c>
      <c r="L16" s="388"/>
    </row>
    <row r="17" spans="1:12" ht="15.8" customHeight="1" x14ac:dyDescent="0.2">
      <c r="A17" s="179" t="s">
        <v>35</v>
      </c>
      <c r="B17" s="178" t="s">
        <v>137</v>
      </c>
      <c r="C17" s="587"/>
      <c r="D17" s="45">
        <v>45301</v>
      </c>
      <c r="E17" s="178" t="s">
        <v>2690</v>
      </c>
      <c r="F17" s="178" t="s">
        <v>2691</v>
      </c>
      <c r="G17" s="178" t="s">
        <v>95</v>
      </c>
      <c r="H17" s="182" t="s">
        <v>2692</v>
      </c>
      <c r="I17" s="178" t="s">
        <v>2655</v>
      </c>
      <c r="J17" s="178">
        <v>3</v>
      </c>
      <c r="K17" s="178" t="s">
        <v>50</v>
      </c>
      <c r="L17" s="388"/>
    </row>
    <row r="18" spans="1:12" ht="15.3" customHeight="1" x14ac:dyDescent="0.2">
      <c r="A18" s="179" t="s">
        <v>35</v>
      </c>
      <c r="B18" s="178" t="s">
        <v>29</v>
      </c>
      <c r="C18" s="587"/>
      <c r="D18" s="45">
        <v>45292</v>
      </c>
      <c r="E18" s="178" t="s">
        <v>1785</v>
      </c>
      <c r="F18" s="178" t="s">
        <v>2693</v>
      </c>
      <c r="G18" s="178" t="s">
        <v>918</v>
      </c>
      <c r="H18" s="182" t="s">
        <v>2694</v>
      </c>
      <c r="I18" s="178" t="s">
        <v>2695</v>
      </c>
      <c r="J18" s="178">
        <v>4</v>
      </c>
      <c r="K18" s="178" t="s">
        <v>1075</v>
      </c>
      <c r="L18" s="388"/>
    </row>
    <row r="19" spans="1:12" ht="15.8" customHeight="1" x14ac:dyDescent="0.2">
      <c r="A19" s="179" t="s">
        <v>35</v>
      </c>
      <c r="B19" s="178" t="s">
        <v>29</v>
      </c>
      <c r="C19" s="587"/>
      <c r="D19" s="45">
        <v>45302</v>
      </c>
      <c r="E19" s="178" t="s">
        <v>72</v>
      </c>
      <c r="F19" s="178" t="s">
        <v>3700</v>
      </c>
      <c r="G19" s="178" t="s">
        <v>307</v>
      </c>
      <c r="H19" s="178" t="s">
        <v>3701</v>
      </c>
      <c r="I19" s="178" t="s">
        <v>3702</v>
      </c>
      <c r="J19" s="354">
        <v>8</v>
      </c>
      <c r="K19" s="178" t="s">
        <v>41</v>
      </c>
      <c r="L19" s="388"/>
    </row>
    <row r="20" spans="1:12" ht="15.8" customHeight="1" x14ac:dyDescent="0.2">
      <c r="A20" s="179" t="s">
        <v>35</v>
      </c>
      <c r="B20" s="178" t="s">
        <v>29</v>
      </c>
      <c r="C20" s="587"/>
      <c r="D20" s="45">
        <v>45302</v>
      </c>
      <c r="E20" s="178" t="s">
        <v>3703</v>
      </c>
      <c r="F20" s="178" t="s">
        <v>3704</v>
      </c>
      <c r="G20" s="178" t="s">
        <v>2685</v>
      </c>
      <c r="H20" s="178" t="s">
        <v>3705</v>
      </c>
      <c r="I20" s="178" t="s">
        <v>2655</v>
      </c>
      <c r="J20" s="354">
        <v>8</v>
      </c>
      <c r="K20" s="178" t="s">
        <v>41</v>
      </c>
      <c r="L20" s="388"/>
    </row>
    <row r="21" spans="1:12" ht="15.8" customHeight="1" x14ac:dyDescent="0.2">
      <c r="A21" s="179" t="s">
        <v>51</v>
      </c>
      <c r="B21" s="178" t="s">
        <v>52</v>
      </c>
      <c r="C21" s="587"/>
      <c r="D21" s="45">
        <v>45302</v>
      </c>
      <c r="E21" s="178" t="s">
        <v>3706</v>
      </c>
      <c r="F21" s="178" t="s">
        <v>3707</v>
      </c>
      <c r="G21" s="178" t="s">
        <v>135</v>
      </c>
      <c r="H21" s="178" t="s">
        <v>2538</v>
      </c>
      <c r="I21" s="178" t="s">
        <v>3708</v>
      </c>
      <c r="J21" s="354">
        <v>5</v>
      </c>
      <c r="K21" s="178" t="s">
        <v>1075</v>
      </c>
      <c r="L21" s="388"/>
    </row>
    <row r="22" spans="1:12" ht="15.8" customHeight="1" x14ac:dyDescent="0.2">
      <c r="A22" s="179" t="s">
        <v>35</v>
      </c>
      <c r="B22" s="178" t="s">
        <v>29</v>
      </c>
      <c r="C22" s="587"/>
      <c r="D22" s="45">
        <v>45304</v>
      </c>
      <c r="E22" s="178" t="s">
        <v>884</v>
      </c>
      <c r="F22" s="178" t="s">
        <v>3709</v>
      </c>
      <c r="G22" s="178" t="s">
        <v>2685</v>
      </c>
      <c r="H22" s="178" t="s">
        <v>993</v>
      </c>
      <c r="I22" s="178" t="s">
        <v>3710</v>
      </c>
      <c r="J22" s="354">
        <v>5</v>
      </c>
      <c r="K22" s="178" t="s">
        <v>41</v>
      </c>
      <c r="L22" s="388"/>
    </row>
    <row r="23" spans="1:12" ht="15.8" customHeight="1" x14ac:dyDescent="0.2">
      <c r="A23" s="179" t="s">
        <v>10</v>
      </c>
      <c r="B23" s="178" t="s">
        <v>2163</v>
      </c>
      <c r="C23" s="587"/>
      <c r="D23" s="45">
        <v>45305</v>
      </c>
      <c r="E23" s="178" t="s">
        <v>3711</v>
      </c>
      <c r="F23" s="178" t="s">
        <v>222</v>
      </c>
      <c r="G23" s="178" t="s">
        <v>222</v>
      </c>
      <c r="H23" s="178" t="s">
        <v>3712</v>
      </c>
      <c r="I23" s="354">
        <v>0</v>
      </c>
      <c r="J23" s="354">
        <v>5</v>
      </c>
      <c r="K23" s="178" t="s">
        <v>1075</v>
      </c>
      <c r="L23" s="388"/>
    </row>
    <row r="24" spans="1:12" ht="15.8" customHeight="1" x14ac:dyDescent="0.2">
      <c r="A24" s="179" t="s">
        <v>10</v>
      </c>
      <c r="B24" s="178" t="s">
        <v>29</v>
      </c>
      <c r="C24" s="587"/>
      <c r="D24" s="45">
        <v>45305</v>
      </c>
      <c r="E24" s="178" t="s">
        <v>3713</v>
      </c>
      <c r="F24" s="178" t="s">
        <v>3714</v>
      </c>
      <c r="G24" s="178" t="s">
        <v>27</v>
      </c>
      <c r="H24" s="178" t="s">
        <v>3715</v>
      </c>
      <c r="I24" s="354">
        <v>0</v>
      </c>
      <c r="J24" s="354">
        <v>3</v>
      </c>
      <c r="K24" s="178" t="s">
        <v>192</v>
      </c>
      <c r="L24" s="388"/>
    </row>
    <row r="25" spans="1:12" ht="15.8" customHeight="1" x14ac:dyDescent="0.2">
      <c r="A25" s="179" t="s">
        <v>35</v>
      </c>
      <c r="B25" s="178" t="s">
        <v>2164</v>
      </c>
      <c r="C25" s="587"/>
      <c r="D25" s="45">
        <v>45306</v>
      </c>
      <c r="E25" s="178" t="s">
        <v>537</v>
      </c>
      <c r="F25" s="178" t="s">
        <v>3716</v>
      </c>
      <c r="G25" s="178" t="s">
        <v>97</v>
      </c>
      <c r="H25" s="178" t="s">
        <v>3717</v>
      </c>
      <c r="I25" s="354">
        <v>0</v>
      </c>
      <c r="J25" s="354">
        <v>5</v>
      </c>
      <c r="K25" s="178" t="s">
        <v>99</v>
      </c>
      <c r="L25" s="388"/>
    </row>
    <row r="26" spans="1:12" ht="15.8" customHeight="1" x14ac:dyDescent="0.2">
      <c r="A26" s="179" t="s">
        <v>10</v>
      </c>
      <c r="B26" s="178" t="s">
        <v>11</v>
      </c>
      <c r="C26" s="587"/>
      <c r="D26" s="45">
        <v>45307</v>
      </c>
      <c r="E26" s="178" t="s">
        <v>1306</v>
      </c>
      <c r="F26" s="178" t="s">
        <v>3718</v>
      </c>
      <c r="G26" s="178" t="s">
        <v>76</v>
      </c>
      <c r="H26" s="178" t="s">
        <v>3719</v>
      </c>
      <c r="I26" s="354">
        <v>0</v>
      </c>
      <c r="J26" s="354">
        <v>3</v>
      </c>
      <c r="K26" s="178" t="s">
        <v>192</v>
      </c>
      <c r="L26" s="388"/>
    </row>
    <row r="27" spans="1:12" ht="15.8" customHeight="1" x14ac:dyDescent="0.2">
      <c r="A27" s="179" t="s">
        <v>35</v>
      </c>
      <c r="B27" s="178" t="s">
        <v>2164</v>
      </c>
      <c r="C27" s="587"/>
      <c r="D27" s="45">
        <v>45306</v>
      </c>
      <c r="E27" s="178" t="s">
        <v>1404</v>
      </c>
      <c r="F27" s="178" t="s">
        <v>1568</v>
      </c>
      <c r="G27" s="178" t="s">
        <v>1568</v>
      </c>
      <c r="H27" s="178" t="s">
        <v>3720</v>
      </c>
      <c r="I27" s="178" t="s">
        <v>3721</v>
      </c>
      <c r="J27" s="354">
        <v>5</v>
      </c>
      <c r="K27" s="178" t="s">
        <v>455</v>
      </c>
      <c r="L27" s="388"/>
    </row>
    <row r="28" spans="1:12" ht="15.8" customHeight="1" x14ac:dyDescent="0.2">
      <c r="A28" s="179" t="s">
        <v>10</v>
      </c>
      <c r="B28" s="178" t="s">
        <v>188</v>
      </c>
      <c r="C28" s="587"/>
      <c r="D28" s="45">
        <v>45308</v>
      </c>
      <c r="E28" s="178" t="s">
        <v>305</v>
      </c>
      <c r="F28" s="178" t="s">
        <v>1204</v>
      </c>
      <c r="G28" s="178" t="s">
        <v>139</v>
      </c>
      <c r="H28" s="178" t="s">
        <v>3722</v>
      </c>
      <c r="I28" s="354">
        <v>0</v>
      </c>
      <c r="J28" s="354">
        <v>2</v>
      </c>
      <c r="K28" s="178" t="s">
        <v>424</v>
      </c>
      <c r="L28" s="388"/>
    </row>
    <row r="29" spans="1:12" ht="15.8" customHeight="1" x14ac:dyDescent="0.2">
      <c r="A29" s="179" t="s">
        <v>51</v>
      </c>
      <c r="B29" s="178" t="s">
        <v>52</v>
      </c>
      <c r="C29" s="587"/>
      <c r="D29" s="45">
        <v>45308</v>
      </c>
      <c r="E29" s="178" t="s">
        <v>112</v>
      </c>
      <c r="F29" s="178" t="s">
        <v>3723</v>
      </c>
      <c r="G29" s="178" t="s">
        <v>307</v>
      </c>
      <c r="H29" s="178" t="s">
        <v>3724</v>
      </c>
      <c r="I29" s="354">
        <v>0</v>
      </c>
      <c r="J29" s="354">
        <v>3</v>
      </c>
      <c r="K29" s="178" t="s">
        <v>192</v>
      </c>
      <c r="L29" s="388"/>
    </row>
    <row r="30" spans="1:12" ht="15.8" customHeight="1" x14ac:dyDescent="0.2">
      <c r="A30" s="179" t="s">
        <v>51</v>
      </c>
      <c r="B30" s="178" t="s">
        <v>52</v>
      </c>
      <c r="C30" s="587"/>
      <c r="D30" s="45">
        <v>45309</v>
      </c>
      <c r="E30" s="44" t="s">
        <v>3730</v>
      </c>
      <c r="F30" s="44" t="s">
        <v>3731</v>
      </c>
      <c r="G30" s="44"/>
      <c r="H30" s="44" t="s">
        <v>3732</v>
      </c>
      <c r="I30" s="44" t="s">
        <v>167</v>
      </c>
      <c r="J30" s="44">
        <v>3</v>
      </c>
      <c r="K30" s="44" t="s">
        <v>192</v>
      </c>
      <c r="L30" s="388"/>
    </row>
    <row r="31" spans="1:12" ht="15.8" customHeight="1" x14ac:dyDescent="0.2">
      <c r="A31" s="179" t="s">
        <v>17</v>
      </c>
      <c r="B31" s="178" t="s">
        <v>2162</v>
      </c>
      <c r="C31" s="587"/>
      <c r="D31" s="45">
        <v>45310</v>
      </c>
      <c r="E31" s="44" t="s">
        <v>57</v>
      </c>
      <c r="F31" s="44" t="s">
        <v>1195</v>
      </c>
      <c r="G31" s="44"/>
      <c r="H31" s="44" t="s">
        <v>3733</v>
      </c>
      <c r="I31" s="44" t="s">
        <v>167</v>
      </c>
      <c r="J31" s="44">
        <v>2</v>
      </c>
      <c r="K31" s="44" t="s">
        <v>50</v>
      </c>
      <c r="L31" s="388"/>
    </row>
    <row r="32" spans="1:12" ht="15.8" customHeight="1" x14ac:dyDescent="0.2">
      <c r="A32" s="179" t="s">
        <v>10</v>
      </c>
      <c r="B32" s="178" t="s">
        <v>29</v>
      </c>
      <c r="C32" s="587"/>
      <c r="D32" s="45">
        <v>45310</v>
      </c>
      <c r="E32" s="44" t="s">
        <v>37</v>
      </c>
      <c r="F32" s="44" t="s">
        <v>3734</v>
      </c>
      <c r="G32" s="44" t="s">
        <v>3735</v>
      </c>
      <c r="H32" s="44" t="s">
        <v>3736</v>
      </c>
      <c r="I32" s="44" t="s">
        <v>2655</v>
      </c>
      <c r="J32" s="44">
        <v>5</v>
      </c>
      <c r="K32" s="44" t="s">
        <v>50</v>
      </c>
      <c r="L32" s="388"/>
    </row>
    <row r="33" spans="1:12" ht="15.8" customHeight="1" x14ac:dyDescent="0.2">
      <c r="A33" s="179" t="s">
        <v>17</v>
      </c>
      <c r="B33" s="178" t="s">
        <v>2162</v>
      </c>
      <c r="C33" s="587"/>
      <c r="D33" s="45">
        <v>45310</v>
      </c>
      <c r="E33" s="44" t="s">
        <v>3737</v>
      </c>
      <c r="F33" s="44" t="s">
        <v>3738</v>
      </c>
      <c r="G33" s="44" t="s">
        <v>27</v>
      </c>
      <c r="H33" s="44" t="s">
        <v>3739</v>
      </c>
      <c r="I33" s="44" t="s">
        <v>2655</v>
      </c>
      <c r="J33" s="44">
        <v>2</v>
      </c>
      <c r="K33" s="44" t="s">
        <v>50</v>
      </c>
      <c r="L33" s="388"/>
    </row>
    <row r="34" spans="1:12" ht="15.8" customHeight="1" x14ac:dyDescent="0.2">
      <c r="A34" s="179" t="s">
        <v>51</v>
      </c>
      <c r="B34" s="178" t="s">
        <v>2164</v>
      </c>
      <c r="C34" s="587"/>
      <c r="D34" s="45">
        <v>45312</v>
      </c>
      <c r="E34" s="362">
        <v>0.10277777777777779</v>
      </c>
      <c r="F34" s="44" t="s">
        <v>3740</v>
      </c>
      <c r="G34" s="44" t="s">
        <v>1876</v>
      </c>
      <c r="H34" s="44" t="s">
        <v>52</v>
      </c>
      <c r="I34" s="44" t="s">
        <v>3741</v>
      </c>
      <c r="J34" s="44">
        <v>7</v>
      </c>
      <c r="K34" s="44" t="s">
        <v>1094</v>
      </c>
      <c r="L34" s="388"/>
    </row>
    <row r="35" spans="1:12" ht="15.8" customHeight="1" x14ac:dyDescent="0.2">
      <c r="A35" s="179" t="s">
        <v>159</v>
      </c>
      <c r="B35" s="178" t="s">
        <v>2164</v>
      </c>
      <c r="C35" s="587"/>
      <c r="D35" s="45">
        <v>45313</v>
      </c>
      <c r="E35" s="44" t="s">
        <v>3742</v>
      </c>
      <c r="F35" s="44" t="s">
        <v>3743</v>
      </c>
      <c r="G35" s="44" t="s">
        <v>3744</v>
      </c>
      <c r="H35" s="44" t="s">
        <v>3745</v>
      </c>
      <c r="I35" s="44" t="s">
        <v>2655</v>
      </c>
      <c r="J35" s="44">
        <v>5</v>
      </c>
      <c r="K35" s="44" t="s">
        <v>50</v>
      </c>
      <c r="L35" s="388"/>
    </row>
    <row r="36" spans="1:12" ht="15.8" customHeight="1" x14ac:dyDescent="0.2">
      <c r="A36" s="179" t="s">
        <v>51</v>
      </c>
      <c r="B36" s="178" t="s">
        <v>52</v>
      </c>
      <c r="C36" s="587"/>
      <c r="D36" s="45">
        <v>45313</v>
      </c>
      <c r="E36" s="44" t="s">
        <v>37</v>
      </c>
      <c r="F36" s="44" t="s">
        <v>3746</v>
      </c>
      <c r="G36" s="44" t="s">
        <v>1866</v>
      </c>
      <c r="H36" s="44" t="s">
        <v>3747</v>
      </c>
      <c r="I36" s="363">
        <v>45323</v>
      </c>
      <c r="J36" s="44">
        <v>2</v>
      </c>
      <c r="K36" s="44" t="s">
        <v>192</v>
      </c>
      <c r="L36" s="388"/>
    </row>
    <row r="37" spans="1:12" ht="15.8" customHeight="1" x14ac:dyDescent="0.2">
      <c r="A37" s="179" t="s">
        <v>10</v>
      </c>
      <c r="B37" s="178" t="s">
        <v>29</v>
      </c>
      <c r="C37" s="587"/>
      <c r="D37" s="45">
        <v>45313</v>
      </c>
      <c r="E37" s="44" t="s">
        <v>1728</v>
      </c>
      <c r="F37" s="44" t="s">
        <v>3748</v>
      </c>
      <c r="G37" s="44" t="s">
        <v>27</v>
      </c>
      <c r="H37" s="44" t="s">
        <v>3749</v>
      </c>
      <c r="I37" s="44" t="s">
        <v>2655</v>
      </c>
      <c r="J37" s="44">
        <v>4</v>
      </c>
      <c r="K37" s="44" t="s">
        <v>34</v>
      </c>
      <c r="L37" s="388"/>
    </row>
    <row r="38" spans="1:12" ht="15.8" customHeight="1" x14ac:dyDescent="0.2">
      <c r="A38" s="179" t="s">
        <v>51</v>
      </c>
      <c r="B38" s="178" t="s">
        <v>52</v>
      </c>
      <c r="C38" s="587"/>
      <c r="D38" s="45">
        <v>45314</v>
      </c>
      <c r="E38" s="44" t="s">
        <v>3750</v>
      </c>
      <c r="F38" s="44" t="s">
        <v>173</v>
      </c>
      <c r="G38" s="44" t="s">
        <v>3751</v>
      </c>
      <c r="H38" s="44" t="s">
        <v>3752</v>
      </c>
      <c r="I38" s="44" t="s">
        <v>3753</v>
      </c>
      <c r="J38" s="44">
        <v>6</v>
      </c>
      <c r="K38" s="44" t="s">
        <v>99</v>
      </c>
      <c r="L38" s="388"/>
    </row>
    <row r="39" spans="1:12" ht="15.8" customHeight="1" x14ac:dyDescent="0.2">
      <c r="A39" s="179" t="s">
        <v>51</v>
      </c>
      <c r="B39" s="178" t="s">
        <v>52</v>
      </c>
      <c r="C39" s="587"/>
      <c r="D39" s="45">
        <v>45314</v>
      </c>
      <c r="E39" s="44" t="s">
        <v>3754</v>
      </c>
      <c r="F39" s="44" t="s">
        <v>3755</v>
      </c>
      <c r="G39" s="44" t="s">
        <v>1876</v>
      </c>
      <c r="H39" s="44" t="s">
        <v>2466</v>
      </c>
      <c r="I39" s="44" t="s">
        <v>3741</v>
      </c>
      <c r="J39" s="44">
        <v>3</v>
      </c>
      <c r="K39" s="44" t="s">
        <v>192</v>
      </c>
      <c r="L39" s="388"/>
    </row>
    <row r="40" spans="1:12" ht="15.8" customHeight="1" x14ac:dyDescent="0.2">
      <c r="A40" s="179" t="s">
        <v>51</v>
      </c>
      <c r="B40" s="178" t="s">
        <v>52</v>
      </c>
      <c r="C40" s="587"/>
      <c r="D40" s="45">
        <v>45314</v>
      </c>
      <c r="E40" s="44" t="s">
        <v>3756</v>
      </c>
      <c r="F40" s="44" t="s">
        <v>345</v>
      </c>
      <c r="G40" s="44" t="s">
        <v>1589</v>
      </c>
      <c r="H40" s="44" t="s">
        <v>3757</v>
      </c>
      <c r="I40" s="44" t="s">
        <v>3758</v>
      </c>
      <c r="J40" s="44">
        <v>14</v>
      </c>
      <c r="K40" s="44" t="s">
        <v>3759</v>
      </c>
      <c r="L40" s="388"/>
    </row>
    <row r="41" spans="1:12" ht="15.8" customHeight="1" x14ac:dyDescent="0.2">
      <c r="A41" s="179" t="s">
        <v>146</v>
      </c>
      <c r="B41" s="178" t="s">
        <v>11</v>
      </c>
      <c r="C41" s="587"/>
      <c r="D41" s="45">
        <v>45315</v>
      </c>
      <c r="E41" s="44" t="s">
        <v>37</v>
      </c>
      <c r="F41" s="44" t="s">
        <v>3760</v>
      </c>
      <c r="G41" s="44" t="s">
        <v>3761</v>
      </c>
      <c r="H41" s="44" t="s">
        <v>3762</v>
      </c>
      <c r="I41" s="44" t="s">
        <v>2655</v>
      </c>
      <c r="J41" s="44">
        <v>4</v>
      </c>
      <c r="K41" s="44" t="s">
        <v>1075</v>
      </c>
      <c r="L41" s="388"/>
    </row>
    <row r="42" spans="1:12" ht="15.8" customHeight="1" x14ac:dyDescent="0.2">
      <c r="A42" s="179" t="s">
        <v>17</v>
      </c>
      <c r="B42" s="178" t="s">
        <v>24</v>
      </c>
      <c r="C42" s="587"/>
      <c r="D42" s="45">
        <v>45315</v>
      </c>
      <c r="E42" s="44" t="s">
        <v>3763</v>
      </c>
      <c r="F42" s="44" t="s">
        <v>3764</v>
      </c>
      <c r="G42" s="44" t="s">
        <v>831</v>
      </c>
      <c r="H42" s="44" t="s">
        <v>1809</v>
      </c>
      <c r="I42" s="44" t="s">
        <v>2655</v>
      </c>
      <c r="J42" s="44">
        <v>1</v>
      </c>
      <c r="K42" s="44" t="s">
        <v>23</v>
      </c>
      <c r="L42" s="388"/>
    </row>
    <row r="43" spans="1:12" ht="15.8" customHeight="1" x14ac:dyDescent="0.2">
      <c r="A43" s="179" t="s">
        <v>51</v>
      </c>
      <c r="B43" s="178" t="s">
        <v>52</v>
      </c>
      <c r="C43" s="587"/>
      <c r="D43" s="45">
        <v>45318</v>
      </c>
      <c r="E43" s="44" t="s">
        <v>3756</v>
      </c>
      <c r="F43" s="44" t="s">
        <v>217</v>
      </c>
      <c r="G43" s="44" t="s">
        <v>217</v>
      </c>
      <c r="H43" s="44" t="s">
        <v>3765</v>
      </c>
      <c r="I43" s="44" t="s">
        <v>3741</v>
      </c>
      <c r="J43" s="44">
        <v>6</v>
      </c>
      <c r="K43" s="44" t="s">
        <v>1094</v>
      </c>
      <c r="L43" s="388"/>
    </row>
    <row r="44" spans="1:12" ht="15.8" customHeight="1" x14ac:dyDescent="0.2">
      <c r="A44" s="179" t="s">
        <v>159</v>
      </c>
      <c r="B44" s="178" t="s">
        <v>2164</v>
      </c>
      <c r="C44" s="587"/>
      <c r="D44" s="45">
        <v>45319</v>
      </c>
      <c r="E44" s="44" t="s">
        <v>2001</v>
      </c>
      <c r="F44" s="44" t="s">
        <v>173</v>
      </c>
      <c r="G44" s="44" t="s">
        <v>3766</v>
      </c>
      <c r="H44" s="44" t="s">
        <v>3767</v>
      </c>
      <c r="I44" s="44" t="s">
        <v>3768</v>
      </c>
      <c r="J44" s="44">
        <v>7</v>
      </c>
      <c r="K44" s="44" t="s">
        <v>2186</v>
      </c>
      <c r="L44" s="388"/>
    </row>
    <row r="45" spans="1:12" ht="15.8" customHeight="1" x14ac:dyDescent="0.2">
      <c r="A45" s="179" t="s">
        <v>51</v>
      </c>
      <c r="B45" s="178" t="s">
        <v>52</v>
      </c>
      <c r="C45" s="587"/>
      <c r="D45" s="45">
        <v>45319</v>
      </c>
      <c r="E45" s="44" t="s">
        <v>3769</v>
      </c>
      <c r="F45" s="44" t="s">
        <v>3770</v>
      </c>
      <c r="G45" s="44" t="s">
        <v>441</v>
      </c>
      <c r="H45" s="44" t="s">
        <v>3771</v>
      </c>
      <c r="I45" s="44" t="s">
        <v>3741</v>
      </c>
      <c r="J45" s="44">
        <v>2</v>
      </c>
      <c r="K45" s="44" t="s">
        <v>192</v>
      </c>
      <c r="L45" s="388"/>
    </row>
    <row r="46" spans="1:12" ht="15.8" customHeight="1" x14ac:dyDescent="0.2">
      <c r="A46" s="179" t="s">
        <v>17</v>
      </c>
      <c r="B46" s="178" t="s">
        <v>24</v>
      </c>
      <c r="C46" s="587"/>
      <c r="D46" s="45">
        <v>45320</v>
      </c>
      <c r="E46" s="44" t="s">
        <v>3772</v>
      </c>
      <c r="F46" s="44" t="s">
        <v>3773</v>
      </c>
      <c r="G46" s="44" t="s">
        <v>76</v>
      </c>
      <c r="H46" s="44" t="s">
        <v>17</v>
      </c>
      <c r="I46" s="44" t="s">
        <v>3768</v>
      </c>
      <c r="J46" s="44">
        <v>1</v>
      </c>
      <c r="K46" s="44" t="s">
        <v>23</v>
      </c>
      <c r="L46" s="388"/>
    </row>
    <row r="47" spans="1:12" ht="15.8" customHeight="1" x14ac:dyDescent="0.2">
      <c r="A47" s="179" t="s">
        <v>35</v>
      </c>
      <c r="B47" s="178" t="s">
        <v>2164</v>
      </c>
      <c r="C47" s="587"/>
      <c r="D47" s="45">
        <v>45320</v>
      </c>
      <c r="E47" s="44" t="s">
        <v>37</v>
      </c>
      <c r="F47" s="44" t="s">
        <v>636</v>
      </c>
      <c r="G47" s="44" t="s">
        <v>76</v>
      </c>
      <c r="H47" s="44" t="s">
        <v>3774</v>
      </c>
      <c r="I47" s="44" t="s">
        <v>3768</v>
      </c>
      <c r="J47" s="44">
        <v>3</v>
      </c>
      <c r="K47" s="44" t="s">
        <v>50</v>
      </c>
      <c r="L47" s="388"/>
    </row>
    <row r="48" spans="1:12" ht="15.8" customHeight="1" x14ac:dyDescent="0.2">
      <c r="A48" s="179" t="s">
        <v>146</v>
      </c>
      <c r="B48" s="178" t="s">
        <v>11</v>
      </c>
      <c r="C48" s="587"/>
      <c r="D48" s="45">
        <v>45321</v>
      </c>
      <c r="E48" s="44" t="s">
        <v>3775</v>
      </c>
      <c r="F48" s="44" t="s">
        <v>3776</v>
      </c>
      <c r="G48" s="44" t="s">
        <v>441</v>
      </c>
      <c r="H48" s="44" t="s">
        <v>2032</v>
      </c>
      <c r="I48" s="44" t="s">
        <v>3768</v>
      </c>
      <c r="J48" s="44">
        <v>6</v>
      </c>
      <c r="K48" s="44" t="s">
        <v>1075</v>
      </c>
      <c r="L48" s="388"/>
    </row>
    <row r="49" spans="1:12" ht="15.8" customHeight="1" x14ac:dyDescent="0.2">
      <c r="A49" s="179" t="s">
        <v>10</v>
      </c>
      <c r="B49" s="178" t="s">
        <v>29</v>
      </c>
      <c r="C49" s="587"/>
      <c r="D49" s="45">
        <v>45322</v>
      </c>
      <c r="E49" s="44" t="s">
        <v>2339</v>
      </c>
      <c r="F49" s="44" t="s">
        <v>3777</v>
      </c>
      <c r="G49" s="44" t="s">
        <v>2194</v>
      </c>
      <c r="H49" s="44" t="s">
        <v>3778</v>
      </c>
      <c r="I49" s="44" t="s">
        <v>167</v>
      </c>
      <c r="J49" s="44">
        <v>2</v>
      </c>
      <c r="K49" s="44" t="s">
        <v>50</v>
      </c>
      <c r="L49" s="388"/>
    </row>
    <row r="50" spans="1:12" ht="15.8" customHeight="1" x14ac:dyDescent="0.2">
      <c r="A50" s="364" t="s">
        <v>130</v>
      </c>
      <c r="B50" s="361"/>
      <c r="C50" s="365"/>
      <c r="D50" s="98"/>
      <c r="E50" s="98"/>
      <c r="F50" s="98"/>
      <c r="G50" s="98"/>
      <c r="H50" s="98"/>
      <c r="I50" s="98"/>
      <c r="J50" s="98"/>
      <c r="K50" s="98"/>
      <c r="L50" s="425"/>
    </row>
    <row r="51" spans="1:12" ht="15.8" customHeight="1" x14ac:dyDescent="0.2">
      <c r="A51" s="178" t="s">
        <v>17</v>
      </c>
      <c r="B51" s="178" t="s">
        <v>24</v>
      </c>
      <c r="C51" s="572">
        <f>COUNTIF(B51:B105,C2)</f>
        <v>6</v>
      </c>
      <c r="D51" s="389">
        <v>45324</v>
      </c>
      <c r="E51" s="178" t="s">
        <v>3779</v>
      </c>
      <c r="F51" s="178" t="s">
        <v>3780</v>
      </c>
      <c r="G51" s="178" t="s">
        <v>85</v>
      </c>
      <c r="H51" s="178" t="s">
        <v>3781</v>
      </c>
      <c r="I51" s="178" t="s">
        <v>3768</v>
      </c>
      <c r="J51" s="178">
        <v>1</v>
      </c>
      <c r="K51" s="178" t="s">
        <v>23</v>
      </c>
      <c r="L51" s="178"/>
    </row>
    <row r="52" spans="1:12" ht="15.8" customHeight="1" x14ac:dyDescent="0.2">
      <c r="A52" s="178" t="s">
        <v>17</v>
      </c>
      <c r="B52" s="178" t="s">
        <v>24</v>
      </c>
      <c r="C52" s="573"/>
      <c r="D52" s="389">
        <v>45324</v>
      </c>
      <c r="E52" s="178" t="s">
        <v>3782</v>
      </c>
      <c r="F52" s="178" t="s">
        <v>3783</v>
      </c>
      <c r="G52" s="178" t="s">
        <v>76</v>
      </c>
      <c r="H52" s="178" t="s">
        <v>3784</v>
      </c>
      <c r="I52" s="178" t="s">
        <v>3768</v>
      </c>
      <c r="J52" s="178">
        <v>1</v>
      </c>
      <c r="K52" s="178" t="s">
        <v>23</v>
      </c>
      <c r="L52" s="178"/>
    </row>
    <row r="53" spans="1:12" ht="15.8" customHeight="1" x14ac:dyDescent="0.2">
      <c r="A53" s="178" t="s">
        <v>17</v>
      </c>
      <c r="B53" s="178" t="s">
        <v>24</v>
      </c>
      <c r="C53" s="573"/>
      <c r="D53" s="389">
        <v>45324</v>
      </c>
      <c r="E53" s="178" t="s">
        <v>37</v>
      </c>
      <c r="F53" s="178" t="s">
        <v>3785</v>
      </c>
      <c r="G53" s="178" t="s">
        <v>21</v>
      </c>
      <c r="H53" s="178" t="s">
        <v>1809</v>
      </c>
      <c r="I53" s="178" t="s">
        <v>3768</v>
      </c>
      <c r="J53" s="178">
        <v>1</v>
      </c>
      <c r="K53" s="178" t="s">
        <v>23</v>
      </c>
      <c r="L53" s="178"/>
    </row>
    <row r="54" spans="1:12" ht="15.8" customHeight="1" x14ac:dyDescent="0.2">
      <c r="A54" s="178" t="s">
        <v>268</v>
      </c>
      <c r="B54" s="178" t="s">
        <v>29</v>
      </c>
      <c r="C54" s="573"/>
      <c r="D54" s="389">
        <v>45326</v>
      </c>
      <c r="E54" s="178" t="s">
        <v>37</v>
      </c>
      <c r="F54" s="178" t="s">
        <v>3786</v>
      </c>
      <c r="G54" s="178" t="s">
        <v>95</v>
      </c>
      <c r="H54" s="178" t="s">
        <v>3787</v>
      </c>
      <c r="I54" s="178">
        <v>0</v>
      </c>
      <c r="J54" s="178">
        <v>4</v>
      </c>
      <c r="K54" s="178" t="s">
        <v>34</v>
      </c>
      <c r="L54" s="178"/>
    </row>
    <row r="55" spans="1:12" ht="15.8" customHeight="1" x14ac:dyDescent="0.2">
      <c r="A55" s="178" t="s">
        <v>10</v>
      </c>
      <c r="B55" s="178" t="s">
        <v>29</v>
      </c>
      <c r="C55" s="573"/>
      <c r="D55" s="389">
        <v>45326</v>
      </c>
      <c r="E55" s="178" t="s">
        <v>3763</v>
      </c>
      <c r="F55" s="178" t="s">
        <v>3788</v>
      </c>
      <c r="G55" s="178" t="s">
        <v>95</v>
      </c>
      <c r="H55" s="178" t="s">
        <v>29</v>
      </c>
      <c r="I55" s="178" t="s">
        <v>3768</v>
      </c>
      <c r="J55" s="178">
        <v>3</v>
      </c>
      <c r="K55" s="178" t="s">
        <v>34</v>
      </c>
      <c r="L55" s="178"/>
    </row>
    <row r="56" spans="1:12" ht="15.8" customHeight="1" x14ac:dyDescent="0.2">
      <c r="A56" s="178" t="s">
        <v>35</v>
      </c>
      <c r="B56" s="178" t="s">
        <v>2164</v>
      </c>
      <c r="C56" s="573"/>
      <c r="D56" s="389">
        <v>45327</v>
      </c>
      <c r="E56" s="178" t="s">
        <v>800</v>
      </c>
      <c r="F56" s="178" t="s">
        <v>62</v>
      </c>
      <c r="G56" s="178"/>
      <c r="H56" s="178" t="s">
        <v>3789</v>
      </c>
      <c r="I56" s="178" t="s">
        <v>167</v>
      </c>
      <c r="J56" s="178">
        <v>13</v>
      </c>
      <c r="K56" s="178" t="s">
        <v>3790</v>
      </c>
      <c r="L56" s="178"/>
    </row>
    <row r="57" spans="1:12" ht="15.8" customHeight="1" x14ac:dyDescent="0.2">
      <c r="A57" s="178" t="s">
        <v>10</v>
      </c>
      <c r="B57" s="178" t="s">
        <v>2161</v>
      </c>
      <c r="C57" s="573"/>
      <c r="D57" s="389">
        <v>45327</v>
      </c>
      <c r="E57" s="178" t="s">
        <v>57</v>
      </c>
      <c r="F57" s="178" t="s">
        <v>3791</v>
      </c>
      <c r="G57" s="178" t="s">
        <v>173</v>
      </c>
      <c r="H57" s="178" t="s">
        <v>3792</v>
      </c>
      <c r="I57" s="178" t="s">
        <v>167</v>
      </c>
      <c r="J57" s="178">
        <v>3</v>
      </c>
      <c r="K57" s="178" t="s">
        <v>78</v>
      </c>
      <c r="L57" s="178"/>
    </row>
    <row r="58" spans="1:12" ht="15.8" customHeight="1" x14ac:dyDescent="0.2">
      <c r="A58" s="178" t="s">
        <v>35</v>
      </c>
      <c r="B58" s="178" t="s">
        <v>2164</v>
      </c>
      <c r="C58" s="573"/>
      <c r="D58" s="389">
        <v>45328</v>
      </c>
      <c r="E58" s="178" t="s">
        <v>91</v>
      </c>
      <c r="F58" s="178" t="s">
        <v>3793</v>
      </c>
      <c r="G58" s="178" t="s">
        <v>446</v>
      </c>
      <c r="H58" s="178" t="s">
        <v>3794</v>
      </c>
      <c r="I58" s="178" t="s">
        <v>167</v>
      </c>
      <c r="J58" s="178">
        <v>4</v>
      </c>
      <c r="K58" s="178" t="s">
        <v>50</v>
      </c>
      <c r="L58" s="178"/>
    </row>
    <row r="59" spans="1:12" ht="15.8" customHeight="1" x14ac:dyDescent="0.2">
      <c r="A59" s="178" t="s">
        <v>10</v>
      </c>
      <c r="B59" s="178" t="s">
        <v>2162</v>
      </c>
      <c r="C59" s="573"/>
      <c r="D59" s="389">
        <v>45329</v>
      </c>
      <c r="E59" s="178" t="s">
        <v>72</v>
      </c>
      <c r="F59" s="178" t="s">
        <v>3795</v>
      </c>
      <c r="G59" s="178"/>
      <c r="H59" s="178" t="s">
        <v>3796</v>
      </c>
      <c r="I59" s="178" t="s">
        <v>167</v>
      </c>
      <c r="J59" s="178">
        <v>2</v>
      </c>
      <c r="K59" s="178" t="s">
        <v>78</v>
      </c>
      <c r="L59" s="178"/>
    </row>
    <row r="60" spans="1:12" ht="15.8" customHeight="1" x14ac:dyDescent="0.2">
      <c r="A60" s="178" t="s">
        <v>51</v>
      </c>
      <c r="B60" s="178" t="s">
        <v>52</v>
      </c>
      <c r="C60" s="573"/>
      <c r="D60" s="389">
        <v>45329</v>
      </c>
      <c r="E60" s="178" t="s">
        <v>72</v>
      </c>
      <c r="F60" s="178" t="s">
        <v>441</v>
      </c>
      <c r="G60" s="178" t="s">
        <v>441</v>
      </c>
      <c r="H60" s="178" t="s">
        <v>3797</v>
      </c>
      <c r="I60" s="178" t="s">
        <v>3798</v>
      </c>
      <c r="J60" s="178">
        <v>5</v>
      </c>
      <c r="K60" s="178" t="s">
        <v>1094</v>
      </c>
      <c r="L60" s="178"/>
    </row>
    <row r="61" spans="1:12" ht="15.8" customHeight="1" x14ac:dyDescent="0.2">
      <c r="A61" s="178" t="s">
        <v>17</v>
      </c>
      <c r="B61" s="178" t="s">
        <v>24</v>
      </c>
      <c r="C61" s="573"/>
      <c r="D61" s="389">
        <v>45330</v>
      </c>
      <c r="E61" s="178" t="s">
        <v>3799</v>
      </c>
      <c r="F61" s="178" t="s">
        <v>3800</v>
      </c>
      <c r="G61" s="178"/>
      <c r="H61" s="178" t="s">
        <v>28</v>
      </c>
      <c r="I61" s="178" t="s">
        <v>167</v>
      </c>
      <c r="J61" s="178">
        <v>1</v>
      </c>
      <c r="K61" s="178" t="s">
        <v>23</v>
      </c>
      <c r="L61" s="178"/>
    </row>
    <row r="62" spans="1:12" ht="15.8" customHeight="1" x14ac:dyDescent="0.2">
      <c r="A62" s="178" t="s">
        <v>17</v>
      </c>
      <c r="B62" s="178" t="s">
        <v>24</v>
      </c>
      <c r="C62" s="573"/>
      <c r="D62" s="389">
        <v>45330</v>
      </c>
      <c r="E62" s="178" t="s">
        <v>3799</v>
      </c>
      <c r="F62" s="178" t="s">
        <v>3801</v>
      </c>
      <c r="G62" s="178"/>
      <c r="H62" s="178" t="s">
        <v>28</v>
      </c>
      <c r="I62" s="178" t="s">
        <v>167</v>
      </c>
      <c r="J62" s="178">
        <v>1</v>
      </c>
      <c r="K62" s="178" t="s">
        <v>23</v>
      </c>
      <c r="L62" s="178"/>
    </row>
    <row r="63" spans="1:12" ht="15.8" customHeight="1" x14ac:dyDescent="0.2">
      <c r="A63" s="178" t="s">
        <v>10</v>
      </c>
      <c r="B63" s="178" t="s">
        <v>29</v>
      </c>
      <c r="C63" s="573"/>
      <c r="D63" s="389">
        <v>45330</v>
      </c>
      <c r="E63" s="178" t="s">
        <v>112</v>
      </c>
      <c r="F63" s="178" t="s">
        <v>3802</v>
      </c>
      <c r="G63" s="178" t="s">
        <v>95</v>
      </c>
      <c r="H63" s="178" t="s">
        <v>3803</v>
      </c>
      <c r="I63" s="178">
        <v>0</v>
      </c>
      <c r="J63" s="178">
        <v>3</v>
      </c>
      <c r="K63" s="178" t="s">
        <v>50</v>
      </c>
      <c r="L63" s="178"/>
    </row>
    <row r="64" spans="1:12" ht="15.8" customHeight="1" x14ac:dyDescent="0.2">
      <c r="A64" s="178" t="s">
        <v>10</v>
      </c>
      <c r="B64" s="178" t="s">
        <v>29</v>
      </c>
      <c r="C64" s="573"/>
      <c r="D64" s="389">
        <v>45331</v>
      </c>
      <c r="E64" s="178" t="s">
        <v>57</v>
      </c>
      <c r="F64" s="178" t="s">
        <v>3804</v>
      </c>
      <c r="G64" s="178" t="s">
        <v>449</v>
      </c>
      <c r="H64" s="178" t="s">
        <v>993</v>
      </c>
      <c r="I64" s="178" t="s">
        <v>167</v>
      </c>
      <c r="J64" s="178">
        <v>8</v>
      </c>
      <c r="K64" s="178" t="s">
        <v>41</v>
      </c>
      <c r="L64" s="178"/>
    </row>
    <row r="65" spans="1:12" ht="15.8" customHeight="1" x14ac:dyDescent="0.2">
      <c r="A65" s="178" t="s">
        <v>10</v>
      </c>
      <c r="B65" s="178" t="s">
        <v>29</v>
      </c>
      <c r="C65" s="573"/>
      <c r="D65" s="389">
        <v>45332</v>
      </c>
      <c r="E65" s="178" t="s">
        <v>37</v>
      </c>
      <c r="F65" s="178" t="s">
        <v>3805</v>
      </c>
      <c r="G65" s="178" t="s">
        <v>501</v>
      </c>
      <c r="H65" s="178" t="s">
        <v>3806</v>
      </c>
      <c r="I65" s="178">
        <v>0</v>
      </c>
      <c r="J65" s="178">
        <v>4</v>
      </c>
      <c r="K65" s="178" t="s">
        <v>34</v>
      </c>
      <c r="L65" s="178"/>
    </row>
    <row r="66" spans="1:12" ht="15.8" customHeight="1" x14ac:dyDescent="0.2">
      <c r="A66" s="178" t="s">
        <v>10</v>
      </c>
      <c r="B66" s="178" t="s">
        <v>29</v>
      </c>
      <c r="C66" s="573"/>
      <c r="D66" s="389">
        <v>45332</v>
      </c>
      <c r="E66" s="178" t="s">
        <v>37</v>
      </c>
      <c r="F66" s="178" t="s">
        <v>3807</v>
      </c>
      <c r="G66" s="178" t="s">
        <v>95</v>
      </c>
      <c r="H66" s="178" t="s">
        <v>3808</v>
      </c>
      <c r="I66" s="178">
        <v>0</v>
      </c>
      <c r="J66" s="178">
        <v>4</v>
      </c>
      <c r="K66" s="178" t="s">
        <v>34</v>
      </c>
      <c r="L66" s="178"/>
    </row>
    <row r="67" spans="1:12" ht="15.8" customHeight="1" x14ac:dyDescent="0.2">
      <c r="A67" s="178" t="s">
        <v>51</v>
      </c>
      <c r="B67" s="178" t="s">
        <v>52</v>
      </c>
      <c r="C67" s="573"/>
      <c r="D67" s="389">
        <v>45332</v>
      </c>
      <c r="E67" s="178" t="s">
        <v>57</v>
      </c>
      <c r="F67" s="178" t="s">
        <v>3809</v>
      </c>
      <c r="G67" s="178"/>
      <c r="H67" s="178" t="s">
        <v>3810</v>
      </c>
      <c r="I67" s="178" t="s">
        <v>3811</v>
      </c>
      <c r="J67" s="178">
        <v>2</v>
      </c>
      <c r="K67" s="178" t="s">
        <v>192</v>
      </c>
      <c r="L67" s="178"/>
    </row>
    <row r="68" spans="1:12" ht="15.8" customHeight="1" x14ac:dyDescent="0.2">
      <c r="A68" s="178" t="s">
        <v>17</v>
      </c>
      <c r="B68" s="178" t="s">
        <v>24</v>
      </c>
      <c r="C68" s="573"/>
      <c r="D68" s="389">
        <v>45334</v>
      </c>
      <c r="E68" s="178" t="s">
        <v>3812</v>
      </c>
      <c r="F68" s="178" t="s">
        <v>3813</v>
      </c>
      <c r="G68" s="178" t="s">
        <v>39</v>
      </c>
      <c r="H68" s="178" t="s">
        <v>1809</v>
      </c>
      <c r="I68" s="178" t="s">
        <v>3768</v>
      </c>
      <c r="J68" s="178">
        <v>1</v>
      </c>
      <c r="K68" s="178" t="s">
        <v>23</v>
      </c>
      <c r="L68" s="178"/>
    </row>
    <row r="69" spans="1:12" ht="15.8" customHeight="1" x14ac:dyDescent="0.2">
      <c r="A69" s="178" t="s">
        <v>10</v>
      </c>
      <c r="B69" s="178" t="s">
        <v>29</v>
      </c>
      <c r="C69" s="573"/>
      <c r="D69" s="389">
        <v>45331</v>
      </c>
      <c r="E69" s="178" t="s">
        <v>37</v>
      </c>
      <c r="F69" s="178" t="s">
        <v>3805</v>
      </c>
      <c r="G69" s="178" t="s">
        <v>501</v>
      </c>
      <c r="H69" s="178" t="s">
        <v>581</v>
      </c>
      <c r="I69" s="178">
        <v>0</v>
      </c>
      <c r="J69" s="178">
        <v>3</v>
      </c>
      <c r="K69" s="178" t="s">
        <v>50</v>
      </c>
      <c r="L69" s="178"/>
    </row>
    <row r="70" spans="1:12" ht="15.8" customHeight="1" x14ac:dyDescent="0.2">
      <c r="A70" s="178" t="s">
        <v>10</v>
      </c>
      <c r="B70" s="178" t="s">
        <v>29</v>
      </c>
      <c r="C70" s="573"/>
      <c r="D70" s="389">
        <v>45335</v>
      </c>
      <c r="E70" s="178" t="s">
        <v>1306</v>
      </c>
      <c r="F70" s="178" t="s">
        <v>3814</v>
      </c>
      <c r="G70" s="178" t="s">
        <v>95</v>
      </c>
      <c r="H70" s="178" t="s">
        <v>3815</v>
      </c>
      <c r="I70" s="178">
        <v>0</v>
      </c>
      <c r="J70" s="178">
        <v>3</v>
      </c>
      <c r="K70" s="178" t="s">
        <v>192</v>
      </c>
      <c r="L70" s="178"/>
    </row>
    <row r="71" spans="1:12" ht="15.8" customHeight="1" x14ac:dyDescent="0.2">
      <c r="A71" s="178" t="s">
        <v>10</v>
      </c>
      <c r="B71" s="178" t="s">
        <v>29</v>
      </c>
      <c r="C71" s="573"/>
      <c r="D71" s="389">
        <v>45335</v>
      </c>
      <c r="E71" s="178" t="s">
        <v>1306</v>
      </c>
      <c r="F71" s="178" t="s">
        <v>3816</v>
      </c>
      <c r="G71" s="178" t="s">
        <v>2663</v>
      </c>
      <c r="H71" s="178" t="s">
        <v>3817</v>
      </c>
      <c r="I71" s="178">
        <v>0</v>
      </c>
      <c r="J71" s="178">
        <v>3</v>
      </c>
      <c r="K71" s="178" t="s">
        <v>192</v>
      </c>
      <c r="L71" s="178"/>
    </row>
    <row r="72" spans="1:12" ht="15.8" customHeight="1" x14ac:dyDescent="0.2">
      <c r="A72" s="178" t="s">
        <v>10</v>
      </c>
      <c r="B72" s="178" t="s">
        <v>2162</v>
      </c>
      <c r="C72" s="573"/>
      <c r="D72" s="389">
        <v>45336</v>
      </c>
      <c r="E72" s="178" t="s">
        <v>1306</v>
      </c>
      <c r="F72" s="178" t="s">
        <v>3818</v>
      </c>
      <c r="G72" s="178" t="s">
        <v>2176</v>
      </c>
      <c r="H72" s="178" t="s">
        <v>3819</v>
      </c>
      <c r="I72" s="178">
        <v>0</v>
      </c>
      <c r="J72" s="178">
        <v>5</v>
      </c>
      <c r="K72" s="178" t="s">
        <v>1075</v>
      </c>
      <c r="L72" s="178"/>
    </row>
    <row r="73" spans="1:12" ht="15.8" customHeight="1" x14ac:dyDescent="0.2">
      <c r="A73" s="178" t="s">
        <v>10</v>
      </c>
      <c r="B73" s="178" t="s">
        <v>29</v>
      </c>
      <c r="C73" s="573"/>
      <c r="D73" s="389">
        <v>45337</v>
      </c>
      <c r="E73" s="178" t="s">
        <v>37</v>
      </c>
      <c r="F73" s="178" t="s">
        <v>3820</v>
      </c>
      <c r="G73" s="178" t="s">
        <v>95</v>
      </c>
      <c r="H73" s="178" t="s">
        <v>3821</v>
      </c>
      <c r="I73" s="178">
        <v>0</v>
      </c>
      <c r="J73" s="178">
        <v>2</v>
      </c>
      <c r="K73" s="178" t="s">
        <v>192</v>
      </c>
      <c r="L73" s="178"/>
    </row>
    <row r="74" spans="1:12" ht="15.8" customHeight="1" x14ac:dyDescent="0.2">
      <c r="A74" s="178" t="s">
        <v>10</v>
      </c>
      <c r="B74" s="178" t="s">
        <v>11</v>
      </c>
      <c r="C74" s="573"/>
      <c r="D74" s="389">
        <v>45337</v>
      </c>
      <c r="E74" s="178" t="s">
        <v>1700</v>
      </c>
      <c r="F74" s="178" t="s">
        <v>3822</v>
      </c>
      <c r="G74" s="178" t="s">
        <v>1777</v>
      </c>
      <c r="H74" s="178" t="s">
        <v>3823</v>
      </c>
      <c r="I74" s="178" t="s">
        <v>3824</v>
      </c>
      <c r="J74" s="178">
        <v>3</v>
      </c>
      <c r="K74" s="178" t="s">
        <v>192</v>
      </c>
      <c r="L74" s="178"/>
    </row>
    <row r="75" spans="1:12" ht="15.8" customHeight="1" x14ac:dyDescent="0.2">
      <c r="A75" s="178" t="s">
        <v>17</v>
      </c>
      <c r="B75" s="178" t="s">
        <v>24</v>
      </c>
      <c r="C75" s="573"/>
      <c r="D75" s="389">
        <v>45337</v>
      </c>
      <c r="E75" s="178" t="s">
        <v>37</v>
      </c>
      <c r="F75" s="178" t="s">
        <v>3825</v>
      </c>
      <c r="G75" s="178" t="s">
        <v>21</v>
      </c>
      <c r="H75" s="178" t="s">
        <v>1809</v>
      </c>
      <c r="I75" s="178" t="s">
        <v>3768</v>
      </c>
      <c r="J75" s="178">
        <v>1</v>
      </c>
      <c r="K75" s="178" t="s">
        <v>78</v>
      </c>
      <c r="L75" s="178"/>
    </row>
    <row r="76" spans="1:12" ht="15.8" customHeight="1" x14ac:dyDescent="0.2">
      <c r="A76" s="178" t="s">
        <v>17</v>
      </c>
      <c r="B76" s="178" t="s">
        <v>24</v>
      </c>
      <c r="C76" s="573"/>
      <c r="D76" s="389">
        <v>45337</v>
      </c>
      <c r="E76" s="178" t="s">
        <v>37</v>
      </c>
      <c r="F76" s="178" t="s">
        <v>3826</v>
      </c>
      <c r="G76" s="178" t="s">
        <v>85</v>
      </c>
      <c r="H76" s="178" t="s">
        <v>1809</v>
      </c>
      <c r="I76" s="178" t="s">
        <v>3768</v>
      </c>
      <c r="J76" s="178">
        <v>1</v>
      </c>
      <c r="K76" s="178" t="s">
        <v>23</v>
      </c>
      <c r="L76" s="178"/>
    </row>
    <row r="77" spans="1:12" ht="15.8" customHeight="1" x14ac:dyDescent="0.2">
      <c r="A77" s="178" t="s">
        <v>10</v>
      </c>
      <c r="B77" s="178" t="s">
        <v>29</v>
      </c>
      <c r="C77" s="573"/>
      <c r="D77" s="389">
        <v>45338</v>
      </c>
      <c r="E77" s="178" t="s">
        <v>112</v>
      </c>
      <c r="F77" s="178" t="s">
        <v>3827</v>
      </c>
      <c r="G77" s="178" t="s">
        <v>106</v>
      </c>
      <c r="H77" s="178" t="s">
        <v>3828</v>
      </c>
      <c r="I77" s="178">
        <v>0</v>
      </c>
      <c r="J77" s="178">
        <v>2</v>
      </c>
      <c r="K77" s="178" t="s">
        <v>78</v>
      </c>
      <c r="L77" s="178"/>
    </row>
    <row r="78" spans="1:12" ht="15.8" customHeight="1" x14ac:dyDescent="0.2">
      <c r="A78" s="178" t="s">
        <v>10</v>
      </c>
      <c r="B78" s="178" t="s">
        <v>137</v>
      </c>
      <c r="C78" s="573"/>
      <c r="D78" s="389">
        <v>45338</v>
      </c>
      <c r="E78" s="178" t="s">
        <v>112</v>
      </c>
      <c r="F78" s="178" t="s">
        <v>3829</v>
      </c>
      <c r="G78" s="178" t="s">
        <v>85</v>
      </c>
      <c r="H78" s="178" t="s">
        <v>3830</v>
      </c>
      <c r="I78" s="178">
        <v>0</v>
      </c>
      <c r="J78" s="178">
        <v>3</v>
      </c>
      <c r="K78" s="178" t="s">
        <v>78</v>
      </c>
      <c r="L78" s="178"/>
    </row>
    <row r="79" spans="1:12" ht="15.8" customHeight="1" x14ac:dyDescent="0.2">
      <c r="A79" s="178" t="s">
        <v>10</v>
      </c>
      <c r="B79" s="178" t="s">
        <v>29</v>
      </c>
      <c r="C79" s="573"/>
      <c r="D79" s="389">
        <v>45339</v>
      </c>
      <c r="E79" s="178" t="s">
        <v>112</v>
      </c>
      <c r="F79" s="178" t="s">
        <v>3831</v>
      </c>
      <c r="G79" s="178" t="s">
        <v>95</v>
      </c>
      <c r="H79" s="178" t="s">
        <v>3832</v>
      </c>
      <c r="I79" s="178">
        <v>0</v>
      </c>
      <c r="J79" s="178">
        <v>2</v>
      </c>
      <c r="K79" s="178" t="s">
        <v>34</v>
      </c>
      <c r="L79" s="178"/>
    </row>
    <row r="80" spans="1:12" ht="15.8" customHeight="1" x14ac:dyDescent="0.2">
      <c r="A80" s="178" t="s">
        <v>10</v>
      </c>
      <c r="B80" s="178" t="s">
        <v>2162</v>
      </c>
      <c r="C80" s="573"/>
      <c r="D80" s="389">
        <v>45339</v>
      </c>
      <c r="E80" s="178" t="s">
        <v>133</v>
      </c>
      <c r="F80" s="178" t="s">
        <v>3833</v>
      </c>
      <c r="G80" s="178" t="s">
        <v>3834</v>
      </c>
      <c r="H80" s="178" t="s">
        <v>3835</v>
      </c>
      <c r="I80" s="178">
        <v>0</v>
      </c>
      <c r="J80" s="178">
        <v>2</v>
      </c>
      <c r="K80" s="178" t="s">
        <v>50</v>
      </c>
      <c r="L80" s="178"/>
    </row>
    <row r="81" spans="1:12" ht="15.8" customHeight="1" x14ac:dyDescent="0.2">
      <c r="A81" s="178" t="s">
        <v>10</v>
      </c>
      <c r="B81" s="178" t="s">
        <v>29</v>
      </c>
      <c r="C81" s="573"/>
      <c r="D81" s="389">
        <v>45339</v>
      </c>
      <c r="E81" s="178" t="s">
        <v>3836</v>
      </c>
      <c r="F81" s="178" t="s">
        <v>3837</v>
      </c>
      <c r="G81" s="178" t="s">
        <v>21</v>
      </c>
      <c r="H81" s="178" t="s">
        <v>29</v>
      </c>
      <c r="I81" s="178" t="s">
        <v>3768</v>
      </c>
      <c r="J81" s="178">
        <v>4</v>
      </c>
      <c r="K81" s="178" t="s">
        <v>34</v>
      </c>
      <c r="L81" s="178"/>
    </row>
    <row r="82" spans="1:12" ht="15.8" customHeight="1" x14ac:dyDescent="0.2">
      <c r="A82" s="178" t="s">
        <v>10</v>
      </c>
      <c r="B82" s="178" t="s">
        <v>29</v>
      </c>
      <c r="C82" s="573"/>
      <c r="D82" s="389">
        <v>45339</v>
      </c>
      <c r="E82" s="178" t="s">
        <v>2659</v>
      </c>
      <c r="F82" s="178" t="s">
        <v>3838</v>
      </c>
      <c r="G82" s="178" t="s">
        <v>355</v>
      </c>
      <c r="H82" s="178" t="s">
        <v>29</v>
      </c>
      <c r="I82" s="178" t="s">
        <v>3768</v>
      </c>
      <c r="J82" s="178">
        <v>4</v>
      </c>
      <c r="K82" s="178" t="s">
        <v>34</v>
      </c>
      <c r="L82" s="178"/>
    </row>
    <row r="83" spans="1:12" ht="15.8" customHeight="1" x14ac:dyDescent="0.2">
      <c r="A83" s="178" t="s">
        <v>51</v>
      </c>
      <c r="B83" s="178" t="s">
        <v>52</v>
      </c>
      <c r="C83" s="573"/>
      <c r="D83" s="389">
        <v>45340</v>
      </c>
      <c r="E83" s="178" t="s">
        <v>91</v>
      </c>
      <c r="F83" s="178" t="s">
        <v>3839</v>
      </c>
      <c r="G83" s="178" t="s">
        <v>1092</v>
      </c>
      <c r="H83" s="178" t="s">
        <v>3840</v>
      </c>
      <c r="I83" s="178" t="s">
        <v>3841</v>
      </c>
      <c r="J83" s="178">
        <v>3</v>
      </c>
      <c r="K83" s="178" t="s">
        <v>16</v>
      </c>
      <c r="L83" s="178"/>
    </row>
    <row r="84" spans="1:12" ht="15.8" customHeight="1" x14ac:dyDescent="0.2">
      <c r="A84" s="178" t="s">
        <v>10</v>
      </c>
      <c r="B84" s="178" t="s">
        <v>29</v>
      </c>
      <c r="C84" s="573"/>
      <c r="D84" s="389">
        <v>45340</v>
      </c>
      <c r="E84" s="178" t="s">
        <v>1042</v>
      </c>
      <c r="F84" s="178" t="s">
        <v>3842</v>
      </c>
      <c r="G84" s="178" t="s">
        <v>355</v>
      </c>
      <c r="H84" s="178" t="s">
        <v>3843</v>
      </c>
      <c r="I84" s="178" t="s">
        <v>167</v>
      </c>
      <c r="J84" s="178">
        <v>3</v>
      </c>
      <c r="K84" s="178" t="s">
        <v>16</v>
      </c>
      <c r="L84" s="178"/>
    </row>
    <row r="85" spans="1:12" ht="15.8" customHeight="1" x14ac:dyDescent="0.2">
      <c r="A85" s="178" t="s">
        <v>10</v>
      </c>
      <c r="B85" s="178" t="s">
        <v>29</v>
      </c>
      <c r="C85" s="573"/>
      <c r="D85" s="389">
        <v>45341</v>
      </c>
      <c r="E85" s="178" t="s">
        <v>72</v>
      </c>
      <c r="F85" s="178" t="s">
        <v>3844</v>
      </c>
      <c r="G85" s="178" t="s">
        <v>217</v>
      </c>
      <c r="H85" s="178" t="s">
        <v>29</v>
      </c>
      <c r="I85" s="178" t="s">
        <v>167</v>
      </c>
      <c r="J85" s="178">
        <v>3</v>
      </c>
      <c r="K85" s="178" t="s">
        <v>34</v>
      </c>
      <c r="L85" s="178"/>
    </row>
    <row r="86" spans="1:12" ht="15.8" customHeight="1" x14ac:dyDescent="0.2">
      <c r="A86" s="178" t="s">
        <v>51</v>
      </c>
      <c r="B86" s="178" t="s">
        <v>52</v>
      </c>
      <c r="C86" s="573"/>
      <c r="D86" s="389">
        <v>45341</v>
      </c>
      <c r="E86" s="178" t="s">
        <v>3845</v>
      </c>
      <c r="F86" s="178" t="s">
        <v>3846</v>
      </c>
      <c r="G86" s="178" t="s">
        <v>2211</v>
      </c>
      <c r="H86" s="178" t="s">
        <v>3847</v>
      </c>
      <c r="I86" s="178" t="s">
        <v>167</v>
      </c>
      <c r="J86" s="178">
        <v>2</v>
      </c>
      <c r="K86" s="178" t="s">
        <v>192</v>
      </c>
      <c r="L86" s="178"/>
    </row>
    <row r="87" spans="1:12" ht="15.8" customHeight="1" x14ac:dyDescent="0.2">
      <c r="A87" s="178" t="s">
        <v>146</v>
      </c>
      <c r="B87" s="178" t="s">
        <v>11</v>
      </c>
      <c r="C87" s="573"/>
      <c r="D87" s="389">
        <v>45342</v>
      </c>
      <c r="E87" s="178" t="s">
        <v>37</v>
      </c>
      <c r="F87" s="178" t="s">
        <v>3848</v>
      </c>
      <c r="G87" s="178" t="s">
        <v>355</v>
      </c>
      <c r="H87" s="178" t="s">
        <v>3849</v>
      </c>
      <c r="I87" s="178" t="s">
        <v>3768</v>
      </c>
      <c r="J87" s="178">
        <v>4</v>
      </c>
      <c r="K87" s="178" t="s">
        <v>16</v>
      </c>
      <c r="L87" s="178"/>
    </row>
    <row r="88" spans="1:12" ht="15.8" customHeight="1" x14ac:dyDescent="0.2">
      <c r="A88" s="178" t="s">
        <v>10</v>
      </c>
      <c r="B88" s="178" t="s">
        <v>29</v>
      </c>
      <c r="C88" s="573"/>
      <c r="D88" s="389">
        <v>45342</v>
      </c>
      <c r="E88" s="178" t="s">
        <v>2659</v>
      </c>
      <c r="F88" s="178" t="s">
        <v>3850</v>
      </c>
      <c r="G88" s="178" t="s">
        <v>3851</v>
      </c>
      <c r="H88" s="178" t="s">
        <v>3852</v>
      </c>
      <c r="I88" s="178">
        <v>0</v>
      </c>
      <c r="J88" s="178">
        <v>2</v>
      </c>
      <c r="K88" s="178" t="s">
        <v>50</v>
      </c>
      <c r="L88" s="178"/>
    </row>
    <row r="89" spans="1:12" ht="15.8" customHeight="1" x14ac:dyDescent="0.2">
      <c r="A89" s="178" t="s">
        <v>17</v>
      </c>
      <c r="B89" s="178" t="s">
        <v>24</v>
      </c>
      <c r="C89" s="573"/>
      <c r="D89" s="389">
        <v>45343</v>
      </c>
      <c r="E89" s="178" t="s">
        <v>1948</v>
      </c>
      <c r="F89" s="178" t="s">
        <v>3853</v>
      </c>
      <c r="G89" s="178" t="s">
        <v>70</v>
      </c>
      <c r="H89" s="178" t="s">
        <v>1809</v>
      </c>
      <c r="I89" s="178" t="s">
        <v>3768</v>
      </c>
      <c r="J89" s="178">
        <v>1</v>
      </c>
      <c r="K89" s="178" t="s">
        <v>23</v>
      </c>
      <c r="L89" s="178"/>
    </row>
    <row r="90" spans="1:12" ht="15.8" customHeight="1" x14ac:dyDescent="0.2">
      <c r="A90" s="178" t="s">
        <v>17</v>
      </c>
      <c r="B90" s="178" t="s">
        <v>24</v>
      </c>
      <c r="C90" s="573"/>
      <c r="D90" s="389">
        <v>45343</v>
      </c>
      <c r="E90" s="178" t="s">
        <v>37</v>
      </c>
      <c r="F90" s="178" t="s">
        <v>3854</v>
      </c>
      <c r="G90" s="178"/>
      <c r="H90" s="178" t="s">
        <v>1809</v>
      </c>
      <c r="I90" s="178" t="s">
        <v>3768</v>
      </c>
      <c r="J90" s="178">
        <v>1</v>
      </c>
      <c r="K90" s="178" t="s">
        <v>23</v>
      </c>
      <c r="L90" s="178"/>
    </row>
    <row r="91" spans="1:12" ht="15.8" customHeight="1" x14ac:dyDescent="0.2">
      <c r="A91" s="178" t="s">
        <v>10</v>
      </c>
      <c r="B91" s="178" t="s">
        <v>29</v>
      </c>
      <c r="C91" s="573"/>
      <c r="D91" s="389">
        <v>45344</v>
      </c>
      <c r="E91" s="178" t="s">
        <v>72</v>
      </c>
      <c r="F91" s="178" t="s">
        <v>3855</v>
      </c>
      <c r="G91" s="178" t="s">
        <v>139</v>
      </c>
      <c r="H91" s="178" t="s">
        <v>3856</v>
      </c>
      <c r="I91" s="178" t="s">
        <v>167</v>
      </c>
      <c r="J91" s="178">
        <v>2</v>
      </c>
      <c r="K91" s="178" t="s">
        <v>34</v>
      </c>
      <c r="L91" s="178"/>
    </row>
    <row r="92" spans="1:12" ht="15.8" customHeight="1" x14ac:dyDescent="0.2">
      <c r="A92" s="178" t="s">
        <v>10</v>
      </c>
      <c r="B92" s="178" t="s">
        <v>29</v>
      </c>
      <c r="C92" s="573"/>
      <c r="D92" s="389">
        <v>45344</v>
      </c>
      <c r="E92" s="178" t="s">
        <v>519</v>
      </c>
      <c r="F92" s="178" t="s">
        <v>3857</v>
      </c>
      <c r="G92" s="178"/>
      <c r="H92" s="178" t="s">
        <v>2557</v>
      </c>
      <c r="I92" s="178" t="s">
        <v>167</v>
      </c>
      <c r="J92" s="178">
        <v>2</v>
      </c>
      <c r="K92" s="178" t="s">
        <v>34</v>
      </c>
      <c r="L92" s="178"/>
    </row>
    <row r="93" spans="1:12" ht="15.8" customHeight="1" x14ac:dyDescent="0.2">
      <c r="A93" s="178" t="s">
        <v>35</v>
      </c>
      <c r="B93" s="178" t="s">
        <v>137</v>
      </c>
      <c r="C93" s="573"/>
      <c r="D93" s="389">
        <v>45345</v>
      </c>
      <c r="E93" s="178" t="s">
        <v>57</v>
      </c>
      <c r="F93" s="178" t="s">
        <v>3858</v>
      </c>
      <c r="G93" s="178" t="s">
        <v>973</v>
      </c>
      <c r="H93" s="178" t="s">
        <v>2512</v>
      </c>
      <c r="I93" s="178" t="s">
        <v>167</v>
      </c>
      <c r="J93" s="178">
        <v>2</v>
      </c>
      <c r="K93" s="178" t="s">
        <v>192</v>
      </c>
      <c r="L93" s="178"/>
    </row>
    <row r="94" spans="1:12" ht="15.8" customHeight="1" x14ac:dyDescent="0.2">
      <c r="A94" s="178" t="s">
        <v>387</v>
      </c>
      <c r="B94" s="178" t="s">
        <v>52</v>
      </c>
      <c r="C94" s="573"/>
      <c r="D94" s="389">
        <v>45345</v>
      </c>
      <c r="E94" s="178" t="s">
        <v>72</v>
      </c>
      <c r="F94" s="178" t="s">
        <v>3859</v>
      </c>
      <c r="G94" s="178"/>
      <c r="H94" s="178" t="s">
        <v>3860</v>
      </c>
      <c r="I94" s="178" t="s">
        <v>167</v>
      </c>
      <c r="J94" s="178">
        <v>7</v>
      </c>
      <c r="K94" s="178" t="s">
        <v>99</v>
      </c>
      <c r="L94" s="178"/>
    </row>
    <row r="95" spans="1:12" ht="15.8" customHeight="1" x14ac:dyDescent="0.2">
      <c r="A95" s="178" t="s">
        <v>51</v>
      </c>
      <c r="B95" s="178" t="s">
        <v>52</v>
      </c>
      <c r="C95" s="573"/>
      <c r="D95" s="389">
        <v>45346</v>
      </c>
      <c r="E95" s="178" t="s">
        <v>57</v>
      </c>
      <c r="F95" s="178" t="s">
        <v>173</v>
      </c>
      <c r="G95" s="178"/>
      <c r="H95" s="178" t="s">
        <v>1265</v>
      </c>
      <c r="I95" s="178" t="s">
        <v>3861</v>
      </c>
      <c r="J95" s="178">
        <v>4</v>
      </c>
      <c r="K95" s="178" t="s">
        <v>60</v>
      </c>
      <c r="L95" s="178"/>
    </row>
    <row r="96" spans="1:12" ht="15.8" customHeight="1" x14ac:dyDescent="0.2">
      <c r="A96" s="178" t="s">
        <v>10</v>
      </c>
      <c r="B96" s="178" t="s">
        <v>2161</v>
      </c>
      <c r="C96" s="573"/>
      <c r="D96" s="389">
        <v>45347</v>
      </c>
      <c r="E96" s="178" t="s">
        <v>91</v>
      </c>
      <c r="F96" s="178" t="s">
        <v>3862</v>
      </c>
      <c r="G96" s="178" t="s">
        <v>355</v>
      </c>
      <c r="H96" s="178" t="s">
        <v>3863</v>
      </c>
      <c r="I96" s="178" t="s">
        <v>3864</v>
      </c>
      <c r="J96" s="178">
        <v>2</v>
      </c>
      <c r="K96" s="178" t="s">
        <v>50</v>
      </c>
      <c r="L96" s="178"/>
    </row>
    <row r="97" spans="1:12" ht="15.8" customHeight="1" x14ac:dyDescent="0.2">
      <c r="A97" s="178" t="s">
        <v>10</v>
      </c>
      <c r="B97" s="178" t="s">
        <v>29</v>
      </c>
      <c r="C97" s="573"/>
      <c r="D97" s="389">
        <v>45347</v>
      </c>
      <c r="E97" s="178" t="s">
        <v>91</v>
      </c>
      <c r="F97" s="178" t="s">
        <v>3865</v>
      </c>
      <c r="G97" s="178" t="s">
        <v>973</v>
      </c>
      <c r="H97" s="178" t="s">
        <v>3866</v>
      </c>
      <c r="I97" s="178" t="s">
        <v>3864</v>
      </c>
      <c r="J97" s="178">
        <v>2</v>
      </c>
      <c r="K97" s="178" t="s">
        <v>50</v>
      </c>
      <c r="L97" s="178"/>
    </row>
    <row r="98" spans="1:12" ht="15.8" customHeight="1" x14ac:dyDescent="0.2">
      <c r="A98" s="178" t="s">
        <v>10</v>
      </c>
      <c r="B98" s="178" t="s">
        <v>29</v>
      </c>
      <c r="C98" s="573"/>
      <c r="D98" s="389">
        <v>45348</v>
      </c>
      <c r="E98" s="178" t="s">
        <v>305</v>
      </c>
      <c r="F98" s="178" t="s">
        <v>3867</v>
      </c>
      <c r="G98" s="178" t="s">
        <v>106</v>
      </c>
      <c r="H98" s="178" t="s">
        <v>3868</v>
      </c>
      <c r="I98" s="178" t="s">
        <v>3864</v>
      </c>
      <c r="J98" s="178">
        <v>2</v>
      </c>
      <c r="K98" s="178" t="s">
        <v>78</v>
      </c>
      <c r="L98" s="178"/>
    </row>
    <row r="99" spans="1:12" ht="15.8" customHeight="1" x14ac:dyDescent="0.2">
      <c r="A99" s="178" t="s">
        <v>17</v>
      </c>
      <c r="B99" s="178" t="s">
        <v>24</v>
      </c>
      <c r="C99" s="573"/>
      <c r="D99" s="389">
        <v>45349</v>
      </c>
      <c r="E99" s="178" t="s">
        <v>57</v>
      </c>
      <c r="F99" s="178" t="s">
        <v>3869</v>
      </c>
      <c r="G99" s="178" t="s">
        <v>1027</v>
      </c>
      <c r="H99" s="178" t="s">
        <v>28</v>
      </c>
      <c r="I99" s="178" t="s">
        <v>167</v>
      </c>
      <c r="J99" s="178">
        <v>1</v>
      </c>
      <c r="K99" s="178" t="s">
        <v>23</v>
      </c>
      <c r="L99" s="178"/>
    </row>
    <row r="100" spans="1:12" ht="15.8" customHeight="1" x14ac:dyDescent="0.2">
      <c r="A100" s="178" t="s">
        <v>17</v>
      </c>
      <c r="B100" s="178" t="s">
        <v>24</v>
      </c>
      <c r="C100" s="573"/>
      <c r="D100" s="389">
        <v>45349</v>
      </c>
      <c r="E100" s="178" t="s">
        <v>57</v>
      </c>
      <c r="F100" s="178" t="s">
        <v>3870</v>
      </c>
      <c r="G100" s="178"/>
      <c r="H100" s="178" t="s">
        <v>28</v>
      </c>
      <c r="I100" s="178" t="s">
        <v>167</v>
      </c>
      <c r="J100" s="178">
        <v>1</v>
      </c>
      <c r="K100" s="178" t="s">
        <v>23</v>
      </c>
      <c r="L100" s="178"/>
    </row>
    <row r="101" spans="1:12" ht="15.8" customHeight="1" x14ac:dyDescent="0.2">
      <c r="A101" s="178" t="s">
        <v>10</v>
      </c>
      <c r="B101" s="178" t="s">
        <v>29</v>
      </c>
      <c r="C101" s="573"/>
      <c r="D101" s="389">
        <v>45350</v>
      </c>
      <c r="E101" s="178" t="s">
        <v>37</v>
      </c>
      <c r="F101" s="178" t="s">
        <v>3871</v>
      </c>
      <c r="G101" s="178" t="s">
        <v>110</v>
      </c>
      <c r="H101" s="178" t="s">
        <v>3872</v>
      </c>
      <c r="I101" s="178" t="s">
        <v>3864</v>
      </c>
      <c r="J101" s="178">
        <v>2</v>
      </c>
      <c r="K101" s="178" t="s">
        <v>50</v>
      </c>
      <c r="L101" s="178"/>
    </row>
    <row r="102" spans="1:12" ht="15.8" customHeight="1" x14ac:dyDescent="0.2">
      <c r="A102" s="178" t="s">
        <v>17</v>
      </c>
      <c r="B102" s="178" t="s">
        <v>24</v>
      </c>
      <c r="C102" s="573"/>
      <c r="D102" s="389">
        <v>45351</v>
      </c>
      <c r="E102" s="178" t="s">
        <v>57</v>
      </c>
      <c r="F102" s="178" t="s">
        <v>3873</v>
      </c>
      <c r="G102" s="178" t="s">
        <v>2015</v>
      </c>
      <c r="H102" s="178" t="s">
        <v>28</v>
      </c>
      <c r="I102" s="178" t="s">
        <v>167</v>
      </c>
      <c r="J102" s="178">
        <v>1</v>
      </c>
      <c r="K102" s="178" t="s">
        <v>23</v>
      </c>
      <c r="L102" s="178"/>
    </row>
    <row r="103" spans="1:12" ht="15.8" customHeight="1" x14ac:dyDescent="0.2">
      <c r="A103" s="178" t="s">
        <v>17</v>
      </c>
      <c r="B103" s="178" t="s">
        <v>24</v>
      </c>
      <c r="C103" s="573"/>
      <c r="D103" s="389">
        <v>45351</v>
      </c>
      <c r="E103" s="178" t="s">
        <v>57</v>
      </c>
      <c r="F103" s="178" t="s">
        <v>3874</v>
      </c>
      <c r="G103" s="178" t="s">
        <v>3875</v>
      </c>
      <c r="H103" s="178" t="s">
        <v>28</v>
      </c>
      <c r="I103" s="178" t="s">
        <v>167</v>
      </c>
      <c r="J103" s="178">
        <v>1</v>
      </c>
      <c r="K103" s="178" t="s">
        <v>23</v>
      </c>
      <c r="L103" s="178"/>
    </row>
    <row r="104" spans="1:12" ht="15.8" customHeight="1" x14ac:dyDescent="0.2">
      <c r="A104" s="178" t="s">
        <v>17</v>
      </c>
      <c r="B104" s="178" t="s">
        <v>24</v>
      </c>
      <c r="C104" s="573"/>
      <c r="D104" s="389">
        <v>45351</v>
      </c>
      <c r="E104" s="178" t="s">
        <v>57</v>
      </c>
      <c r="F104" s="178" t="s">
        <v>3876</v>
      </c>
      <c r="G104" s="178" t="s">
        <v>3877</v>
      </c>
      <c r="H104" s="178" t="s">
        <v>3878</v>
      </c>
      <c r="I104" s="178" t="s">
        <v>167</v>
      </c>
      <c r="J104" s="178">
        <v>1</v>
      </c>
      <c r="K104" s="178" t="s">
        <v>23</v>
      </c>
      <c r="L104" s="178"/>
    </row>
    <row r="105" spans="1:12" ht="15.8" customHeight="1" x14ac:dyDescent="0.2">
      <c r="A105" s="178" t="s">
        <v>17</v>
      </c>
      <c r="B105" s="178" t="s">
        <v>24</v>
      </c>
      <c r="C105" s="574"/>
      <c r="D105" s="389">
        <v>45351</v>
      </c>
      <c r="E105" s="178" t="s">
        <v>57</v>
      </c>
      <c r="F105" s="178" t="s">
        <v>3879</v>
      </c>
      <c r="G105" s="178" t="s">
        <v>3880</v>
      </c>
      <c r="H105" s="178" t="s">
        <v>3878</v>
      </c>
      <c r="I105" s="178" t="s">
        <v>167</v>
      </c>
      <c r="J105" s="178">
        <v>1</v>
      </c>
      <c r="K105" s="178" t="s">
        <v>23</v>
      </c>
      <c r="L105" s="178"/>
    </row>
    <row r="106" spans="1:12" ht="15.8" customHeight="1" x14ac:dyDescent="0.25">
      <c r="A106" s="394" t="s">
        <v>321</v>
      </c>
      <c r="B106" s="415"/>
      <c r="C106" s="416"/>
      <c r="D106" s="103"/>
      <c r="E106" s="415"/>
      <c r="F106" s="415"/>
      <c r="G106" s="415"/>
      <c r="H106" s="415"/>
      <c r="I106" s="415"/>
      <c r="J106" s="415"/>
      <c r="K106" s="415"/>
      <c r="L106" s="424"/>
    </row>
    <row r="107" spans="1:12" ht="15.8" customHeight="1" x14ac:dyDescent="0.2">
      <c r="A107" s="179" t="s">
        <v>10</v>
      </c>
      <c r="B107" s="178" t="s">
        <v>29</v>
      </c>
      <c r="C107" s="584">
        <f>COUNTIF(B107:B166,$C$2)</f>
        <v>11</v>
      </c>
      <c r="D107" s="389">
        <v>45352</v>
      </c>
      <c r="E107" s="178" t="s">
        <v>37</v>
      </c>
      <c r="F107" s="178" t="s">
        <v>3881</v>
      </c>
      <c r="G107" s="178" t="s">
        <v>139</v>
      </c>
      <c r="H107" s="178" t="s">
        <v>3882</v>
      </c>
      <c r="I107" s="178" t="s">
        <v>3864</v>
      </c>
      <c r="J107" s="178">
        <v>2</v>
      </c>
      <c r="K107" s="178" t="s">
        <v>50</v>
      </c>
      <c r="L107" s="393"/>
    </row>
    <row r="108" spans="1:12" ht="15.8" customHeight="1" x14ac:dyDescent="0.2">
      <c r="A108" s="179" t="s">
        <v>51</v>
      </c>
      <c r="B108" s="178" t="s">
        <v>481</v>
      </c>
      <c r="C108" s="584"/>
      <c r="D108" s="389">
        <v>45352</v>
      </c>
      <c r="E108" s="178" t="s">
        <v>3883</v>
      </c>
      <c r="F108" s="178" t="s">
        <v>1532</v>
      </c>
      <c r="G108" s="178" t="s">
        <v>3884</v>
      </c>
      <c r="H108" s="178" t="s">
        <v>3885</v>
      </c>
      <c r="I108" s="178" t="s">
        <v>3768</v>
      </c>
      <c r="J108" s="178">
        <v>12</v>
      </c>
      <c r="K108" s="178" t="s">
        <v>102</v>
      </c>
      <c r="L108" s="393"/>
    </row>
    <row r="109" spans="1:12" ht="15.8" customHeight="1" x14ac:dyDescent="0.2">
      <c r="A109" s="179" t="s">
        <v>51</v>
      </c>
      <c r="B109" s="178" t="s">
        <v>52</v>
      </c>
      <c r="C109" s="584"/>
      <c r="D109" s="389">
        <v>45354</v>
      </c>
      <c r="E109" s="178" t="s">
        <v>3958</v>
      </c>
      <c r="F109" s="178" t="s">
        <v>3959</v>
      </c>
      <c r="G109" s="178" t="s">
        <v>1279</v>
      </c>
      <c r="H109" s="178" t="s">
        <v>3960</v>
      </c>
      <c r="I109" s="178" t="s">
        <v>167</v>
      </c>
      <c r="J109" s="178">
        <v>6</v>
      </c>
      <c r="K109" s="178" t="s">
        <v>1075</v>
      </c>
      <c r="L109" s="393" t="s">
        <v>3961</v>
      </c>
    </row>
    <row r="110" spans="1:12" ht="15.8" customHeight="1" x14ac:dyDescent="0.2">
      <c r="A110" s="179" t="s">
        <v>51</v>
      </c>
      <c r="B110" s="178" t="s">
        <v>52</v>
      </c>
      <c r="C110" s="584"/>
      <c r="D110" s="389">
        <v>45354</v>
      </c>
      <c r="E110" s="178" t="s">
        <v>3962</v>
      </c>
      <c r="F110" s="178" t="s">
        <v>3963</v>
      </c>
      <c r="G110" s="178" t="s">
        <v>3859</v>
      </c>
      <c r="H110" s="178" t="s">
        <v>3964</v>
      </c>
      <c r="I110" s="178" t="s">
        <v>167</v>
      </c>
      <c r="J110" s="178">
        <v>8</v>
      </c>
      <c r="K110" s="178" t="s">
        <v>56</v>
      </c>
      <c r="L110" s="393" t="s">
        <v>167</v>
      </c>
    </row>
    <row r="111" spans="1:12" ht="15.8" customHeight="1" x14ac:dyDescent="0.2">
      <c r="A111" s="179" t="s">
        <v>10</v>
      </c>
      <c r="B111" s="178" t="s">
        <v>29</v>
      </c>
      <c r="C111" s="584"/>
      <c r="D111" s="389">
        <v>45355</v>
      </c>
      <c r="E111" s="178" t="s">
        <v>37</v>
      </c>
      <c r="F111" s="178" t="s">
        <v>3886</v>
      </c>
      <c r="G111" s="178" t="s">
        <v>135</v>
      </c>
      <c r="H111" s="178" t="s">
        <v>3887</v>
      </c>
      <c r="I111" s="178" t="s">
        <v>3864</v>
      </c>
      <c r="J111" s="178">
        <v>2</v>
      </c>
      <c r="K111" s="178" t="s">
        <v>50</v>
      </c>
      <c r="L111" s="393"/>
    </row>
    <row r="112" spans="1:12" ht="15.8" customHeight="1" x14ac:dyDescent="0.2">
      <c r="A112" s="179" t="s">
        <v>10</v>
      </c>
      <c r="B112" s="178" t="s">
        <v>29</v>
      </c>
      <c r="C112" s="584"/>
      <c r="D112" s="389">
        <v>45355</v>
      </c>
      <c r="E112" s="178" t="s">
        <v>112</v>
      </c>
      <c r="F112" s="178" t="s">
        <v>3888</v>
      </c>
      <c r="G112" s="178" t="s">
        <v>139</v>
      </c>
      <c r="H112" s="178" t="s">
        <v>3889</v>
      </c>
      <c r="I112" s="178" t="s">
        <v>3864</v>
      </c>
      <c r="J112" s="178">
        <v>2</v>
      </c>
      <c r="K112" s="178" t="s">
        <v>50</v>
      </c>
      <c r="L112" s="393"/>
    </row>
    <row r="113" spans="1:12" ht="15.8" customHeight="1" x14ac:dyDescent="0.2">
      <c r="A113" s="179" t="s">
        <v>17</v>
      </c>
      <c r="B113" s="178" t="s">
        <v>24</v>
      </c>
      <c r="C113" s="584"/>
      <c r="D113" s="389">
        <v>45355</v>
      </c>
      <c r="E113" s="178" t="s">
        <v>1306</v>
      </c>
      <c r="F113" s="178" t="s">
        <v>3890</v>
      </c>
      <c r="G113" s="178" t="s">
        <v>27</v>
      </c>
      <c r="H113" s="178" t="s">
        <v>3891</v>
      </c>
      <c r="I113" s="178" t="s">
        <v>3864</v>
      </c>
      <c r="J113" s="178">
        <v>1</v>
      </c>
      <c r="K113" s="178" t="s">
        <v>78</v>
      </c>
      <c r="L113" s="393"/>
    </row>
    <row r="114" spans="1:12" ht="15.8" customHeight="1" x14ac:dyDescent="0.2">
      <c r="A114" s="179" t="s">
        <v>51</v>
      </c>
      <c r="B114" s="178" t="s">
        <v>52</v>
      </c>
      <c r="C114" s="584"/>
      <c r="D114" s="389">
        <v>45355</v>
      </c>
      <c r="E114" s="178" t="s">
        <v>2659</v>
      </c>
      <c r="F114" s="178" t="s">
        <v>3892</v>
      </c>
      <c r="G114" s="178" t="s">
        <v>3893</v>
      </c>
      <c r="H114" s="178" t="s">
        <v>3894</v>
      </c>
      <c r="I114" s="178" t="s">
        <v>3768</v>
      </c>
      <c r="J114" s="178">
        <v>2</v>
      </c>
      <c r="K114" s="178" t="s">
        <v>16</v>
      </c>
      <c r="L114" s="393"/>
    </row>
    <row r="115" spans="1:12" ht="15.8" customHeight="1" x14ac:dyDescent="0.2">
      <c r="A115" s="179" t="s">
        <v>51</v>
      </c>
      <c r="B115" s="178" t="s">
        <v>481</v>
      </c>
      <c r="C115" s="584"/>
      <c r="D115" s="389">
        <v>45356</v>
      </c>
      <c r="E115" s="178" t="s">
        <v>2641</v>
      </c>
      <c r="F115" s="178" t="s">
        <v>3895</v>
      </c>
      <c r="G115" s="178" t="s">
        <v>849</v>
      </c>
      <c r="H115" s="178" t="s">
        <v>3896</v>
      </c>
      <c r="I115" s="178" t="s">
        <v>2743</v>
      </c>
      <c r="J115" s="178">
        <v>2</v>
      </c>
      <c r="K115" s="178" t="s">
        <v>192</v>
      </c>
      <c r="L115" s="393"/>
    </row>
    <row r="116" spans="1:12" ht="15.8" customHeight="1" x14ac:dyDescent="0.2">
      <c r="A116" s="179" t="s">
        <v>10</v>
      </c>
      <c r="B116" s="178" t="s">
        <v>152</v>
      </c>
      <c r="C116" s="584"/>
      <c r="D116" s="389">
        <v>45356</v>
      </c>
      <c r="E116" s="178" t="s">
        <v>3897</v>
      </c>
      <c r="F116" s="178" t="s">
        <v>3898</v>
      </c>
      <c r="G116" s="178" t="s">
        <v>3899</v>
      </c>
      <c r="H116" s="178" t="s">
        <v>3900</v>
      </c>
      <c r="I116" s="178">
        <v>0</v>
      </c>
      <c r="J116" s="178">
        <v>4</v>
      </c>
      <c r="K116" s="178" t="s">
        <v>50</v>
      </c>
      <c r="L116" s="393"/>
    </row>
    <row r="117" spans="1:12" ht="15.8" customHeight="1" x14ac:dyDescent="0.2">
      <c r="A117" s="179" t="s">
        <v>51</v>
      </c>
      <c r="B117" s="178" t="s">
        <v>397</v>
      </c>
      <c r="C117" s="584"/>
      <c r="D117" s="389">
        <v>45356</v>
      </c>
      <c r="E117" s="178" t="s">
        <v>3901</v>
      </c>
      <c r="F117" s="178" t="s">
        <v>3902</v>
      </c>
      <c r="G117" s="178" t="s">
        <v>85</v>
      </c>
      <c r="H117" s="178" t="s">
        <v>397</v>
      </c>
      <c r="I117" s="178" t="s">
        <v>3768</v>
      </c>
      <c r="J117" s="178">
        <v>4</v>
      </c>
      <c r="K117" s="178" t="s">
        <v>16</v>
      </c>
      <c r="L117" s="393"/>
    </row>
    <row r="118" spans="1:12" ht="15.8" customHeight="1" x14ac:dyDescent="0.2">
      <c r="A118" s="179" t="s">
        <v>51</v>
      </c>
      <c r="B118" s="178" t="s">
        <v>52</v>
      </c>
      <c r="C118" s="584"/>
      <c r="D118" s="389">
        <v>45357</v>
      </c>
      <c r="E118" s="178" t="s">
        <v>112</v>
      </c>
      <c r="F118" s="178" t="s">
        <v>3903</v>
      </c>
      <c r="G118" s="178" t="s">
        <v>3904</v>
      </c>
      <c r="H118" s="178" t="s">
        <v>3905</v>
      </c>
      <c r="I118" s="178" t="s">
        <v>2662</v>
      </c>
      <c r="J118" s="178">
        <v>7</v>
      </c>
      <c r="K118" s="178" t="s">
        <v>16</v>
      </c>
      <c r="L118" s="393"/>
    </row>
    <row r="119" spans="1:12" ht="15.8" customHeight="1" x14ac:dyDescent="0.2">
      <c r="A119" s="179" t="s">
        <v>17</v>
      </c>
      <c r="B119" s="178" t="s">
        <v>24</v>
      </c>
      <c r="C119" s="584"/>
      <c r="D119" s="389">
        <v>45357</v>
      </c>
      <c r="E119" s="178" t="s">
        <v>305</v>
      </c>
      <c r="F119" s="178" t="s">
        <v>3906</v>
      </c>
      <c r="G119" s="178" t="s">
        <v>27</v>
      </c>
      <c r="H119" s="178" t="s">
        <v>3907</v>
      </c>
      <c r="I119" s="178" t="s">
        <v>3768</v>
      </c>
      <c r="J119" s="178">
        <v>1</v>
      </c>
      <c r="K119" s="178" t="s">
        <v>78</v>
      </c>
      <c r="L119" s="393"/>
    </row>
    <row r="120" spans="1:12" ht="15.8" customHeight="1" x14ac:dyDescent="0.2">
      <c r="A120" s="179" t="s">
        <v>17</v>
      </c>
      <c r="B120" s="178" t="s">
        <v>24</v>
      </c>
      <c r="C120" s="584"/>
      <c r="D120" s="389">
        <v>45357</v>
      </c>
      <c r="E120" s="178" t="s">
        <v>2652</v>
      </c>
      <c r="F120" s="178" t="s">
        <v>3908</v>
      </c>
      <c r="G120" s="178" t="s">
        <v>27</v>
      </c>
      <c r="H120" s="178" t="s">
        <v>1809</v>
      </c>
      <c r="I120" s="178" t="s">
        <v>3768</v>
      </c>
      <c r="J120" s="178">
        <v>1</v>
      </c>
      <c r="K120" s="178" t="s">
        <v>78</v>
      </c>
      <c r="L120" s="393"/>
    </row>
    <row r="121" spans="1:12" ht="15.8" customHeight="1" x14ac:dyDescent="0.2">
      <c r="A121" s="179" t="s">
        <v>35</v>
      </c>
      <c r="B121" s="178" t="s">
        <v>137</v>
      </c>
      <c r="C121" s="584"/>
      <c r="D121" s="389">
        <v>45357</v>
      </c>
      <c r="E121" s="178" t="s">
        <v>2666</v>
      </c>
      <c r="F121" s="178" t="s">
        <v>3909</v>
      </c>
      <c r="G121" s="178" t="s">
        <v>2194</v>
      </c>
      <c r="H121" s="178" t="s">
        <v>3910</v>
      </c>
      <c r="I121" s="178" t="s">
        <v>3768</v>
      </c>
      <c r="J121" s="178">
        <v>3</v>
      </c>
      <c r="K121" s="178" t="s">
        <v>192</v>
      </c>
      <c r="L121" s="393"/>
    </row>
    <row r="122" spans="1:12" ht="15.8" customHeight="1" x14ac:dyDescent="0.2">
      <c r="A122" s="179" t="s">
        <v>10</v>
      </c>
      <c r="B122" s="178" t="s">
        <v>29</v>
      </c>
      <c r="C122" s="584"/>
      <c r="D122" s="389">
        <v>45358</v>
      </c>
      <c r="E122" s="178" t="s">
        <v>1306</v>
      </c>
      <c r="F122" s="178" t="s">
        <v>3911</v>
      </c>
      <c r="G122" s="178" t="s">
        <v>95</v>
      </c>
      <c r="H122" s="178" t="s">
        <v>3912</v>
      </c>
      <c r="I122" s="178" t="s">
        <v>3864</v>
      </c>
      <c r="J122" s="178">
        <v>3</v>
      </c>
      <c r="K122" s="178" t="s">
        <v>99</v>
      </c>
      <c r="L122" s="393"/>
    </row>
    <row r="123" spans="1:12" ht="15.8" customHeight="1" x14ac:dyDescent="0.2">
      <c r="A123" s="179" t="s">
        <v>17</v>
      </c>
      <c r="B123" s="178" t="s">
        <v>24</v>
      </c>
      <c r="C123" s="584"/>
      <c r="D123" s="389">
        <v>45358</v>
      </c>
      <c r="E123" s="178" t="s">
        <v>37</v>
      </c>
      <c r="F123" s="178" t="s">
        <v>3913</v>
      </c>
      <c r="G123" s="178" t="s">
        <v>27</v>
      </c>
      <c r="H123" s="178" t="s">
        <v>1809</v>
      </c>
      <c r="I123" s="178" t="s">
        <v>3768</v>
      </c>
      <c r="J123" s="178">
        <v>1</v>
      </c>
      <c r="K123" s="178" t="s">
        <v>78</v>
      </c>
      <c r="L123" s="393"/>
    </row>
    <row r="124" spans="1:12" ht="15.8" customHeight="1" x14ac:dyDescent="0.2">
      <c r="A124" s="179" t="s">
        <v>17</v>
      </c>
      <c r="B124" s="178" t="s">
        <v>24</v>
      </c>
      <c r="C124" s="584"/>
      <c r="D124" s="389">
        <v>45358</v>
      </c>
      <c r="E124" s="178" t="s">
        <v>37</v>
      </c>
      <c r="F124" s="178" t="s">
        <v>3914</v>
      </c>
      <c r="G124" s="178" t="s">
        <v>76</v>
      </c>
      <c r="H124" s="178" t="s">
        <v>1809</v>
      </c>
      <c r="I124" s="178" t="s">
        <v>3768</v>
      </c>
      <c r="J124" s="178">
        <v>1</v>
      </c>
      <c r="K124" s="178" t="s">
        <v>78</v>
      </c>
      <c r="L124" s="393"/>
    </row>
    <row r="125" spans="1:12" ht="15.8" customHeight="1" x14ac:dyDescent="0.2">
      <c r="A125" s="179" t="s">
        <v>17</v>
      </c>
      <c r="B125" s="178" t="s">
        <v>24</v>
      </c>
      <c r="C125" s="584"/>
      <c r="D125" s="389">
        <v>45358</v>
      </c>
      <c r="E125" s="178" t="s">
        <v>37</v>
      </c>
      <c r="F125" s="178" t="s">
        <v>3915</v>
      </c>
      <c r="G125" s="178" t="s">
        <v>110</v>
      </c>
      <c r="H125" s="178" t="s">
        <v>1809</v>
      </c>
      <c r="I125" s="178" t="s">
        <v>3768</v>
      </c>
      <c r="J125" s="178">
        <v>1</v>
      </c>
      <c r="K125" s="178" t="s">
        <v>78</v>
      </c>
      <c r="L125" s="393"/>
    </row>
    <row r="126" spans="1:12" ht="15.8" customHeight="1" x14ac:dyDescent="0.2">
      <c r="A126" s="179" t="s">
        <v>10</v>
      </c>
      <c r="B126" s="178" t="s">
        <v>29</v>
      </c>
      <c r="C126" s="584"/>
      <c r="D126" s="389">
        <v>45359</v>
      </c>
      <c r="E126" s="178" t="s">
        <v>37</v>
      </c>
      <c r="F126" s="178" t="s">
        <v>3916</v>
      </c>
      <c r="G126" s="178" t="s">
        <v>106</v>
      </c>
      <c r="H126" s="178" t="s">
        <v>3917</v>
      </c>
      <c r="I126" s="178" t="s">
        <v>3864</v>
      </c>
      <c r="J126" s="178">
        <v>2</v>
      </c>
      <c r="K126" s="178" t="s">
        <v>78</v>
      </c>
      <c r="L126" s="393"/>
    </row>
    <row r="127" spans="1:12" ht="15.8" customHeight="1" x14ac:dyDescent="0.2">
      <c r="A127" s="179" t="s">
        <v>10</v>
      </c>
      <c r="B127" s="178" t="s">
        <v>29</v>
      </c>
      <c r="C127" s="584"/>
      <c r="D127" s="389">
        <v>45359</v>
      </c>
      <c r="E127" s="178" t="s">
        <v>305</v>
      </c>
      <c r="F127" s="178" t="s">
        <v>3918</v>
      </c>
      <c r="G127" s="178" t="s">
        <v>135</v>
      </c>
      <c r="H127" s="178" t="s">
        <v>3919</v>
      </c>
      <c r="I127" s="178" t="s">
        <v>3768</v>
      </c>
      <c r="J127" s="178">
        <v>2</v>
      </c>
      <c r="K127" s="178" t="s">
        <v>34</v>
      </c>
      <c r="L127" s="393"/>
    </row>
    <row r="128" spans="1:12" ht="15.8" customHeight="1" x14ac:dyDescent="0.2">
      <c r="A128" s="179" t="s">
        <v>10</v>
      </c>
      <c r="B128" s="178" t="s">
        <v>29</v>
      </c>
      <c r="C128" s="584"/>
      <c r="D128" s="389">
        <v>45362</v>
      </c>
      <c r="E128" s="178" t="s">
        <v>3965</v>
      </c>
      <c r="F128" s="178" t="s">
        <v>3966</v>
      </c>
      <c r="G128" s="178" t="s">
        <v>106</v>
      </c>
      <c r="H128" s="178" t="s">
        <v>227</v>
      </c>
      <c r="I128" s="178" t="s">
        <v>3768</v>
      </c>
      <c r="J128" s="178">
        <v>2</v>
      </c>
      <c r="K128" s="178" t="s">
        <v>34</v>
      </c>
      <c r="L128" s="393" t="s">
        <v>3768</v>
      </c>
    </row>
    <row r="129" spans="1:12" ht="15.8" customHeight="1" x14ac:dyDescent="0.2">
      <c r="A129" s="179" t="s">
        <v>51</v>
      </c>
      <c r="B129" s="178" t="s">
        <v>52</v>
      </c>
      <c r="C129" s="584"/>
      <c r="D129" s="389">
        <v>45363</v>
      </c>
      <c r="E129" s="178" t="s">
        <v>1306</v>
      </c>
      <c r="F129" s="178" t="s">
        <v>3920</v>
      </c>
      <c r="G129" s="178" t="s">
        <v>1027</v>
      </c>
      <c r="H129" s="178" t="s">
        <v>3921</v>
      </c>
      <c r="I129" s="178" t="s">
        <v>3922</v>
      </c>
      <c r="J129" s="178">
        <v>3</v>
      </c>
      <c r="K129" s="178" t="s">
        <v>16</v>
      </c>
      <c r="L129" s="393"/>
    </row>
    <row r="130" spans="1:12" ht="15.8" customHeight="1" x14ac:dyDescent="0.2">
      <c r="A130" s="179" t="s">
        <v>35</v>
      </c>
      <c r="B130" s="178" t="s">
        <v>2164</v>
      </c>
      <c r="C130" s="584"/>
      <c r="D130" s="389">
        <v>45365</v>
      </c>
      <c r="E130" s="178" t="s">
        <v>1543</v>
      </c>
      <c r="F130" s="178" t="s">
        <v>3923</v>
      </c>
      <c r="G130" s="178" t="s">
        <v>1178</v>
      </c>
      <c r="H130" s="178" t="s">
        <v>3924</v>
      </c>
      <c r="I130" s="178" t="s">
        <v>3768</v>
      </c>
      <c r="J130" s="178">
        <v>4</v>
      </c>
      <c r="K130" s="178" t="s">
        <v>50</v>
      </c>
      <c r="L130" s="393"/>
    </row>
    <row r="131" spans="1:12" ht="15.8" customHeight="1" x14ac:dyDescent="0.2">
      <c r="A131" s="179" t="s">
        <v>387</v>
      </c>
      <c r="B131" s="178" t="s">
        <v>52</v>
      </c>
      <c r="C131" s="584"/>
      <c r="D131" s="389">
        <v>45365</v>
      </c>
      <c r="E131" s="178" t="s">
        <v>57</v>
      </c>
      <c r="F131" s="178" t="s">
        <v>441</v>
      </c>
      <c r="G131" s="178"/>
      <c r="H131" s="178" t="s">
        <v>3925</v>
      </c>
      <c r="I131" s="178" t="s">
        <v>167</v>
      </c>
      <c r="J131" s="178">
        <v>3</v>
      </c>
      <c r="K131" s="178" t="s">
        <v>16</v>
      </c>
      <c r="L131" s="393"/>
    </row>
    <row r="132" spans="1:12" ht="15.8" customHeight="1" x14ac:dyDescent="0.2">
      <c r="A132" s="179" t="s">
        <v>10</v>
      </c>
      <c r="B132" s="178" t="s">
        <v>29</v>
      </c>
      <c r="C132" s="584"/>
      <c r="D132" s="389">
        <v>45365</v>
      </c>
      <c r="E132" s="178" t="s">
        <v>3967</v>
      </c>
      <c r="F132" s="178" t="s">
        <v>3968</v>
      </c>
      <c r="G132" s="178" t="s">
        <v>135</v>
      </c>
      <c r="H132" s="178" t="s">
        <v>29</v>
      </c>
      <c r="I132" s="178" t="s">
        <v>3768</v>
      </c>
      <c r="J132" s="178">
        <v>3</v>
      </c>
      <c r="K132" s="178" t="s">
        <v>34</v>
      </c>
      <c r="L132" s="393" t="s">
        <v>3768</v>
      </c>
    </row>
    <row r="133" spans="1:12" ht="15.8" customHeight="1" x14ac:dyDescent="0.2">
      <c r="A133" s="179" t="s">
        <v>51</v>
      </c>
      <c r="B133" s="178" t="s">
        <v>397</v>
      </c>
      <c r="C133" s="584"/>
      <c r="D133" s="389">
        <v>45366</v>
      </c>
      <c r="E133" s="178" t="s">
        <v>57</v>
      </c>
      <c r="F133" s="178" t="s">
        <v>3926</v>
      </c>
      <c r="G133" s="178"/>
      <c r="H133" s="178" t="s">
        <v>3927</v>
      </c>
      <c r="I133" s="178" t="s">
        <v>167</v>
      </c>
      <c r="J133" s="178">
        <v>8</v>
      </c>
      <c r="K133" s="178" t="s">
        <v>3928</v>
      </c>
      <c r="L133" s="393"/>
    </row>
    <row r="134" spans="1:12" ht="15.8" customHeight="1" x14ac:dyDescent="0.2">
      <c r="A134" s="179" t="s">
        <v>10</v>
      </c>
      <c r="B134" s="178" t="s">
        <v>152</v>
      </c>
      <c r="C134" s="584"/>
      <c r="D134" s="389">
        <v>45367</v>
      </c>
      <c r="E134" s="178" t="s">
        <v>91</v>
      </c>
      <c r="F134" s="178" t="s">
        <v>3929</v>
      </c>
      <c r="G134" s="178" t="s">
        <v>139</v>
      </c>
      <c r="H134" s="178" t="s">
        <v>152</v>
      </c>
      <c r="I134" s="178" t="s">
        <v>167</v>
      </c>
      <c r="J134" s="178">
        <v>4</v>
      </c>
      <c r="K134" s="178" t="s">
        <v>23</v>
      </c>
      <c r="L134" s="393"/>
    </row>
    <row r="135" spans="1:12" ht="15.8" customHeight="1" x14ac:dyDescent="0.2">
      <c r="A135" s="179" t="s">
        <v>51</v>
      </c>
      <c r="B135" s="178" t="s">
        <v>52</v>
      </c>
      <c r="C135" s="584"/>
      <c r="D135" s="389">
        <v>45367</v>
      </c>
      <c r="E135" s="178" t="s">
        <v>91</v>
      </c>
      <c r="F135" s="178" t="s">
        <v>3930</v>
      </c>
      <c r="G135" s="178" t="s">
        <v>3931</v>
      </c>
      <c r="H135" s="178" t="s">
        <v>3932</v>
      </c>
      <c r="I135" s="178" t="s">
        <v>167</v>
      </c>
      <c r="J135" s="178">
        <v>3</v>
      </c>
      <c r="K135" s="178" t="s">
        <v>16</v>
      </c>
      <c r="L135" s="393"/>
    </row>
    <row r="136" spans="1:12" ht="15.8" customHeight="1" x14ac:dyDescent="0.2">
      <c r="A136" s="179" t="s">
        <v>35</v>
      </c>
      <c r="B136" s="178" t="s">
        <v>137</v>
      </c>
      <c r="C136" s="584"/>
      <c r="D136" s="389">
        <v>45367</v>
      </c>
      <c r="E136" s="178" t="s">
        <v>1728</v>
      </c>
      <c r="F136" s="178" t="s">
        <v>3969</v>
      </c>
      <c r="G136" s="178" t="s">
        <v>3970</v>
      </c>
      <c r="H136" s="178" t="s">
        <v>3971</v>
      </c>
      <c r="I136" s="178" t="s">
        <v>3768</v>
      </c>
      <c r="J136" s="178">
        <v>2</v>
      </c>
      <c r="K136" s="178" t="s">
        <v>192</v>
      </c>
      <c r="L136" s="393" t="s">
        <v>3768</v>
      </c>
    </row>
    <row r="137" spans="1:12" ht="15.8" customHeight="1" x14ac:dyDescent="0.2">
      <c r="A137" s="179" t="s">
        <v>51</v>
      </c>
      <c r="B137" s="178" t="s">
        <v>52</v>
      </c>
      <c r="C137" s="584"/>
      <c r="D137" s="389">
        <v>45368</v>
      </c>
      <c r="E137" s="178" t="s">
        <v>3933</v>
      </c>
      <c r="F137" s="178" t="s">
        <v>3934</v>
      </c>
      <c r="G137" s="178" t="s">
        <v>3935</v>
      </c>
      <c r="H137" s="178" t="s">
        <v>3936</v>
      </c>
      <c r="I137" s="178" t="s">
        <v>3937</v>
      </c>
      <c r="J137" s="178">
        <v>3</v>
      </c>
      <c r="K137" s="178" t="s">
        <v>192</v>
      </c>
      <c r="L137" s="393"/>
    </row>
    <row r="138" spans="1:12" ht="15.8" customHeight="1" x14ac:dyDescent="0.2">
      <c r="A138" s="179" t="s">
        <v>10</v>
      </c>
      <c r="B138" s="178" t="s">
        <v>29</v>
      </c>
      <c r="C138" s="584"/>
      <c r="D138" s="389">
        <v>45368</v>
      </c>
      <c r="E138" s="178" t="s">
        <v>37</v>
      </c>
      <c r="F138" s="178" t="s">
        <v>3938</v>
      </c>
      <c r="G138" s="178" t="s">
        <v>1876</v>
      </c>
      <c r="H138" s="178" t="s">
        <v>29</v>
      </c>
      <c r="I138" s="178" t="s">
        <v>167</v>
      </c>
      <c r="J138" s="178">
        <v>2</v>
      </c>
      <c r="K138" s="178" t="s">
        <v>192</v>
      </c>
      <c r="L138" s="393"/>
    </row>
    <row r="139" spans="1:12" ht="15.8" customHeight="1" x14ac:dyDescent="0.2">
      <c r="A139" s="179" t="s">
        <v>17</v>
      </c>
      <c r="B139" s="178" t="s">
        <v>24</v>
      </c>
      <c r="C139" s="584"/>
      <c r="D139" s="389">
        <v>45369</v>
      </c>
      <c r="E139" s="178" t="s">
        <v>57</v>
      </c>
      <c r="F139" s="178" t="s">
        <v>3939</v>
      </c>
      <c r="G139" s="178"/>
      <c r="H139" s="178" t="s">
        <v>28</v>
      </c>
      <c r="I139" s="178" t="s">
        <v>167</v>
      </c>
      <c r="J139" s="178">
        <v>1</v>
      </c>
      <c r="K139" s="178" t="s">
        <v>23</v>
      </c>
      <c r="L139" s="393"/>
    </row>
    <row r="140" spans="1:12" ht="15.8" customHeight="1" x14ac:dyDescent="0.2">
      <c r="A140" s="179" t="s">
        <v>17</v>
      </c>
      <c r="B140" s="178" t="s">
        <v>24</v>
      </c>
      <c r="C140" s="584"/>
      <c r="D140" s="389">
        <v>45369</v>
      </c>
      <c r="E140" s="178" t="s">
        <v>72</v>
      </c>
      <c r="F140" s="178" t="s">
        <v>3940</v>
      </c>
      <c r="G140" s="178"/>
      <c r="H140" s="178" t="s">
        <v>28</v>
      </c>
      <c r="I140" s="178" t="s">
        <v>167</v>
      </c>
      <c r="J140" s="178">
        <v>1</v>
      </c>
      <c r="K140" s="178" t="s">
        <v>23</v>
      </c>
      <c r="L140" s="393"/>
    </row>
    <row r="141" spans="1:12" ht="15.8" customHeight="1" x14ac:dyDescent="0.2">
      <c r="A141" s="179" t="s">
        <v>10</v>
      </c>
      <c r="B141" s="178" t="s">
        <v>152</v>
      </c>
      <c r="C141" s="584"/>
      <c r="D141" s="389">
        <v>45369</v>
      </c>
      <c r="E141" s="178" t="s">
        <v>112</v>
      </c>
      <c r="F141" s="178" t="s">
        <v>3941</v>
      </c>
      <c r="G141" s="178" t="s">
        <v>85</v>
      </c>
      <c r="H141" s="178" t="s">
        <v>3942</v>
      </c>
      <c r="I141" s="178" t="s">
        <v>3864</v>
      </c>
      <c r="J141" s="178">
        <v>5</v>
      </c>
      <c r="K141" s="178" t="s">
        <v>34</v>
      </c>
      <c r="L141" s="393"/>
    </row>
    <row r="142" spans="1:12" ht="15.8" customHeight="1" x14ac:dyDescent="0.2">
      <c r="A142" s="179" t="s">
        <v>10</v>
      </c>
      <c r="B142" s="178" t="s">
        <v>11</v>
      </c>
      <c r="C142" s="584"/>
      <c r="D142" s="389">
        <v>45369</v>
      </c>
      <c r="E142" s="178" t="s">
        <v>37</v>
      </c>
      <c r="F142" s="178" t="s">
        <v>3943</v>
      </c>
      <c r="G142" s="178" t="s">
        <v>32</v>
      </c>
      <c r="H142" s="178" t="s">
        <v>3944</v>
      </c>
      <c r="I142" s="178" t="s">
        <v>3864</v>
      </c>
      <c r="J142" s="178">
        <v>2</v>
      </c>
      <c r="K142" s="178" t="s">
        <v>16</v>
      </c>
      <c r="L142" s="393"/>
    </row>
    <row r="143" spans="1:12" ht="15.8" customHeight="1" x14ac:dyDescent="0.2">
      <c r="A143" s="179" t="s">
        <v>10</v>
      </c>
      <c r="B143" s="178" t="s">
        <v>29</v>
      </c>
      <c r="C143" s="584"/>
      <c r="D143" s="389">
        <v>45369</v>
      </c>
      <c r="E143" s="178" t="s">
        <v>305</v>
      </c>
      <c r="F143" s="178" t="s">
        <v>3945</v>
      </c>
      <c r="G143" s="178" t="s">
        <v>733</v>
      </c>
      <c r="H143" s="178" t="s">
        <v>1444</v>
      </c>
      <c r="I143" s="178" t="s">
        <v>3768</v>
      </c>
      <c r="J143" s="178">
        <v>2</v>
      </c>
      <c r="K143" s="178" t="s">
        <v>50</v>
      </c>
      <c r="L143" s="393"/>
    </row>
    <row r="144" spans="1:12" ht="15.8" customHeight="1" x14ac:dyDescent="0.2">
      <c r="A144" s="179" t="s">
        <v>10</v>
      </c>
      <c r="B144" s="178" t="s">
        <v>29</v>
      </c>
      <c r="C144" s="584"/>
      <c r="D144" s="389">
        <v>45369</v>
      </c>
      <c r="E144" s="178" t="s">
        <v>305</v>
      </c>
      <c r="F144" s="178" t="s">
        <v>3946</v>
      </c>
      <c r="G144" s="178" t="s">
        <v>70</v>
      </c>
      <c r="H144" s="178" t="s">
        <v>1444</v>
      </c>
      <c r="I144" s="178" t="s">
        <v>3768</v>
      </c>
      <c r="J144" s="178">
        <v>2</v>
      </c>
      <c r="K144" s="178" t="s">
        <v>50</v>
      </c>
      <c r="L144" s="393"/>
    </row>
    <row r="145" spans="1:12" ht="15.8" customHeight="1" x14ac:dyDescent="0.2">
      <c r="A145" s="179" t="s">
        <v>10</v>
      </c>
      <c r="B145" s="178" t="s">
        <v>29</v>
      </c>
      <c r="C145" s="584"/>
      <c r="D145" s="389">
        <v>45370</v>
      </c>
      <c r="E145" s="178" t="s">
        <v>164</v>
      </c>
      <c r="F145" s="178" t="s">
        <v>3947</v>
      </c>
      <c r="G145" s="178" t="s">
        <v>3948</v>
      </c>
      <c r="H145" s="178" t="s">
        <v>3949</v>
      </c>
      <c r="I145" s="178" t="s">
        <v>3864</v>
      </c>
      <c r="J145" s="178">
        <v>2</v>
      </c>
      <c r="K145" s="178" t="s">
        <v>34</v>
      </c>
      <c r="L145" s="393"/>
    </row>
    <row r="146" spans="1:12" ht="15.8" customHeight="1" x14ac:dyDescent="0.2">
      <c r="A146" s="179" t="s">
        <v>146</v>
      </c>
      <c r="B146" s="178" t="s">
        <v>11</v>
      </c>
      <c r="C146" s="584"/>
      <c r="D146" s="389">
        <v>45370</v>
      </c>
      <c r="E146" s="178" t="s">
        <v>3950</v>
      </c>
      <c r="F146" s="178" t="s">
        <v>3951</v>
      </c>
      <c r="G146" s="178" t="s">
        <v>128</v>
      </c>
      <c r="H146" s="178" t="s">
        <v>3952</v>
      </c>
      <c r="I146" s="178" t="s">
        <v>3864</v>
      </c>
      <c r="J146" s="178">
        <v>4</v>
      </c>
      <c r="K146" s="178" t="s">
        <v>16</v>
      </c>
      <c r="L146" s="393"/>
    </row>
    <row r="147" spans="1:12" ht="15.8" customHeight="1" x14ac:dyDescent="0.2">
      <c r="A147" s="179" t="s">
        <v>10</v>
      </c>
      <c r="B147" s="178" t="s">
        <v>2162</v>
      </c>
      <c r="C147" s="584"/>
      <c r="D147" s="389">
        <v>45370</v>
      </c>
      <c r="E147" s="178" t="s">
        <v>37</v>
      </c>
      <c r="F147" s="178" t="s">
        <v>381</v>
      </c>
      <c r="G147" s="178" t="s">
        <v>27</v>
      </c>
      <c r="H147" s="178" t="s">
        <v>3953</v>
      </c>
      <c r="I147" s="178" t="s">
        <v>3864</v>
      </c>
      <c r="J147" s="178">
        <v>3</v>
      </c>
      <c r="K147" s="178" t="s">
        <v>16</v>
      </c>
      <c r="L147" s="393"/>
    </row>
    <row r="148" spans="1:12" ht="15.8" customHeight="1" x14ac:dyDescent="0.2">
      <c r="A148" s="179" t="s">
        <v>10</v>
      </c>
      <c r="B148" s="178" t="s">
        <v>451</v>
      </c>
      <c r="C148" s="584"/>
      <c r="D148" s="389">
        <v>45370</v>
      </c>
      <c r="E148" s="178" t="s">
        <v>1712</v>
      </c>
      <c r="F148" s="178" t="s">
        <v>3972</v>
      </c>
      <c r="G148" s="178" t="s">
        <v>446</v>
      </c>
      <c r="H148" s="178" t="s">
        <v>3973</v>
      </c>
      <c r="I148" s="178" t="s">
        <v>3768</v>
      </c>
      <c r="J148" s="178">
        <v>2</v>
      </c>
      <c r="K148" s="178" t="s">
        <v>78</v>
      </c>
      <c r="L148" s="393" t="s">
        <v>3768</v>
      </c>
    </row>
    <row r="149" spans="1:12" ht="15.8" customHeight="1" x14ac:dyDescent="0.2">
      <c r="A149" s="179" t="s">
        <v>51</v>
      </c>
      <c r="B149" s="178" t="s">
        <v>52</v>
      </c>
      <c r="C149" s="584"/>
      <c r="D149" s="389">
        <v>45372</v>
      </c>
      <c r="E149" s="178" t="s">
        <v>3974</v>
      </c>
      <c r="F149" s="178" t="s">
        <v>401</v>
      </c>
      <c r="G149" s="178" t="s">
        <v>3975</v>
      </c>
      <c r="H149" s="178" t="s">
        <v>3976</v>
      </c>
      <c r="I149" s="178" t="s">
        <v>3768</v>
      </c>
      <c r="J149" s="178">
        <v>4</v>
      </c>
      <c r="K149" s="178" t="s">
        <v>16</v>
      </c>
      <c r="L149" s="393" t="s">
        <v>3768</v>
      </c>
    </row>
    <row r="150" spans="1:12" ht="15.8" customHeight="1" x14ac:dyDescent="0.2">
      <c r="A150" s="179" t="s">
        <v>10</v>
      </c>
      <c r="B150" s="178" t="s">
        <v>2161</v>
      </c>
      <c r="C150" s="584"/>
      <c r="D150" s="389">
        <v>45372</v>
      </c>
      <c r="E150" s="178" t="s">
        <v>3977</v>
      </c>
      <c r="F150" s="178" t="s">
        <v>139</v>
      </c>
      <c r="G150" s="178" t="s">
        <v>3978</v>
      </c>
      <c r="H150" s="178" t="s">
        <v>502</v>
      </c>
      <c r="I150" s="178" t="s">
        <v>3768</v>
      </c>
      <c r="J150" s="178">
        <v>3</v>
      </c>
      <c r="K150" s="178" t="s">
        <v>78</v>
      </c>
      <c r="L150" s="393" t="s">
        <v>3768</v>
      </c>
    </row>
    <row r="151" spans="1:12" ht="15.8" customHeight="1" x14ac:dyDescent="0.2">
      <c r="A151" s="179" t="s">
        <v>17</v>
      </c>
      <c r="B151" s="178" t="s">
        <v>24</v>
      </c>
      <c r="C151" s="584"/>
      <c r="D151" s="389">
        <v>45373</v>
      </c>
      <c r="E151" s="178" t="s">
        <v>3703</v>
      </c>
      <c r="F151" s="178" t="s">
        <v>3979</v>
      </c>
      <c r="G151" s="178" t="s">
        <v>110</v>
      </c>
      <c r="H151" s="178" t="s">
        <v>3980</v>
      </c>
      <c r="I151" s="178" t="s">
        <v>3768</v>
      </c>
      <c r="J151" s="178">
        <v>1</v>
      </c>
      <c r="K151" s="178" t="s">
        <v>78</v>
      </c>
      <c r="L151" s="393" t="s">
        <v>3768</v>
      </c>
    </row>
    <row r="152" spans="1:12" ht="15.8" customHeight="1" x14ac:dyDescent="0.2">
      <c r="A152" s="179" t="s">
        <v>17</v>
      </c>
      <c r="B152" s="178" t="s">
        <v>24</v>
      </c>
      <c r="C152" s="584"/>
      <c r="D152" s="389">
        <v>45373</v>
      </c>
      <c r="E152" s="178" t="s">
        <v>37</v>
      </c>
      <c r="F152" s="178" t="s">
        <v>3981</v>
      </c>
      <c r="G152" s="178" t="s">
        <v>27</v>
      </c>
      <c r="H152" s="178" t="s">
        <v>1809</v>
      </c>
      <c r="I152" s="178" t="s">
        <v>3768</v>
      </c>
      <c r="J152" s="178">
        <v>1</v>
      </c>
      <c r="K152" s="178" t="s">
        <v>78</v>
      </c>
      <c r="L152" s="393" t="s">
        <v>3768</v>
      </c>
    </row>
    <row r="153" spans="1:12" ht="15.8" customHeight="1" x14ac:dyDescent="0.2">
      <c r="A153" s="179" t="s">
        <v>10</v>
      </c>
      <c r="B153" s="178" t="s">
        <v>2161</v>
      </c>
      <c r="C153" s="584"/>
      <c r="D153" s="389">
        <v>45374</v>
      </c>
      <c r="E153" s="178" t="s">
        <v>57</v>
      </c>
      <c r="F153" s="178" t="s">
        <v>3982</v>
      </c>
      <c r="G153" s="178" t="s">
        <v>3983</v>
      </c>
      <c r="H153" s="178" t="s">
        <v>3984</v>
      </c>
      <c r="I153" s="178" t="s">
        <v>3937</v>
      </c>
      <c r="J153" s="178">
        <v>3</v>
      </c>
      <c r="K153" s="178" t="s">
        <v>50</v>
      </c>
      <c r="L153" s="393" t="s">
        <v>3937</v>
      </c>
    </row>
    <row r="154" spans="1:12" ht="15.8" customHeight="1" x14ac:dyDescent="0.2">
      <c r="A154" s="179" t="s">
        <v>51</v>
      </c>
      <c r="B154" s="178" t="s">
        <v>52</v>
      </c>
      <c r="C154" s="584"/>
      <c r="D154" s="389">
        <v>45374</v>
      </c>
      <c r="E154" s="178" t="s">
        <v>2666</v>
      </c>
      <c r="F154" s="178" t="s">
        <v>189</v>
      </c>
      <c r="G154" s="178" t="s">
        <v>182</v>
      </c>
      <c r="H154" s="178" t="s">
        <v>2466</v>
      </c>
      <c r="I154" s="178" t="s">
        <v>3768</v>
      </c>
      <c r="J154" s="178">
        <v>3</v>
      </c>
      <c r="K154" s="178" t="s">
        <v>16</v>
      </c>
      <c r="L154" s="393" t="s">
        <v>3768</v>
      </c>
    </row>
    <row r="155" spans="1:12" ht="15.8" customHeight="1" x14ac:dyDescent="0.2">
      <c r="A155" s="179" t="s">
        <v>51</v>
      </c>
      <c r="B155" s="178" t="s">
        <v>52</v>
      </c>
      <c r="C155" s="584"/>
      <c r="D155" s="389">
        <v>45375</v>
      </c>
      <c r="E155" s="178" t="s">
        <v>3985</v>
      </c>
      <c r="F155" s="178" t="s">
        <v>3986</v>
      </c>
      <c r="G155" s="178" t="s">
        <v>3987</v>
      </c>
      <c r="H155" s="178" t="s">
        <v>3988</v>
      </c>
      <c r="I155" s="178" t="s">
        <v>167</v>
      </c>
      <c r="J155" s="178">
        <v>8</v>
      </c>
      <c r="K155" s="178" t="s">
        <v>1075</v>
      </c>
      <c r="L155" s="393" t="s">
        <v>167</v>
      </c>
    </row>
    <row r="156" spans="1:12" ht="15.8" customHeight="1" x14ac:dyDescent="0.2">
      <c r="A156" s="179" t="s">
        <v>10</v>
      </c>
      <c r="B156" s="178" t="s">
        <v>29</v>
      </c>
      <c r="C156" s="584"/>
      <c r="D156" s="389">
        <v>45375</v>
      </c>
      <c r="E156" s="178" t="s">
        <v>72</v>
      </c>
      <c r="F156" s="178" t="s">
        <v>3989</v>
      </c>
      <c r="G156" s="178" t="s">
        <v>139</v>
      </c>
      <c r="H156" s="178" t="s">
        <v>29</v>
      </c>
      <c r="I156" s="178" t="s">
        <v>167</v>
      </c>
      <c r="J156" s="178">
        <v>4</v>
      </c>
      <c r="K156" s="178" t="s">
        <v>34</v>
      </c>
      <c r="L156" s="393" t="s">
        <v>167</v>
      </c>
    </row>
    <row r="157" spans="1:12" ht="15.8" customHeight="1" x14ac:dyDescent="0.2">
      <c r="A157" s="179" t="s">
        <v>35</v>
      </c>
      <c r="B157" s="178" t="s">
        <v>2164</v>
      </c>
      <c r="C157" s="584"/>
      <c r="D157" s="389">
        <v>45377</v>
      </c>
      <c r="E157" s="178" t="s">
        <v>2666</v>
      </c>
      <c r="F157" s="178" t="s">
        <v>401</v>
      </c>
      <c r="G157" s="178" t="s">
        <v>366</v>
      </c>
      <c r="H157" s="178" t="s">
        <v>3990</v>
      </c>
      <c r="I157" s="178" t="s">
        <v>3768</v>
      </c>
      <c r="J157" s="178">
        <v>3</v>
      </c>
      <c r="K157" s="178" t="s">
        <v>50</v>
      </c>
      <c r="L157" s="393" t="s">
        <v>3991</v>
      </c>
    </row>
    <row r="158" spans="1:12" ht="15.8" customHeight="1" x14ac:dyDescent="0.2">
      <c r="A158" s="179" t="s">
        <v>17</v>
      </c>
      <c r="B158" s="178" t="s">
        <v>24</v>
      </c>
      <c r="C158" s="584"/>
      <c r="D158" s="389">
        <v>45378</v>
      </c>
      <c r="E158" s="178" t="s">
        <v>37</v>
      </c>
      <c r="F158" s="178" t="s">
        <v>3992</v>
      </c>
      <c r="G158" s="178" t="s">
        <v>2211</v>
      </c>
      <c r="H158" s="178" t="s">
        <v>3993</v>
      </c>
      <c r="I158" s="178" t="s">
        <v>3864</v>
      </c>
      <c r="J158" s="178">
        <v>1</v>
      </c>
      <c r="K158" s="178" t="s">
        <v>23</v>
      </c>
      <c r="L158" s="393" t="s">
        <v>3864</v>
      </c>
    </row>
    <row r="159" spans="1:12" ht="15.8" customHeight="1" x14ac:dyDescent="0.2">
      <c r="A159" s="179" t="s">
        <v>10</v>
      </c>
      <c r="B159" s="178" t="s">
        <v>2162</v>
      </c>
      <c r="C159" s="584"/>
      <c r="D159" s="389">
        <v>45379</v>
      </c>
      <c r="E159" s="178" t="s">
        <v>1535</v>
      </c>
      <c r="F159" s="178" t="s">
        <v>27</v>
      </c>
      <c r="G159" s="178" t="s">
        <v>3994</v>
      </c>
      <c r="H159" s="178" t="s">
        <v>3995</v>
      </c>
      <c r="I159" s="178" t="s">
        <v>3768</v>
      </c>
      <c r="J159" s="178">
        <v>21</v>
      </c>
      <c r="K159" s="178" t="s">
        <v>3996</v>
      </c>
      <c r="L159" s="393" t="s">
        <v>3768</v>
      </c>
    </row>
    <row r="160" spans="1:12" ht="15.8" customHeight="1" x14ac:dyDescent="0.2">
      <c r="A160" s="179" t="s">
        <v>10</v>
      </c>
      <c r="B160" s="178" t="s">
        <v>2162</v>
      </c>
      <c r="C160" s="584"/>
      <c r="D160" s="389">
        <v>45380</v>
      </c>
      <c r="E160" s="178" t="s">
        <v>884</v>
      </c>
      <c r="F160" s="390" t="s">
        <v>3997</v>
      </c>
      <c r="G160" s="178"/>
      <c r="H160" s="178" t="s">
        <v>3998</v>
      </c>
      <c r="I160" s="178" t="s">
        <v>3768</v>
      </c>
      <c r="J160" s="178">
        <v>22</v>
      </c>
      <c r="K160" s="178" t="s">
        <v>3999</v>
      </c>
      <c r="L160" s="393" t="s">
        <v>3768</v>
      </c>
    </row>
    <row r="161" spans="1:12" ht="15.8" customHeight="1" x14ac:dyDescent="0.2">
      <c r="A161" s="179" t="s">
        <v>10</v>
      </c>
      <c r="B161" s="178" t="s">
        <v>2162</v>
      </c>
      <c r="C161" s="584"/>
      <c r="D161" s="389">
        <v>45380</v>
      </c>
      <c r="E161" s="178" t="s">
        <v>133</v>
      </c>
      <c r="F161" s="178" t="s">
        <v>4000</v>
      </c>
      <c r="G161" s="178" t="s">
        <v>27</v>
      </c>
      <c r="H161" s="178" t="s">
        <v>4001</v>
      </c>
      <c r="I161" s="178" t="s">
        <v>3864</v>
      </c>
      <c r="J161" s="178">
        <v>24</v>
      </c>
      <c r="K161" s="178" t="s">
        <v>56</v>
      </c>
      <c r="L161" s="393" t="s">
        <v>3864</v>
      </c>
    </row>
    <row r="162" spans="1:12" ht="15.8" customHeight="1" x14ac:dyDescent="0.2">
      <c r="A162" s="179" t="s">
        <v>10</v>
      </c>
      <c r="B162" s="178" t="s">
        <v>2162</v>
      </c>
      <c r="C162" s="584"/>
      <c r="D162" s="389">
        <v>45381</v>
      </c>
      <c r="E162" s="178" t="s">
        <v>4002</v>
      </c>
      <c r="F162" s="178" t="s">
        <v>4003</v>
      </c>
      <c r="G162" s="178" t="s">
        <v>150</v>
      </c>
      <c r="H162" s="178" t="s">
        <v>4004</v>
      </c>
      <c r="I162" s="178" t="s">
        <v>3768</v>
      </c>
      <c r="J162" s="178">
        <v>13</v>
      </c>
      <c r="K162" s="178" t="s">
        <v>41</v>
      </c>
      <c r="L162" s="393" t="s">
        <v>3768</v>
      </c>
    </row>
    <row r="163" spans="1:12" ht="15.8" customHeight="1" x14ac:dyDescent="0.2">
      <c r="A163" s="179" t="s">
        <v>10</v>
      </c>
      <c r="B163" s="178" t="s">
        <v>2162</v>
      </c>
      <c r="C163" s="584"/>
      <c r="D163" s="389">
        <v>45381</v>
      </c>
      <c r="E163" s="178" t="s">
        <v>4002</v>
      </c>
      <c r="F163" s="178" t="s">
        <v>4003</v>
      </c>
      <c r="G163" s="178" t="s">
        <v>150</v>
      </c>
      <c r="H163" s="178" t="s">
        <v>4004</v>
      </c>
      <c r="I163" s="178" t="s">
        <v>3768</v>
      </c>
      <c r="J163" s="178">
        <v>13</v>
      </c>
      <c r="K163" s="178" t="s">
        <v>41</v>
      </c>
      <c r="L163" s="393" t="s">
        <v>3768</v>
      </c>
    </row>
    <row r="164" spans="1:12" ht="15.8" customHeight="1" x14ac:dyDescent="0.2">
      <c r="A164" s="179" t="s">
        <v>10</v>
      </c>
      <c r="B164" s="178" t="s">
        <v>324</v>
      </c>
      <c r="C164" s="584"/>
      <c r="D164" s="389">
        <v>45382</v>
      </c>
      <c r="E164" s="178" t="s">
        <v>305</v>
      </c>
      <c r="F164" s="178" t="s">
        <v>4005</v>
      </c>
      <c r="G164" s="178" t="s">
        <v>1777</v>
      </c>
      <c r="H164" s="178" t="s">
        <v>4006</v>
      </c>
      <c r="I164" s="178" t="s">
        <v>3937</v>
      </c>
      <c r="J164" s="178">
        <v>3</v>
      </c>
      <c r="K164" s="178" t="s">
        <v>16</v>
      </c>
      <c r="L164" s="393" t="s">
        <v>3937</v>
      </c>
    </row>
    <row r="165" spans="1:12" ht="15.8" customHeight="1" x14ac:dyDescent="0.2">
      <c r="A165" s="179" t="s">
        <v>35</v>
      </c>
      <c r="B165" s="178" t="s">
        <v>137</v>
      </c>
      <c r="C165" s="584"/>
      <c r="D165" s="389">
        <v>45382</v>
      </c>
      <c r="E165" s="178" t="s">
        <v>37</v>
      </c>
      <c r="F165" s="178" t="s">
        <v>4007</v>
      </c>
      <c r="G165" s="178" t="s">
        <v>4008</v>
      </c>
      <c r="H165" s="178" t="s">
        <v>4009</v>
      </c>
      <c r="I165" s="178" t="s">
        <v>3768</v>
      </c>
      <c r="J165" s="178">
        <v>6</v>
      </c>
      <c r="K165" s="178" t="s">
        <v>56</v>
      </c>
      <c r="L165" s="393" t="s">
        <v>3768</v>
      </c>
    </row>
    <row r="166" spans="1:12" ht="15.8" customHeight="1" x14ac:dyDescent="0.2">
      <c r="A166" s="179" t="s">
        <v>10</v>
      </c>
      <c r="B166" s="178" t="s">
        <v>324</v>
      </c>
      <c r="C166" s="584"/>
      <c r="D166" s="389">
        <v>45382</v>
      </c>
      <c r="E166" s="178" t="s">
        <v>57</v>
      </c>
      <c r="F166" s="178" t="s">
        <v>4010</v>
      </c>
      <c r="G166" s="178" t="s">
        <v>4011</v>
      </c>
      <c r="H166" s="178" t="s">
        <v>4012</v>
      </c>
      <c r="I166" s="178" t="s">
        <v>167</v>
      </c>
      <c r="J166" s="178">
        <v>5</v>
      </c>
      <c r="K166" s="178" t="s">
        <v>50</v>
      </c>
      <c r="L166" s="393" t="s">
        <v>167</v>
      </c>
    </row>
    <row r="167" spans="1:12" ht="15.8" customHeight="1" x14ac:dyDescent="0.25">
      <c r="A167" s="394" t="s">
        <v>403</v>
      </c>
      <c r="B167" s="361"/>
      <c r="C167" s="391"/>
      <c r="D167" s="361"/>
      <c r="E167" s="361"/>
      <c r="F167" s="361"/>
      <c r="G167" s="361"/>
      <c r="H167" s="361"/>
      <c r="I167" s="361"/>
      <c r="J167" s="361"/>
      <c r="K167" s="361"/>
      <c r="L167" s="395"/>
    </row>
    <row r="168" spans="1:12" ht="15.8" customHeight="1" x14ac:dyDescent="0.2">
      <c r="A168" s="178" t="s">
        <v>35</v>
      </c>
      <c r="B168" s="178" t="s">
        <v>137</v>
      </c>
      <c r="C168" s="572">
        <f>COUNTIF(B168:B207,C2)</f>
        <v>3</v>
      </c>
      <c r="D168" s="389">
        <v>45383</v>
      </c>
      <c r="E168" s="178" t="s">
        <v>1728</v>
      </c>
      <c r="F168" s="178" t="s">
        <v>4008</v>
      </c>
      <c r="G168" s="178" t="s">
        <v>2329</v>
      </c>
      <c r="H168" s="178" t="s">
        <v>4528</v>
      </c>
      <c r="I168" s="178" t="s">
        <v>3768</v>
      </c>
      <c r="J168" s="178">
        <v>6</v>
      </c>
      <c r="K168" s="178" t="s">
        <v>1075</v>
      </c>
      <c r="L168" s="178" t="s">
        <v>3768</v>
      </c>
    </row>
    <row r="169" spans="1:12" ht="15.8" customHeight="1" x14ac:dyDescent="0.2">
      <c r="A169" s="178" t="s">
        <v>10</v>
      </c>
      <c r="B169" s="178" t="s">
        <v>324</v>
      </c>
      <c r="C169" s="573"/>
      <c r="D169" s="389">
        <v>45384</v>
      </c>
      <c r="E169" s="178" t="s">
        <v>112</v>
      </c>
      <c r="F169" s="178" t="s">
        <v>4013</v>
      </c>
      <c r="G169" s="178" t="s">
        <v>139</v>
      </c>
      <c r="H169" s="178" t="s">
        <v>4014</v>
      </c>
      <c r="I169" s="178" t="s">
        <v>3864</v>
      </c>
      <c r="J169" s="178">
        <v>4</v>
      </c>
      <c r="K169" s="178" t="s">
        <v>16</v>
      </c>
      <c r="L169" s="178" t="s">
        <v>139</v>
      </c>
    </row>
    <row r="170" spans="1:12" ht="15.8" customHeight="1" x14ac:dyDescent="0.2">
      <c r="A170" s="178" t="s">
        <v>17</v>
      </c>
      <c r="B170" s="178" t="s">
        <v>24</v>
      </c>
      <c r="C170" s="573"/>
      <c r="D170" s="389">
        <v>45384</v>
      </c>
      <c r="E170" s="178" t="s">
        <v>2652</v>
      </c>
      <c r="F170" s="178" t="s">
        <v>4015</v>
      </c>
      <c r="G170" s="178" t="s">
        <v>979</v>
      </c>
      <c r="H170" s="178" t="s">
        <v>4016</v>
      </c>
      <c r="I170" s="178" t="s">
        <v>3768</v>
      </c>
      <c r="J170" s="178">
        <v>1</v>
      </c>
      <c r="K170" s="178" t="s">
        <v>23</v>
      </c>
      <c r="L170" s="178" t="s">
        <v>4017</v>
      </c>
    </row>
    <row r="171" spans="1:12" ht="15.8" customHeight="1" x14ac:dyDescent="0.2">
      <c r="A171" s="178" t="s">
        <v>17</v>
      </c>
      <c r="B171" s="178" t="s">
        <v>24</v>
      </c>
      <c r="C171" s="573"/>
      <c r="D171" s="389">
        <v>45384</v>
      </c>
      <c r="E171" s="178" t="s">
        <v>37</v>
      </c>
      <c r="F171" s="178" t="s">
        <v>4018</v>
      </c>
      <c r="G171" s="178" t="s">
        <v>4019</v>
      </c>
      <c r="H171" s="178" t="s">
        <v>1809</v>
      </c>
      <c r="I171" s="178" t="s">
        <v>3768</v>
      </c>
      <c r="J171" s="178">
        <v>1</v>
      </c>
      <c r="K171" s="178" t="s">
        <v>23</v>
      </c>
      <c r="L171" s="178" t="s">
        <v>4020</v>
      </c>
    </row>
    <row r="172" spans="1:12" ht="15.8" customHeight="1" x14ac:dyDescent="0.2">
      <c r="A172" s="178" t="s">
        <v>17</v>
      </c>
      <c r="B172" s="178" t="s">
        <v>24</v>
      </c>
      <c r="C172" s="573"/>
      <c r="D172" s="389">
        <v>45387</v>
      </c>
      <c r="E172" s="178" t="s">
        <v>57</v>
      </c>
      <c r="F172" s="178" t="s">
        <v>921</v>
      </c>
      <c r="G172" s="178"/>
      <c r="H172" s="178" t="s">
        <v>28</v>
      </c>
      <c r="I172" s="178" t="s">
        <v>167</v>
      </c>
      <c r="J172" s="178">
        <v>1</v>
      </c>
      <c r="K172" s="178" t="s">
        <v>23</v>
      </c>
      <c r="L172" s="178" t="s">
        <v>167</v>
      </c>
    </row>
    <row r="173" spans="1:12" ht="15.8" customHeight="1" x14ac:dyDescent="0.2">
      <c r="A173" s="178" t="s">
        <v>146</v>
      </c>
      <c r="B173" s="178" t="s">
        <v>2163</v>
      </c>
      <c r="C173" s="573"/>
      <c r="D173" s="389">
        <v>45386</v>
      </c>
      <c r="E173" s="178" t="s">
        <v>91</v>
      </c>
      <c r="F173" s="178" t="s">
        <v>95</v>
      </c>
      <c r="G173" s="178" t="s">
        <v>95</v>
      </c>
      <c r="H173" s="178" t="s">
        <v>4021</v>
      </c>
      <c r="I173" s="178" t="s">
        <v>167</v>
      </c>
      <c r="J173" s="178">
        <v>4</v>
      </c>
      <c r="K173" s="178" t="s">
        <v>16</v>
      </c>
      <c r="L173" s="178" t="s">
        <v>167</v>
      </c>
    </row>
    <row r="174" spans="1:12" ht="15.8" customHeight="1" x14ac:dyDescent="0.2">
      <c r="A174" s="178" t="s">
        <v>17</v>
      </c>
      <c r="B174" s="178" t="s">
        <v>24</v>
      </c>
      <c r="C174" s="573"/>
      <c r="D174" s="389">
        <v>45388</v>
      </c>
      <c r="E174" s="178" t="s">
        <v>37</v>
      </c>
      <c r="F174" s="178" t="s">
        <v>4022</v>
      </c>
      <c r="G174" s="178" t="s">
        <v>4023</v>
      </c>
      <c r="H174" s="178" t="s">
        <v>1809</v>
      </c>
      <c r="I174" s="178" t="s">
        <v>3768</v>
      </c>
      <c r="J174" s="178">
        <v>1</v>
      </c>
      <c r="K174" s="178" t="s">
        <v>23</v>
      </c>
      <c r="L174" s="178" t="s">
        <v>3768</v>
      </c>
    </row>
    <row r="175" spans="1:12" ht="15.8" customHeight="1" x14ac:dyDescent="0.2">
      <c r="A175" s="178" t="s">
        <v>17</v>
      </c>
      <c r="B175" s="178" t="s">
        <v>24</v>
      </c>
      <c r="C175" s="573"/>
      <c r="D175" s="389">
        <v>45388</v>
      </c>
      <c r="E175" s="178" t="s">
        <v>37</v>
      </c>
      <c r="F175" s="178" t="s">
        <v>4024</v>
      </c>
      <c r="G175" s="178" t="s">
        <v>4025</v>
      </c>
      <c r="H175" s="178" t="s">
        <v>1809</v>
      </c>
      <c r="I175" s="178" t="s">
        <v>3768</v>
      </c>
      <c r="J175" s="178">
        <v>1</v>
      </c>
      <c r="K175" s="178" t="s">
        <v>23</v>
      </c>
      <c r="L175" s="178" t="s">
        <v>3768</v>
      </c>
    </row>
    <row r="176" spans="1:12" ht="15.8" customHeight="1" x14ac:dyDescent="0.2">
      <c r="A176" s="178" t="s">
        <v>17</v>
      </c>
      <c r="B176" s="178" t="s">
        <v>24</v>
      </c>
      <c r="C176" s="573"/>
      <c r="D176" s="389">
        <v>45388</v>
      </c>
      <c r="E176" s="178" t="s">
        <v>37</v>
      </c>
      <c r="F176" s="178" t="s">
        <v>4026</v>
      </c>
      <c r="G176" s="178" t="s">
        <v>4027</v>
      </c>
      <c r="H176" s="178" t="s">
        <v>1809</v>
      </c>
      <c r="I176" s="178" t="s">
        <v>3768</v>
      </c>
      <c r="J176" s="178">
        <v>1</v>
      </c>
      <c r="K176" s="178" t="s">
        <v>23</v>
      </c>
      <c r="L176" s="178" t="s">
        <v>3768</v>
      </c>
    </row>
    <row r="177" spans="1:12" ht="15.8" customHeight="1" x14ac:dyDescent="0.2">
      <c r="A177" s="178" t="s">
        <v>10</v>
      </c>
      <c r="B177" s="178" t="s">
        <v>29</v>
      </c>
      <c r="C177" s="573"/>
      <c r="D177" s="389">
        <v>45389</v>
      </c>
      <c r="E177" s="178" t="s">
        <v>57</v>
      </c>
      <c r="F177" s="178" t="s">
        <v>4028</v>
      </c>
      <c r="G177" s="178"/>
      <c r="H177" s="178" t="s">
        <v>29</v>
      </c>
      <c r="I177" s="178" t="s">
        <v>167</v>
      </c>
      <c r="J177" s="178">
        <v>3</v>
      </c>
      <c r="K177" s="178" t="s">
        <v>16</v>
      </c>
      <c r="L177" s="178" t="s">
        <v>167</v>
      </c>
    </row>
    <row r="178" spans="1:12" ht="15.8" customHeight="1" x14ac:dyDescent="0.2">
      <c r="A178" s="178" t="s">
        <v>387</v>
      </c>
      <c r="B178" s="178" t="s">
        <v>52</v>
      </c>
      <c r="C178" s="573"/>
      <c r="D178" s="389">
        <v>45393</v>
      </c>
      <c r="E178" s="178" t="s">
        <v>57</v>
      </c>
      <c r="F178" s="178" t="s">
        <v>4030</v>
      </c>
      <c r="G178" s="178" t="s">
        <v>4030</v>
      </c>
      <c r="H178" s="178" t="s">
        <v>4031</v>
      </c>
      <c r="I178" s="178" t="s">
        <v>3937</v>
      </c>
      <c r="J178" s="178">
        <v>2</v>
      </c>
      <c r="K178" s="178" t="s">
        <v>78</v>
      </c>
      <c r="L178" s="178" t="s">
        <v>3937</v>
      </c>
    </row>
    <row r="179" spans="1:12" ht="15.8" customHeight="1" x14ac:dyDescent="0.2">
      <c r="A179" s="178" t="s">
        <v>35</v>
      </c>
      <c r="B179" s="178" t="s">
        <v>29</v>
      </c>
      <c r="C179" s="573"/>
      <c r="D179" s="389">
        <v>45394</v>
      </c>
      <c r="E179" s="178" t="s">
        <v>37</v>
      </c>
      <c r="F179" s="178" t="s">
        <v>4032</v>
      </c>
      <c r="G179" s="178" t="s">
        <v>27</v>
      </c>
      <c r="H179" s="178" t="s">
        <v>4033</v>
      </c>
      <c r="I179" s="178" t="s">
        <v>3937</v>
      </c>
      <c r="J179" s="178">
        <v>4</v>
      </c>
      <c r="K179" s="178" t="s">
        <v>34</v>
      </c>
      <c r="L179" s="178" t="s">
        <v>3937</v>
      </c>
    </row>
    <row r="180" spans="1:12" ht="15.8" customHeight="1" x14ac:dyDescent="0.2">
      <c r="A180" s="178" t="s">
        <v>35</v>
      </c>
      <c r="B180" s="178" t="s">
        <v>29</v>
      </c>
      <c r="C180" s="573"/>
      <c r="D180" s="389">
        <v>45394</v>
      </c>
      <c r="E180" s="178" t="s">
        <v>91</v>
      </c>
      <c r="F180" s="178" t="s">
        <v>4034</v>
      </c>
      <c r="G180" s="178" t="s">
        <v>27</v>
      </c>
      <c r="H180" s="178" t="s">
        <v>4035</v>
      </c>
      <c r="I180" s="178" t="s">
        <v>3937</v>
      </c>
      <c r="J180" s="178">
        <v>3</v>
      </c>
      <c r="K180" s="178" t="s">
        <v>34</v>
      </c>
      <c r="L180" s="178" t="s">
        <v>3937</v>
      </c>
    </row>
    <row r="181" spans="1:12" ht="15.8" customHeight="1" x14ac:dyDescent="0.2">
      <c r="A181" s="178" t="s">
        <v>10</v>
      </c>
      <c r="B181" s="178" t="s">
        <v>2162</v>
      </c>
      <c r="C181" s="573"/>
      <c r="D181" s="389">
        <v>45394</v>
      </c>
      <c r="E181" s="178" t="s">
        <v>4529</v>
      </c>
      <c r="F181" s="178" t="s">
        <v>4530</v>
      </c>
      <c r="G181" s="178" t="s">
        <v>27</v>
      </c>
      <c r="H181" s="178" t="s">
        <v>4531</v>
      </c>
      <c r="I181" s="178" t="s">
        <v>3768</v>
      </c>
      <c r="J181" s="178">
        <v>5</v>
      </c>
      <c r="K181" s="178" t="s">
        <v>78</v>
      </c>
      <c r="L181" s="178" t="s">
        <v>3768</v>
      </c>
    </row>
    <row r="182" spans="1:12" ht="15.8" customHeight="1" x14ac:dyDescent="0.2">
      <c r="A182" s="178" t="s">
        <v>51</v>
      </c>
      <c r="B182" s="178" t="s">
        <v>52</v>
      </c>
      <c r="C182" s="573"/>
      <c r="D182" s="389">
        <v>45395</v>
      </c>
      <c r="E182" s="178" t="s">
        <v>500</v>
      </c>
      <c r="F182" s="178" t="s">
        <v>4036</v>
      </c>
      <c r="G182" s="178" t="s">
        <v>4037</v>
      </c>
      <c r="H182" s="178" t="s">
        <v>4038</v>
      </c>
      <c r="I182" s="178" t="s">
        <v>167</v>
      </c>
      <c r="J182" s="178">
        <v>7</v>
      </c>
      <c r="K182" s="178" t="s">
        <v>2607</v>
      </c>
      <c r="L182" s="178" t="s">
        <v>167</v>
      </c>
    </row>
    <row r="183" spans="1:12" ht="15.8" customHeight="1" x14ac:dyDescent="0.2">
      <c r="A183" s="178" t="s">
        <v>10</v>
      </c>
      <c r="B183" s="178" t="s">
        <v>29</v>
      </c>
      <c r="C183" s="573"/>
      <c r="D183" s="389">
        <v>45396</v>
      </c>
      <c r="E183" s="178" t="s">
        <v>164</v>
      </c>
      <c r="F183" s="178" t="s">
        <v>4039</v>
      </c>
      <c r="G183" s="178"/>
      <c r="H183" s="178" t="s">
        <v>4040</v>
      </c>
      <c r="I183" s="178" t="s">
        <v>167</v>
      </c>
      <c r="J183" s="178">
        <v>5</v>
      </c>
      <c r="K183" s="178" t="s">
        <v>34</v>
      </c>
      <c r="L183" s="178" t="s">
        <v>167</v>
      </c>
    </row>
    <row r="184" spans="1:12" ht="15.8" customHeight="1" x14ac:dyDescent="0.2">
      <c r="A184" s="178" t="s">
        <v>10</v>
      </c>
      <c r="B184" s="178" t="s">
        <v>29</v>
      </c>
      <c r="C184" s="573"/>
      <c r="D184" s="389">
        <v>45398</v>
      </c>
      <c r="E184" s="178" t="s">
        <v>57</v>
      </c>
      <c r="F184" s="178" t="s">
        <v>4041</v>
      </c>
      <c r="G184" s="178" t="s">
        <v>139</v>
      </c>
      <c r="H184" s="178" t="s">
        <v>4042</v>
      </c>
      <c r="I184" s="178" t="s">
        <v>3864</v>
      </c>
      <c r="J184" s="178">
        <v>1</v>
      </c>
      <c r="K184" s="178" t="s">
        <v>34</v>
      </c>
      <c r="L184" s="178" t="s">
        <v>3864</v>
      </c>
    </row>
    <row r="185" spans="1:12" ht="15.8" customHeight="1" x14ac:dyDescent="0.2">
      <c r="A185" s="178" t="s">
        <v>10</v>
      </c>
      <c r="B185" s="178" t="s">
        <v>29</v>
      </c>
      <c r="C185" s="573"/>
      <c r="D185" s="389">
        <v>45398</v>
      </c>
      <c r="E185" s="178" t="s">
        <v>57</v>
      </c>
      <c r="F185" s="178" t="s">
        <v>446</v>
      </c>
      <c r="G185" s="178" t="s">
        <v>446</v>
      </c>
      <c r="H185" s="178" t="s">
        <v>4043</v>
      </c>
      <c r="I185" s="178" t="s">
        <v>3864</v>
      </c>
      <c r="J185" s="178">
        <v>1</v>
      </c>
      <c r="K185" s="178" t="s">
        <v>34</v>
      </c>
      <c r="L185" s="178" t="s">
        <v>3864</v>
      </c>
    </row>
    <row r="186" spans="1:12" ht="15.8" customHeight="1" x14ac:dyDescent="0.2">
      <c r="A186" s="178" t="s">
        <v>10</v>
      </c>
      <c r="B186" s="178" t="s">
        <v>29</v>
      </c>
      <c r="C186" s="573"/>
      <c r="D186" s="389">
        <v>45398</v>
      </c>
      <c r="E186" s="178" t="s">
        <v>534</v>
      </c>
      <c r="F186" s="178" t="s">
        <v>4044</v>
      </c>
      <c r="G186" s="178" t="s">
        <v>1206</v>
      </c>
      <c r="H186" s="178" t="s">
        <v>4045</v>
      </c>
      <c r="I186" s="178" t="s">
        <v>3864</v>
      </c>
      <c r="J186" s="178">
        <v>1</v>
      </c>
      <c r="K186" s="178" t="s">
        <v>34</v>
      </c>
      <c r="L186" s="178" t="s">
        <v>3864</v>
      </c>
    </row>
    <row r="187" spans="1:12" ht="15.8" customHeight="1" x14ac:dyDescent="0.2">
      <c r="A187" s="178" t="s">
        <v>10</v>
      </c>
      <c r="B187" s="178" t="s">
        <v>29</v>
      </c>
      <c r="C187" s="573"/>
      <c r="D187" s="389">
        <v>45398</v>
      </c>
      <c r="E187" s="178" t="s">
        <v>4046</v>
      </c>
      <c r="F187" s="178" t="s">
        <v>658</v>
      </c>
      <c r="G187" s="178" t="s">
        <v>4047</v>
      </c>
      <c r="H187" s="178" t="s">
        <v>1444</v>
      </c>
      <c r="I187" s="178" t="s">
        <v>3768</v>
      </c>
      <c r="J187" s="178">
        <v>3</v>
      </c>
      <c r="K187" s="178" t="s">
        <v>34</v>
      </c>
      <c r="L187" s="178" t="s">
        <v>3768</v>
      </c>
    </row>
    <row r="188" spans="1:12" ht="15.8" customHeight="1" x14ac:dyDescent="0.2">
      <c r="A188" s="178" t="s">
        <v>17</v>
      </c>
      <c r="B188" s="178" t="s">
        <v>24</v>
      </c>
      <c r="C188" s="573"/>
      <c r="D188" s="389">
        <v>45399</v>
      </c>
      <c r="E188" s="178" t="s">
        <v>884</v>
      </c>
      <c r="F188" s="178" t="s">
        <v>4048</v>
      </c>
      <c r="G188" s="178" t="s">
        <v>106</v>
      </c>
      <c r="H188" s="178" t="s">
        <v>1809</v>
      </c>
      <c r="I188" s="178" t="s">
        <v>3768</v>
      </c>
      <c r="J188" s="178">
        <v>1</v>
      </c>
      <c r="K188" s="178" t="s">
        <v>78</v>
      </c>
      <c r="L188" s="178" t="s">
        <v>3768</v>
      </c>
    </row>
    <row r="189" spans="1:12" ht="15.8" customHeight="1" x14ac:dyDescent="0.2">
      <c r="A189" s="178" t="s">
        <v>10</v>
      </c>
      <c r="B189" s="178" t="s">
        <v>2162</v>
      </c>
      <c r="C189" s="573"/>
      <c r="D189" s="389">
        <v>45399</v>
      </c>
      <c r="E189" s="178" t="s">
        <v>884</v>
      </c>
      <c r="F189" s="178" t="s">
        <v>4049</v>
      </c>
      <c r="G189" s="178" t="s">
        <v>85</v>
      </c>
      <c r="H189" s="178" t="s">
        <v>4050</v>
      </c>
      <c r="I189" s="178" t="s">
        <v>3864</v>
      </c>
      <c r="J189" s="178">
        <v>5</v>
      </c>
      <c r="K189" s="178" t="s">
        <v>34</v>
      </c>
      <c r="L189" s="178" t="s">
        <v>3864</v>
      </c>
    </row>
    <row r="190" spans="1:12" ht="15.8" customHeight="1" x14ac:dyDescent="0.2">
      <c r="A190" s="178" t="s">
        <v>51</v>
      </c>
      <c r="B190" s="178" t="s">
        <v>481</v>
      </c>
      <c r="C190" s="573"/>
      <c r="D190" s="389">
        <v>45399</v>
      </c>
      <c r="E190" s="178" t="s">
        <v>37</v>
      </c>
      <c r="F190" s="178" t="s">
        <v>4051</v>
      </c>
      <c r="G190" s="178" t="s">
        <v>76</v>
      </c>
      <c r="H190" s="178" t="s">
        <v>4052</v>
      </c>
      <c r="I190" s="178" t="s">
        <v>3864</v>
      </c>
      <c r="J190" s="178">
        <v>5</v>
      </c>
      <c r="K190" s="178" t="s">
        <v>192</v>
      </c>
      <c r="L190" s="178" t="s">
        <v>4053</v>
      </c>
    </row>
    <row r="191" spans="1:12" ht="15.8" customHeight="1" x14ac:dyDescent="0.2">
      <c r="A191" s="178" t="s">
        <v>10</v>
      </c>
      <c r="B191" s="178" t="s">
        <v>2162</v>
      </c>
      <c r="C191" s="573"/>
      <c r="D191" s="389">
        <v>45400</v>
      </c>
      <c r="E191" s="178" t="s">
        <v>4054</v>
      </c>
      <c r="F191" s="178" t="s">
        <v>4055</v>
      </c>
      <c r="G191" s="178" t="s">
        <v>1206</v>
      </c>
      <c r="H191" s="178" t="s">
        <v>4056</v>
      </c>
      <c r="I191" s="178" t="s">
        <v>3864</v>
      </c>
      <c r="J191" s="178">
        <v>4</v>
      </c>
      <c r="K191" s="178" t="s">
        <v>16</v>
      </c>
      <c r="L191" s="178" t="s">
        <v>3864</v>
      </c>
    </row>
    <row r="192" spans="1:12" ht="15.8" customHeight="1" x14ac:dyDescent="0.2">
      <c r="A192" s="178" t="s">
        <v>10</v>
      </c>
      <c r="B192" s="178" t="s">
        <v>163</v>
      </c>
      <c r="C192" s="573"/>
      <c r="D192" s="389">
        <v>45403</v>
      </c>
      <c r="E192" s="178" t="s">
        <v>133</v>
      </c>
      <c r="F192" s="178" t="s">
        <v>4057</v>
      </c>
      <c r="G192" s="178" t="s">
        <v>139</v>
      </c>
      <c r="H192" s="178" t="s">
        <v>4058</v>
      </c>
      <c r="I192" s="178" t="s">
        <v>3937</v>
      </c>
      <c r="J192" s="178">
        <v>6</v>
      </c>
      <c r="K192" s="178" t="s">
        <v>50</v>
      </c>
      <c r="L192" s="178" t="s">
        <v>3937</v>
      </c>
    </row>
    <row r="193" spans="1:12" ht="15.8" customHeight="1" x14ac:dyDescent="0.2">
      <c r="A193" s="178" t="s">
        <v>10</v>
      </c>
      <c r="B193" s="178" t="s">
        <v>163</v>
      </c>
      <c r="C193" s="573"/>
      <c r="D193" s="389">
        <v>45403</v>
      </c>
      <c r="E193" s="178" t="s">
        <v>537</v>
      </c>
      <c r="F193" s="178" t="s">
        <v>4059</v>
      </c>
      <c r="G193" s="178" t="s">
        <v>441</v>
      </c>
      <c r="H193" s="178" t="s">
        <v>4060</v>
      </c>
      <c r="I193" s="178" t="s">
        <v>167</v>
      </c>
      <c r="J193" s="178">
        <v>5</v>
      </c>
      <c r="K193" s="178" t="s">
        <v>50</v>
      </c>
      <c r="L193" s="178" t="s">
        <v>167</v>
      </c>
    </row>
    <row r="194" spans="1:12" ht="15.8" customHeight="1" x14ac:dyDescent="0.2">
      <c r="A194" s="178" t="s">
        <v>17</v>
      </c>
      <c r="B194" s="178" t="s">
        <v>24</v>
      </c>
      <c r="C194" s="573"/>
      <c r="D194" s="389">
        <v>45404</v>
      </c>
      <c r="E194" s="178" t="s">
        <v>4532</v>
      </c>
      <c r="F194" s="178" t="s">
        <v>4533</v>
      </c>
      <c r="G194" s="178" t="s">
        <v>4097</v>
      </c>
      <c r="H194" s="178" t="s">
        <v>1809</v>
      </c>
      <c r="I194" s="178" t="s">
        <v>3768</v>
      </c>
      <c r="J194" s="178">
        <v>1</v>
      </c>
      <c r="K194" s="178" t="s">
        <v>23</v>
      </c>
      <c r="L194" s="178" t="s">
        <v>3768</v>
      </c>
    </row>
    <row r="195" spans="1:12" ht="15.8" customHeight="1" x14ac:dyDescent="0.2">
      <c r="A195" s="178" t="s">
        <v>17</v>
      </c>
      <c r="B195" s="178" t="s">
        <v>24</v>
      </c>
      <c r="C195" s="573"/>
      <c r="D195" s="389">
        <v>45404</v>
      </c>
      <c r="E195" s="178" t="s">
        <v>1639</v>
      </c>
      <c r="F195" s="178" t="s">
        <v>4534</v>
      </c>
      <c r="G195" s="178" t="s">
        <v>27</v>
      </c>
      <c r="H195" s="178" t="s">
        <v>1809</v>
      </c>
      <c r="I195" s="178" t="s">
        <v>3768</v>
      </c>
      <c r="J195" s="178">
        <v>1</v>
      </c>
      <c r="K195" s="178" t="s">
        <v>50</v>
      </c>
      <c r="L195" s="178" t="s">
        <v>3768</v>
      </c>
    </row>
    <row r="196" spans="1:12" ht="15.8" customHeight="1" x14ac:dyDescent="0.2">
      <c r="A196" s="178" t="s">
        <v>17</v>
      </c>
      <c r="B196" s="178" t="s">
        <v>24</v>
      </c>
      <c r="C196" s="573"/>
      <c r="D196" s="389">
        <v>45406</v>
      </c>
      <c r="E196" s="178" t="s">
        <v>57</v>
      </c>
      <c r="F196" s="178" t="s">
        <v>4061</v>
      </c>
      <c r="G196" s="178"/>
      <c r="H196" s="178" t="s">
        <v>28</v>
      </c>
      <c r="I196" s="178" t="s">
        <v>167</v>
      </c>
      <c r="J196" s="178">
        <v>1</v>
      </c>
      <c r="K196" s="178" t="s">
        <v>50</v>
      </c>
      <c r="L196" s="178" t="s">
        <v>167</v>
      </c>
    </row>
    <row r="197" spans="1:12" ht="15.8" customHeight="1" x14ac:dyDescent="0.2">
      <c r="A197" s="178" t="s">
        <v>17</v>
      </c>
      <c r="B197" s="178" t="s">
        <v>24</v>
      </c>
      <c r="C197" s="573"/>
      <c r="D197" s="389">
        <v>45406</v>
      </c>
      <c r="E197" s="178" t="s">
        <v>57</v>
      </c>
      <c r="F197" s="178" t="s">
        <v>4062</v>
      </c>
      <c r="G197" s="178"/>
      <c r="H197" s="178" t="s">
        <v>28</v>
      </c>
      <c r="I197" s="178" t="s">
        <v>167</v>
      </c>
      <c r="J197" s="178">
        <v>1</v>
      </c>
      <c r="K197" s="178" t="s">
        <v>50</v>
      </c>
      <c r="L197" s="178" t="s">
        <v>167</v>
      </c>
    </row>
    <row r="198" spans="1:12" ht="15.8" customHeight="1" x14ac:dyDescent="0.2">
      <c r="A198" s="178" t="s">
        <v>17</v>
      </c>
      <c r="B198" s="178" t="s">
        <v>24</v>
      </c>
      <c r="C198" s="573"/>
      <c r="D198" s="389">
        <v>45407</v>
      </c>
      <c r="E198" s="178" t="s">
        <v>2118</v>
      </c>
      <c r="F198" s="178" t="s">
        <v>4535</v>
      </c>
      <c r="G198" s="178" t="s">
        <v>76</v>
      </c>
      <c r="H198" s="178" t="s">
        <v>1809</v>
      </c>
      <c r="I198" s="178" t="s">
        <v>3768</v>
      </c>
      <c r="J198" s="178">
        <v>1</v>
      </c>
      <c r="K198" s="178" t="s">
        <v>23</v>
      </c>
      <c r="L198" s="178" t="s">
        <v>3768</v>
      </c>
    </row>
    <row r="199" spans="1:12" ht="15.8" customHeight="1" x14ac:dyDescent="0.2">
      <c r="A199" s="178" t="s">
        <v>17</v>
      </c>
      <c r="B199" s="178" t="s">
        <v>24</v>
      </c>
      <c r="C199" s="573"/>
      <c r="D199" s="389">
        <v>45408</v>
      </c>
      <c r="E199" s="178" t="s">
        <v>4063</v>
      </c>
      <c r="F199" s="178" t="s">
        <v>4064</v>
      </c>
      <c r="G199" s="178" t="s">
        <v>27</v>
      </c>
      <c r="H199" s="178" t="s">
        <v>1809</v>
      </c>
      <c r="I199" s="178" t="s">
        <v>3768</v>
      </c>
      <c r="J199" s="178">
        <v>1</v>
      </c>
      <c r="K199" s="178" t="s">
        <v>23</v>
      </c>
      <c r="L199" s="178" t="s">
        <v>3768</v>
      </c>
    </row>
    <row r="200" spans="1:12" ht="15.8" customHeight="1" x14ac:dyDescent="0.2">
      <c r="A200" s="178" t="s">
        <v>10</v>
      </c>
      <c r="B200" s="178" t="s">
        <v>2161</v>
      </c>
      <c r="C200" s="573"/>
      <c r="D200" s="389">
        <v>45408</v>
      </c>
      <c r="E200" s="178" t="s">
        <v>91</v>
      </c>
      <c r="F200" s="178" t="s">
        <v>70</v>
      </c>
      <c r="G200" s="178" t="s">
        <v>2211</v>
      </c>
      <c r="H200" s="178" t="s">
        <v>4065</v>
      </c>
      <c r="I200" s="178" t="s">
        <v>167</v>
      </c>
      <c r="J200" s="178">
        <v>2</v>
      </c>
      <c r="K200" s="178" t="s">
        <v>78</v>
      </c>
      <c r="L200" s="178" t="s">
        <v>167</v>
      </c>
    </row>
    <row r="201" spans="1:12" ht="15.8" customHeight="1" x14ac:dyDescent="0.2">
      <c r="A201" s="178" t="s">
        <v>10</v>
      </c>
      <c r="B201" s="178" t="s">
        <v>324</v>
      </c>
      <c r="C201" s="573"/>
      <c r="D201" s="389">
        <v>45410</v>
      </c>
      <c r="E201" s="178" t="s">
        <v>91</v>
      </c>
      <c r="F201" s="178" t="s">
        <v>4066</v>
      </c>
      <c r="G201" s="178" t="s">
        <v>27</v>
      </c>
      <c r="H201" s="178" t="s">
        <v>4067</v>
      </c>
      <c r="I201" s="178" t="s">
        <v>167</v>
      </c>
      <c r="J201" s="178">
        <v>2</v>
      </c>
      <c r="K201" s="178" t="s">
        <v>34</v>
      </c>
      <c r="L201" s="178" t="s">
        <v>167</v>
      </c>
    </row>
    <row r="202" spans="1:12" ht="15.8" customHeight="1" x14ac:dyDescent="0.2">
      <c r="A202" s="178" t="s">
        <v>10</v>
      </c>
      <c r="B202" s="178" t="s">
        <v>324</v>
      </c>
      <c r="C202" s="573"/>
      <c r="D202" s="389">
        <v>45410</v>
      </c>
      <c r="E202" s="178" t="s">
        <v>91</v>
      </c>
      <c r="F202" s="178" t="s">
        <v>4068</v>
      </c>
      <c r="G202" s="178" t="s">
        <v>4069</v>
      </c>
      <c r="H202" s="178" t="s">
        <v>4070</v>
      </c>
      <c r="I202" s="178" t="s">
        <v>167</v>
      </c>
      <c r="J202" s="178">
        <v>2</v>
      </c>
      <c r="K202" s="178" t="s">
        <v>34</v>
      </c>
      <c r="L202" s="178" t="s">
        <v>167</v>
      </c>
    </row>
    <row r="203" spans="1:12" ht="15.8" customHeight="1" x14ac:dyDescent="0.2">
      <c r="A203" s="178" t="s">
        <v>35</v>
      </c>
      <c r="B203" s="178" t="s">
        <v>137</v>
      </c>
      <c r="C203" s="573"/>
      <c r="D203" s="389">
        <v>45412</v>
      </c>
      <c r="E203" s="178" t="s">
        <v>37</v>
      </c>
      <c r="F203" s="178" t="s">
        <v>4071</v>
      </c>
      <c r="G203" s="178" t="s">
        <v>110</v>
      </c>
      <c r="H203" s="178" t="s">
        <v>4072</v>
      </c>
      <c r="I203" s="178" t="s">
        <v>3864</v>
      </c>
      <c r="J203" s="178">
        <v>3</v>
      </c>
      <c r="K203" s="178" t="s">
        <v>192</v>
      </c>
      <c r="L203" s="178" t="s">
        <v>3864</v>
      </c>
    </row>
    <row r="204" spans="1:12" ht="15.8" customHeight="1" x14ac:dyDescent="0.2">
      <c r="A204" s="178" t="s">
        <v>35</v>
      </c>
      <c r="B204" s="178" t="s">
        <v>137</v>
      </c>
      <c r="C204" s="573"/>
      <c r="D204" s="389">
        <v>45412</v>
      </c>
      <c r="E204" s="178" t="s">
        <v>2083</v>
      </c>
      <c r="F204" s="178" t="s">
        <v>4073</v>
      </c>
      <c r="G204" s="178" t="s">
        <v>1027</v>
      </c>
      <c r="H204" s="178" t="s">
        <v>4074</v>
      </c>
      <c r="I204" s="178" t="s">
        <v>3864</v>
      </c>
      <c r="J204" s="178">
        <v>5</v>
      </c>
      <c r="K204" s="178" t="s">
        <v>1079</v>
      </c>
      <c r="L204" s="178" t="s">
        <v>3864</v>
      </c>
    </row>
    <row r="205" spans="1:12" ht="15.8" customHeight="1" x14ac:dyDescent="0.2">
      <c r="A205" s="178" t="s">
        <v>17</v>
      </c>
      <c r="B205" s="178" t="s">
        <v>24</v>
      </c>
      <c r="C205" s="573"/>
      <c r="D205" s="389">
        <v>45411</v>
      </c>
      <c r="E205" s="178" t="s">
        <v>164</v>
      </c>
      <c r="F205" s="178" t="s">
        <v>4075</v>
      </c>
      <c r="G205" s="178" t="s">
        <v>27</v>
      </c>
      <c r="H205" s="178" t="s">
        <v>28</v>
      </c>
      <c r="I205" s="178" t="s">
        <v>167</v>
      </c>
      <c r="J205" s="178">
        <v>1</v>
      </c>
      <c r="K205" s="178" t="s">
        <v>78</v>
      </c>
      <c r="L205" s="178" t="s">
        <v>167</v>
      </c>
    </row>
    <row r="206" spans="1:12" ht="15.8" customHeight="1" x14ac:dyDescent="0.2">
      <c r="A206" s="178" t="s">
        <v>51</v>
      </c>
      <c r="B206" s="178" t="s">
        <v>52</v>
      </c>
      <c r="C206" s="573"/>
      <c r="D206" s="389">
        <v>45412</v>
      </c>
      <c r="E206" s="178" t="s">
        <v>57</v>
      </c>
      <c r="F206" s="178" t="s">
        <v>4076</v>
      </c>
      <c r="G206" s="178" t="s">
        <v>441</v>
      </c>
      <c r="H206" s="178" t="s">
        <v>57</v>
      </c>
      <c r="I206" s="178" t="s">
        <v>167</v>
      </c>
      <c r="J206" s="178">
        <v>5</v>
      </c>
      <c r="K206" s="178" t="s">
        <v>16</v>
      </c>
      <c r="L206" s="178" t="s">
        <v>167</v>
      </c>
    </row>
    <row r="207" spans="1:12" ht="15.8" customHeight="1" x14ac:dyDescent="0.2">
      <c r="A207" s="178" t="s">
        <v>10</v>
      </c>
      <c r="B207" s="178" t="s">
        <v>29</v>
      </c>
      <c r="C207" s="574"/>
      <c r="D207" s="389">
        <v>45412</v>
      </c>
      <c r="E207" s="178" t="s">
        <v>57</v>
      </c>
      <c r="F207" s="178" t="s">
        <v>4077</v>
      </c>
      <c r="G207" s="178"/>
      <c r="H207" s="178" t="s">
        <v>4078</v>
      </c>
      <c r="I207" s="178" t="s">
        <v>167</v>
      </c>
      <c r="J207" s="178">
        <v>3</v>
      </c>
      <c r="K207" s="178" t="s">
        <v>34</v>
      </c>
      <c r="L207" s="178" t="s">
        <v>167</v>
      </c>
    </row>
    <row r="208" spans="1:12" ht="15.8" customHeight="1" x14ac:dyDescent="0.25">
      <c r="A208" s="394" t="s">
        <v>2145</v>
      </c>
      <c r="B208" s="361"/>
      <c r="C208" s="391"/>
      <c r="D208" s="361"/>
      <c r="E208" s="361"/>
      <c r="F208" s="361"/>
      <c r="G208" s="361"/>
      <c r="H208" s="361"/>
      <c r="I208" s="361"/>
      <c r="J208" s="361"/>
      <c r="K208" s="361"/>
      <c r="L208" s="395"/>
    </row>
    <row r="209" spans="1:12" ht="15.8" customHeight="1" x14ac:dyDescent="0.2">
      <c r="A209" s="179" t="s">
        <v>35</v>
      </c>
      <c r="B209" s="178" t="s">
        <v>2401</v>
      </c>
      <c r="C209" s="576">
        <f>COUNTIF(B209:B237,C2)</f>
        <v>0</v>
      </c>
      <c r="D209" s="389">
        <v>45413</v>
      </c>
      <c r="E209" s="178" t="s">
        <v>57</v>
      </c>
      <c r="F209" s="178" t="s">
        <v>4079</v>
      </c>
      <c r="G209" s="178" t="s">
        <v>139</v>
      </c>
      <c r="H209" s="178" t="s">
        <v>4080</v>
      </c>
      <c r="I209" s="178" t="s">
        <v>167</v>
      </c>
      <c r="J209" s="178">
        <v>3</v>
      </c>
      <c r="K209" s="178" t="s">
        <v>192</v>
      </c>
      <c r="L209" s="393" t="s">
        <v>167</v>
      </c>
    </row>
    <row r="210" spans="1:12" ht="15.8" customHeight="1" x14ac:dyDescent="0.2">
      <c r="A210" s="179" t="s">
        <v>10</v>
      </c>
      <c r="B210" s="178" t="s">
        <v>152</v>
      </c>
      <c r="C210" s="576"/>
      <c r="D210" s="389">
        <v>45414</v>
      </c>
      <c r="E210" s="178" t="s">
        <v>91</v>
      </c>
      <c r="F210" s="178" t="s">
        <v>4081</v>
      </c>
      <c r="G210" s="178"/>
      <c r="H210" s="178" t="s">
        <v>4082</v>
      </c>
      <c r="I210" s="178" t="s">
        <v>167</v>
      </c>
      <c r="J210" s="178">
        <v>6</v>
      </c>
      <c r="K210" s="178" t="s">
        <v>34</v>
      </c>
      <c r="L210" s="393" t="s">
        <v>167</v>
      </c>
    </row>
    <row r="211" spans="1:12" ht="15.8" customHeight="1" x14ac:dyDescent="0.2">
      <c r="A211" s="179" t="s">
        <v>10</v>
      </c>
      <c r="B211" s="178" t="s">
        <v>64</v>
      </c>
      <c r="C211" s="576"/>
      <c r="D211" s="389">
        <v>45414</v>
      </c>
      <c r="E211" s="178" t="s">
        <v>57</v>
      </c>
      <c r="F211" s="178" t="s">
        <v>4083</v>
      </c>
      <c r="G211" s="178"/>
      <c r="H211" s="178" t="s">
        <v>4084</v>
      </c>
      <c r="I211" s="178" t="s">
        <v>167</v>
      </c>
      <c r="J211" s="178">
        <v>3</v>
      </c>
      <c r="K211" s="178" t="s">
        <v>78</v>
      </c>
      <c r="L211" s="393" t="s">
        <v>167</v>
      </c>
    </row>
    <row r="212" spans="1:12" ht="15.8" customHeight="1" x14ac:dyDescent="0.2">
      <c r="A212" s="179" t="s">
        <v>10</v>
      </c>
      <c r="B212" s="178" t="s">
        <v>2161</v>
      </c>
      <c r="C212" s="576"/>
      <c r="D212" s="389">
        <v>45414</v>
      </c>
      <c r="E212" s="178" t="s">
        <v>72</v>
      </c>
      <c r="F212" s="178" t="s">
        <v>4085</v>
      </c>
      <c r="G212" s="178"/>
      <c r="H212" s="178" t="s">
        <v>4086</v>
      </c>
      <c r="I212" s="178" t="s">
        <v>167</v>
      </c>
      <c r="J212" s="178">
        <v>4</v>
      </c>
      <c r="K212" s="178" t="s">
        <v>16</v>
      </c>
      <c r="L212" s="393" t="s">
        <v>167</v>
      </c>
    </row>
    <row r="213" spans="1:12" ht="15.8" customHeight="1" x14ac:dyDescent="0.2">
      <c r="A213" s="179" t="s">
        <v>10</v>
      </c>
      <c r="B213" s="178" t="s">
        <v>163</v>
      </c>
      <c r="C213" s="576"/>
      <c r="D213" s="389">
        <v>45416</v>
      </c>
      <c r="E213" s="178" t="s">
        <v>164</v>
      </c>
      <c r="F213" s="178" t="s">
        <v>4088</v>
      </c>
      <c r="G213" s="178"/>
      <c r="H213" s="178" t="s">
        <v>4089</v>
      </c>
      <c r="I213" s="178" t="s">
        <v>167</v>
      </c>
      <c r="J213" s="178">
        <v>4</v>
      </c>
      <c r="K213" s="178" t="s">
        <v>50</v>
      </c>
      <c r="L213" s="393" t="s">
        <v>167</v>
      </c>
    </row>
    <row r="214" spans="1:12" ht="15.8" customHeight="1" x14ac:dyDescent="0.2">
      <c r="A214" s="179" t="s">
        <v>10</v>
      </c>
      <c r="B214" s="178" t="s">
        <v>163</v>
      </c>
      <c r="C214" s="576"/>
      <c r="D214" s="389">
        <v>45416</v>
      </c>
      <c r="E214" s="178" t="s">
        <v>57</v>
      </c>
      <c r="F214" s="178" t="s">
        <v>4090</v>
      </c>
      <c r="G214" s="178"/>
      <c r="H214" s="178" t="s">
        <v>4091</v>
      </c>
      <c r="I214" s="178" t="s">
        <v>167</v>
      </c>
      <c r="J214" s="178">
        <v>4</v>
      </c>
      <c r="K214" s="178" t="s">
        <v>34</v>
      </c>
      <c r="L214" s="393" t="s">
        <v>167</v>
      </c>
    </row>
    <row r="215" spans="1:12" ht="15.8" customHeight="1" x14ac:dyDescent="0.2">
      <c r="A215" s="179" t="s">
        <v>10</v>
      </c>
      <c r="B215" s="178" t="s">
        <v>2161</v>
      </c>
      <c r="C215" s="576"/>
      <c r="D215" s="389">
        <v>45417</v>
      </c>
      <c r="E215" s="178" t="s">
        <v>305</v>
      </c>
      <c r="F215" s="178" t="s">
        <v>4092</v>
      </c>
      <c r="G215" s="178" t="s">
        <v>1044</v>
      </c>
      <c r="H215" s="178" t="s">
        <v>4093</v>
      </c>
      <c r="I215" s="178" t="s">
        <v>3937</v>
      </c>
      <c r="J215" s="178">
        <v>3</v>
      </c>
      <c r="K215" s="178" t="s">
        <v>50</v>
      </c>
      <c r="L215" s="393" t="s">
        <v>3937</v>
      </c>
    </row>
    <row r="216" spans="1:12" ht="15.8" customHeight="1" x14ac:dyDescent="0.2">
      <c r="A216" s="179" t="s">
        <v>10</v>
      </c>
      <c r="B216" s="178" t="s">
        <v>29</v>
      </c>
      <c r="C216" s="576"/>
      <c r="D216" s="389">
        <v>45418</v>
      </c>
      <c r="E216" s="178" t="s">
        <v>215</v>
      </c>
      <c r="F216" s="178" t="s">
        <v>4094</v>
      </c>
      <c r="G216" s="178" t="s">
        <v>4095</v>
      </c>
      <c r="H216" s="178" t="s">
        <v>4096</v>
      </c>
      <c r="I216" s="178" t="s">
        <v>3937</v>
      </c>
      <c r="J216" s="178">
        <v>3</v>
      </c>
      <c r="K216" s="178" t="s">
        <v>34</v>
      </c>
      <c r="L216" s="393" t="s">
        <v>3937</v>
      </c>
    </row>
    <row r="217" spans="1:12" ht="15.8" customHeight="1" x14ac:dyDescent="0.2">
      <c r="A217" s="179" t="s">
        <v>17</v>
      </c>
      <c r="B217" s="178" t="s">
        <v>24</v>
      </c>
      <c r="C217" s="576"/>
      <c r="D217" s="389">
        <v>45419</v>
      </c>
      <c r="E217" s="178" t="s">
        <v>37</v>
      </c>
      <c r="F217" s="178" t="s">
        <v>289</v>
      </c>
      <c r="G217" s="178" t="s">
        <v>4097</v>
      </c>
      <c r="H217" s="178" t="s">
        <v>4098</v>
      </c>
      <c r="I217" s="178" t="s">
        <v>3864</v>
      </c>
      <c r="J217" s="178">
        <v>1</v>
      </c>
      <c r="K217" s="178" t="s">
        <v>23</v>
      </c>
      <c r="L217" s="393" t="s">
        <v>3864</v>
      </c>
    </row>
    <row r="218" spans="1:12" ht="15.8" customHeight="1" x14ac:dyDescent="0.2">
      <c r="A218" s="179" t="s">
        <v>146</v>
      </c>
      <c r="B218" s="178" t="s">
        <v>11</v>
      </c>
      <c r="C218" s="576"/>
      <c r="D218" s="389">
        <v>45420</v>
      </c>
      <c r="E218" s="178" t="s">
        <v>1306</v>
      </c>
      <c r="F218" s="178" t="s">
        <v>2505</v>
      </c>
      <c r="G218" s="178" t="s">
        <v>2505</v>
      </c>
      <c r="H218" s="178" t="s">
        <v>4099</v>
      </c>
      <c r="I218" s="178" t="s">
        <v>3864</v>
      </c>
      <c r="J218" s="178">
        <v>5</v>
      </c>
      <c r="K218" s="178" t="s">
        <v>16</v>
      </c>
      <c r="L218" s="393" t="s">
        <v>3864</v>
      </c>
    </row>
    <row r="219" spans="1:12" ht="15.8" customHeight="1" x14ac:dyDescent="0.2">
      <c r="A219" s="179" t="s">
        <v>10</v>
      </c>
      <c r="B219" s="178" t="s">
        <v>324</v>
      </c>
      <c r="C219" s="576"/>
      <c r="D219" s="389">
        <v>45422</v>
      </c>
      <c r="E219" s="178" t="s">
        <v>37</v>
      </c>
      <c r="F219" s="178" t="s">
        <v>4100</v>
      </c>
      <c r="G219" s="178" t="s">
        <v>4101</v>
      </c>
      <c r="H219" s="178" t="s">
        <v>4102</v>
      </c>
      <c r="I219" s="178" t="s">
        <v>3768</v>
      </c>
      <c r="J219" s="178">
        <v>6</v>
      </c>
      <c r="K219" s="178" t="s">
        <v>34</v>
      </c>
      <c r="L219" s="393" t="s">
        <v>3768</v>
      </c>
    </row>
    <row r="220" spans="1:12" ht="15.8" customHeight="1" x14ac:dyDescent="0.2">
      <c r="A220" s="179" t="s">
        <v>10</v>
      </c>
      <c r="B220" s="178" t="s">
        <v>324</v>
      </c>
      <c r="C220" s="576"/>
      <c r="D220" s="389">
        <v>45422</v>
      </c>
      <c r="E220" s="178" t="s">
        <v>4103</v>
      </c>
      <c r="F220" s="178" t="s">
        <v>4104</v>
      </c>
      <c r="G220" s="178"/>
      <c r="H220" s="178" t="s">
        <v>4105</v>
      </c>
      <c r="I220" s="178" t="s">
        <v>3768</v>
      </c>
      <c r="J220" s="178">
        <v>6</v>
      </c>
      <c r="K220" s="178" t="s">
        <v>34</v>
      </c>
      <c r="L220" s="393" t="s">
        <v>3768</v>
      </c>
    </row>
    <row r="221" spans="1:12" ht="15.8" customHeight="1" x14ac:dyDescent="0.2">
      <c r="A221" s="179" t="s">
        <v>10</v>
      </c>
      <c r="B221" s="178" t="s">
        <v>451</v>
      </c>
      <c r="C221" s="576"/>
      <c r="D221" s="389">
        <v>45422</v>
      </c>
      <c r="E221" s="178" t="s">
        <v>4106</v>
      </c>
      <c r="F221" s="178" t="s">
        <v>401</v>
      </c>
      <c r="G221" s="178" t="s">
        <v>139</v>
      </c>
      <c r="H221" s="178" t="s">
        <v>4107</v>
      </c>
      <c r="I221" s="178" t="s">
        <v>3768</v>
      </c>
      <c r="J221" s="178">
        <v>2</v>
      </c>
      <c r="K221" s="178" t="s">
        <v>192</v>
      </c>
      <c r="L221" s="393" t="s">
        <v>3768</v>
      </c>
    </row>
    <row r="222" spans="1:12" ht="15.8" customHeight="1" x14ac:dyDescent="0.2">
      <c r="A222" s="179" t="s">
        <v>10</v>
      </c>
      <c r="B222" s="178" t="s">
        <v>324</v>
      </c>
      <c r="C222" s="576"/>
      <c r="D222" s="389">
        <v>45422</v>
      </c>
      <c r="E222" s="178" t="s">
        <v>4108</v>
      </c>
      <c r="F222" s="178" t="s">
        <v>4109</v>
      </c>
      <c r="G222" s="178" t="s">
        <v>32</v>
      </c>
      <c r="H222" s="178" t="s">
        <v>4110</v>
      </c>
      <c r="I222" s="178" t="s">
        <v>3768</v>
      </c>
      <c r="J222" s="178">
        <v>3</v>
      </c>
      <c r="K222" s="178" t="s">
        <v>50</v>
      </c>
      <c r="L222" s="393" t="s">
        <v>3768</v>
      </c>
    </row>
    <row r="223" spans="1:12" ht="15.8" customHeight="1" x14ac:dyDescent="0.2">
      <c r="A223" s="179" t="s">
        <v>10</v>
      </c>
      <c r="B223" s="178" t="s">
        <v>888</v>
      </c>
      <c r="C223" s="576"/>
      <c r="D223" s="389">
        <v>45422</v>
      </c>
      <c r="E223" s="178" t="s">
        <v>4111</v>
      </c>
      <c r="F223" s="178" t="s">
        <v>4112</v>
      </c>
      <c r="G223" s="178" t="s">
        <v>70</v>
      </c>
      <c r="H223" s="178" t="s">
        <v>4113</v>
      </c>
      <c r="I223" s="178" t="s">
        <v>3768</v>
      </c>
      <c r="J223" s="178">
        <v>2</v>
      </c>
      <c r="K223" s="178" t="s">
        <v>192</v>
      </c>
      <c r="L223" s="393" t="s">
        <v>3768</v>
      </c>
    </row>
    <row r="224" spans="1:12" ht="15.8" customHeight="1" x14ac:dyDescent="0.2">
      <c r="A224" s="179" t="s">
        <v>10</v>
      </c>
      <c r="B224" s="178" t="s">
        <v>2162</v>
      </c>
      <c r="C224" s="576"/>
      <c r="D224" s="389">
        <v>45422</v>
      </c>
      <c r="E224" s="178" t="s">
        <v>4111</v>
      </c>
      <c r="F224" s="178" t="s">
        <v>803</v>
      </c>
      <c r="G224" s="178" t="s">
        <v>1876</v>
      </c>
      <c r="H224" s="178" t="s">
        <v>4114</v>
      </c>
      <c r="I224" s="178" t="s">
        <v>3768</v>
      </c>
      <c r="J224" s="178">
        <v>2</v>
      </c>
      <c r="K224" s="178" t="s">
        <v>192</v>
      </c>
      <c r="L224" s="393" t="s">
        <v>3768</v>
      </c>
    </row>
    <row r="225" spans="1:12" ht="15.8" customHeight="1" x14ac:dyDescent="0.2">
      <c r="A225" s="179" t="s">
        <v>35</v>
      </c>
      <c r="B225" s="178" t="s">
        <v>137</v>
      </c>
      <c r="C225" s="576"/>
      <c r="D225" s="389">
        <v>45423</v>
      </c>
      <c r="E225" s="178" t="s">
        <v>37</v>
      </c>
      <c r="F225" s="178" t="s">
        <v>4115</v>
      </c>
      <c r="G225" s="178" t="s">
        <v>1522</v>
      </c>
      <c r="H225" s="178" t="s">
        <v>4116</v>
      </c>
      <c r="I225" s="178" t="s">
        <v>3768</v>
      </c>
      <c r="J225" s="178">
        <v>3</v>
      </c>
      <c r="K225" s="178" t="s">
        <v>192</v>
      </c>
      <c r="L225" s="393" t="s">
        <v>3768</v>
      </c>
    </row>
    <row r="226" spans="1:12" ht="15.8" customHeight="1" x14ac:dyDescent="0.2">
      <c r="A226" s="179" t="s">
        <v>10</v>
      </c>
      <c r="B226" s="178" t="s">
        <v>29</v>
      </c>
      <c r="C226" s="576"/>
      <c r="D226" s="389">
        <v>45424</v>
      </c>
      <c r="E226" s="178" t="s">
        <v>4117</v>
      </c>
      <c r="F226" s="178" t="s">
        <v>4118</v>
      </c>
      <c r="G226" s="178" t="s">
        <v>110</v>
      </c>
      <c r="H226" s="178" t="s">
        <v>4119</v>
      </c>
      <c r="I226" s="178" t="s">
        <v>167</v>
      </c>
      <c r="J226" s="178">
        <v>2</v>
      </c>
      <c r="K226" s="178" t="s">
        <v>50</v>
      </c>
      <c r="L226" s="393" t="s">
        <v>167</v>
      </c>
    </row>
    <row r="227" spans="1:12" ht="15.8" customHeight="1" x14ac:dyDescent="0.2">
      <c r="A227" s="179" t="s">
        <v>35</v>
      </c>
      <c r="B227" s="178" t="s">
        <v>137</v>
      </c>
      <c r="C227" s="576"/>
      <c r="D227" s="389">
        <v>45425</v>
      </c>
      <c r="E227" s="178" t="s">
        <v>91</v>
      </c>
      <c r="F227" s="178" t="s">
        <v>4120</v>
      </c>
      <c r="G227" s="178" t="s">
        <v>110</v>
      </c>
      <c r="H227" s="178" t="s">
        <v>4121</v>
      </c>
      <c r="I227" s="178" t="s">
        <v>167</v>
      </c>
      <c r="J227" s="178">
        <v>2</v>
      </c>
      <c r="K227" s="178" t="s">
        <v>50</v>
      </c>
      <c r="L227" s="393" t="s">
        <v>167</v>
      </c>
    </row>
    <row r="228" spans="1:12" ht="15.8" customHeight="1" x14ac:dyDescent="0.2">
      <c r="A228" s="179" t="s">
        <v>17</v>
      </c>
      <c r="B228" s="178" t="s">
        <v>24</v>
      </c>
      <c r="C228" s="576"/>
      <c r="D228" s="389">
        <v>45428</v>
      </c>
      <c r="E228" s="178" t="s">
        <v>537</v>
      </c>
      <c r="F228" s="178" t="s">
        <v>1808</v>
      </c>
      <c r="G228" s="178" t="s">
        <v>401</v>
      </c>
      <c r="H228" s="178" t="s">
        <v>1809</v>
      </c>
      <c r="I228" s="178" t="s">
        <v>3768</v>
      </c>
      <c r="J228" s="178">
        <v>1</v>
      </c>
      <c r="K228" s="178" t="s">
        <v>23</v>
      </c>
      <c r="L228" s="393" t="s">
        <v>3768</v>
      </c>
    </row>
    <row r="229" spans="1:12" ht="15.8" customHeight="1" x14ac:dyDescent="0.2">
      <c r="A229" s="179" t="s">
        <v>17</v>
      </c>
      <c r="B229" s="178" t="s">
        <v>24</v>
      </c>
      <c r="C229" s="576"/>
      <c r="D229" s="389">
        <v>45427</v>
      </c>
      <c r="E229" s="178" t="s">
        <v>57</v>
      </c>
      <c r="F229" s="178" t="s">
        <v>1663</v>
      </c>
      <c r="G229" s="178"/>
      <c r="H229" s="178" t="s">
        <v>28</v>
      </c>
      <c r="I229" s="178" t="s">
        <v>167</v>
      </c>
      <c r="J229" s="178">
        <v>1</v>
      </c>
      <c r="K229" s="178" t="s">
        <v>23</v>
      </c>
      <c r="L229" s="393" t="s">
        <v>167</v>
      </c>
    </row>
    <row r="230" spans="1:12" ht="15.8" customHeight="1" x14ac:dyDescent="0.2">
      <c r="A230" s="179" t="s">
        <v>10</v>
      </c>
      <c r="B230" s="178" t="s">
        <v>451</v>
      </c>
      <c r="C230" s="576"/>
      <c r="D230" s="389">
        <v>45429</v>
      </c>
      <c r="E230" s="178" t="s">
        <v>4122</v>
      </c>
      <c r="F230" s="178" t="s">
        <v>4123</v>
      </c>
      <c r="G230" s="178" t="s">
        <v>95</v>
      </c>
      <c r="H230" s="178" t="s">
        <v>4124</v>
      </c>
      <c r="I230" s="178" t="s">
        <v>3768</v>
      </c>
      <c r="J230" s="178">
        <v>3</v>
      </c>
      <c r="K230" s="178" t="s">
        <v>192</v>
      </c>
      <c r="L230" s="393" t="s">
        <v>3768</v>
      </c>
    </row>
    <row r="231" spans="1:12" ht="15.8" customHeight="1" x14ac:dyDescent="0.2">
      <c r="A231" s="179" t="s">
        <v>51</v>
      </c>
      <c r="B231" s="178" t="s">
        <v>244</v>
      </c>
      <c r="C231" s="576"/>
      <c r="D231" s="389">
        <v>45431</v>
      </c>
      <c r="E231" s="178" t="s">
        <v>57</v>
      </c>
      <c r="F231" s="178" t="s">
        <v>4125</v>
      </c>
      <c r="G231" s="178" t="s">
        <v>441</v>
      </c>
      <c r="H231" s="178" t="s">
        <v>4126</v>
      </c>
      <c r="I231" s="178" t="s">
        <v>3937</v>
      </c>
      <c r="J231" s="178">
        <v>2</v>
      </c>
      <c r="K231" s="178" t="s">
        <v>16</v>
      </c>
      <c r="L231" s="393" t="s">
        <v>3937</v>
      </c>
    </row>
    <row r="232" spans="1:12" ht="15.8" customHeight="1" x14ac:dyDescent="0.2">
      <c r="A232" s="179" t="s">
        <v>10</v>
      </c>
      <c r="B232" s="178" t="s">
        <v>29</v>
      </c>
      <c r="C232" s="576"/>
      <c r="D232" s="389">
        <v>45433</v>
      </c>
      <c r="E232" s="178" t="s">
        <v>37</v>
      </c>
      <c r="F232" s="178" t="s">
        <v>4127</v>
      </c>
      <c r="G232" s="178" t="s">
        <v>2451</v>
      </c>
      <c r="H232" s="178" t="s">
        <v>4128</v>
      </c>
      <c r="I232" s="178" t="s">
        <v>3864</v>
      </c>
      <c r="J232" s="178">
        <v>3</v>
      </c>
      <c r="K232" s="178" t="s">
        <v>50</v>
      </c>
      <c r="L232" s="393" t="s">
        <v>3864</v>
      </c>
    </row>
    <row r="233" spans="1:12" ht="15.8" customHeight="1" x14ac:dyDescent="0.2">
      <c r="A233" s="179" t="s">
        <v>10</v>
      </c>
      <c r="B233" s="178" t="s">
        <v>29</v>
      </c>
      <c r="C233" s="576"/>
      <c r="D233" s="389">
        <v>45434</v>
      </c>
      <c r="E233" s="178" t="s">
        <v>37</v>
      </c>
      <c r="F233" s="178" t="s">
        <v>4129</v>
      </c>
      <c r="G233" s="178" t="s">
        <v>95</v>
      </c>
      <c r="H233" s="178" t="s">
        <v>4130</v>
      </c>
      <c r="I233" s="178" t="s">
        <v>3864</v>
      </c>
      <c r="J233" s="178">
        <v>5</v>
      </c>
      <c r="K233" s="178" t="s">
        <v>2186</v>
      </c>
      <c r="L233" s="393" t="s">
        <v>3864</v>
      </c>
    </row>
    <row r="234" spans="1:12" ht="15.8" customHeight="1" x14ac:dyDescent="0.2">
      <c r="A234" s="179" t="s">
        <v>35</v>
      </c>
      <c r="B234" s="178" t="s">
        <v>2164</v>
      </c>
      <c r="C234" s="576"/>
      <c r="D234" s="389">
        <v>45437</v>
      </c>
      <c r="E234" s="178" t="s">
        <v>4131</v>
      </c>
      <c r="F234" s="178" t="s">
        <v>2445</v>
      </c>
      <c r="G234" s="178" t="s">
        <v>4132</v>
      </c>
      <c r="H234" s="178" t="s">
        <v>4133</v>
      </c>
      <c r="I234" s="178" t="s">
        <v>3721</v>
      </c>
      <c r="J234" s="178">
        <v>10</v>
      </c>
      <c r="K234" s="178" t="s">
        <v>56</v>
      </c>
      <c r="L234" s="393" t="s">
        <v>4134</v>
      </c>
    </row>
    <row r="235" spans="1:12" ht="15.8" customHeight="1" x14ac:dyDescent="0.2">
      <c r="A235" s="179" t="s">
        <v>146</v>
      </c>
      <c r="B235" s="178" t="s">
        <v>2163</v>
      </c>
      <c r="C235" s="576"/>
      <c r="D235" s="389">
        <v>45440</v>
      </c>
      <c r="E235" s="178" t="s">
        <v>112</v>
      </c>
      <c r="F235" s="178" t="s">
        <v>4135</v>
      </c>
      <c r="G235" s="178" t="s">
        <v>95</v>
      </c>
      <c r="H235" s="178" t="s">
        <v>4136</v>
      </c>
      <c r="I235" s="178" t="s">
        <v>3864</v>
      </c>
      <c r="J235" s="178">
        <v>4</v>
      </c>
      <c r="K235" s="178" t="s">
        <v>192</v>
      </c>
      <c r="L235" s="393" t="s">
        <v>3864</v>
      </c>
    </row>
    <row r="236" spans="1:12" ht="15.8" customHeight="1" x14ac:dyDescent="0.2">
      <c r="A236" s="179" t="s">
        <v>159</v>
      </c>
      <c r="B236" s="178" t="s">
        <v>2164</v>
      </c>
      <c r="C236" s="576"/>
      <c r="D236" s="389">
        <v>45442</v>
      </c>
      <c r="E236" s="178" t="s">
        <v>4137</v>
      </c>
      <c r="F236" s="178" t="s">
        <v>4138</v>
      </c>
      <c r="G236" s="178" t="s">
        <v>4139</v>
      </c>
      <c r="H236" s="178" t="s">
        <v>4140</v>
      </c>
      <c r="I236" s="178" t="s">
        <v>2743</v>
      </c>
      <c r="J236" s="178">
        <v>3</v>
      </c>
      <c r="K236" s="178" t="s">
        <v>50</v>
      </c>
      <c r="L236" s="393" t="s">
        <v>2743</v>
      </c>
    </row>
    <row r="237" spans="1:12" ht="15.8" customHeight="1" x14ac:dyDescent="0.2">
      <c r="A237" s="179" t="s">
        <v>17</v>
      </c>
      <c r="B237" s="178" t="s">
        <v>24</v>
      </c>
      <c r="C237" s="576"/>
      <c r="D237" s="389">
        <v>45442</v>
      </c>
      <c r="E237" s="178" t="s">
        <v>4141</v>
      </c>
      <c r="F237" s="178" t="s">
        <v>4142</v>
      </c>
      <c r="G237" s="178" t="s">
        <v>4143</v>
      </c>
      <c r="H237" s="178" t="s">
        <v>4144</v>
      </c>
      <c r="I237" s="178" t="s">
        <v>3864</v>
      </c>
      <c r="J237" s="178">
        <v>1</v>
      </c>
      <c r="K237" s="178" t="s">
        <v>78</v>
      </c>
      <c r="L237" s="393" t="s">
        <v>3864</v>
      </c>
    </row>
    <row r="238" spans="1:12" s="427" customFormat="1" ht="15.8" customHeight="1" x14ac:dyDescent="0.25">
      <c r="A238" s="394" t="s">
        <v>835</v>
      </c>
      <c r="B238" s="415"/>
      <c r="C238" s="416"/>
      <c r="D238" s="415"/>
      <c r="E238" s="415"/>
      <c r="F238" s="415"/>
      <c r="G238" s="415"/>
      <c r="H238" s="415"/>
      <c r="I238" s="415"/>
      <c r="J238" s="415"/>
      <c r="K238" s="415"/>
      <c r="L238" s="426"/>
    </row>
    <row r="239" spans="1:12" ht="15.8" customHeight="1" x14ac:dyDescent="0.2">
      <c r="A239" s="179" t="s">
        <v>51</v>
      </c>
      <c r="B239" s="178" t="s">
        <v>244</v>
      </c>
      <c r="C239" s="576">
        <f>COUNTIF(B239:B263,C2)</f>
        <v>0</v>
      </c>
      <c r="D239" s="389">
        <v>45446</v>
      </c>
      <c r="E239" s="178" t="s">
        <v>4145</v>
      </c>
      <c r="F239" s="178" t="s">
        <v>4146</v>
      </c>
      <c r="G239" s="178" t="s">
        <v>1417</v>
      </c>
      <c r="H239" s="178" t="s">
        <v>4147</v>
      </c>
      <c r="I239" s="178" t="s">
        <v>3768</v>
      </c>
      <c r="J239" s="178">
        <v>5</v>
      </c>
      <c r="K239" s="178" t="s">
        <v>16</v>
      </c>
      <c r="L239" s="393" t="s">
        <v>3768</v>
      </c>
    </row>
    <row r="240" spans="1:12" ht="15.8" customHeight="1" x14ac:dyDescent="0.2">
      <c r="A240" s="179" t="s">
        <v>387</v>
      </c>
      <c r="B240" s="178" t="s">
        <v>481</v>
      </c>
      <c r="C240" s="576"/>
      <c r="D240" s="389">
        <v>45449</v>
      </c>
      <c r="E240" s="178" t="s">
        <v>4153</v>
      </c>
      <c r="F240" s="178" t="s">
        <v>4154</v>
      </c>
      <c r="G240" s="178"/>
      <c r="H240" s="178" t="s">
        <v>481</v>
      </c>
      <c r="I240" s="178" t="s">
        <v>167</v>
      </c>
      <c r="J240" s="178">
        <v>4</v>
      </c>
      <c r="K240" s="178" t="s">
        <v>16</v>
      </c>
      <c r="L240" s="393" t="s">
        <v>167</v>
      </c>
    </row>
    <row r="241" spans="1:12" ht="15.8" customHeight="1" x14ac:dyDescent="0.2">
      <c r="A241" s="179" t="s">
        <v>51</v>
      </c>
      <c r="B241" s="178" t="s">
        <v>481</v>
      </c>
      <c r="C241" s="576"/>
      <c r="D241" s="389">
        <v>45452</v>
      </c>
      <c r="E241" s="178" t="s">
        <v>4148</v>
      </c>
      <c r="F241" s="178" t="s">
        <v>4149</v>
      </c>
      <c r="G241" s="178" t="s">
        <v>4150</v>
      </c>
      <c r="H241" s="178" t="s">
        <v>4151</v>
      </c>
      <c r="I241" s="178" t="s">
        <v>3721</v>
      </c>
      <c r="J241" s="178">
        <v>2</v>
      </c>
      <c r="K241" s="178" t="s">
        <v>16</v>
      </c>
      <c r="L241" s="393" t="s">
        <v>4152</v>
      </c>
    </row>
    <row r="242" spans="1:12" ht="15.8" customHeight="1" x14ac:dyDescent="0.2">
      <c r="A242" s="179" t="s">
        <v>17</v>
      </c>
      <c r="B242" s="178" t="s">
        <v>24</v>
      </c>
      <c r="C242" s="576"/>
      <c r="D242" s="389">
        <v>45456</v>
      </c>
      <c r="E242" s="428">
        <v>6.25E-2</v>
      </c>
      <c r="F242" s="178" t="s">
        <v>4155</v>
      </c>
      <c r="G242" s="178"/>
      <c r="H242" s="178" t="s">
        <v>28</v>
      </c>
      <c r="I242" s="178" t="s">
        <v>167</v>
      </c>
      <c r="J242" s="178">
        <v>1</v>
      </c>
      <c r="K242" s="178" t="s">
        <v>23</v>
      </c>
      <c r="L242" s="393" t="s">
        <v>167</v>
      </c>
    </row>
    <row r="243" spans="1:12" ht="15.8" customHeight="1" x14ac:dyDescent="0.2">
      <c r="A243" s="179" t="s">
        <v>17</v>
      </c>
      <c r="B243" s="178" t="s">
        <v>24</v>
      </c>
      <c r="C243" s="576"/>
      <c r="D243" s="389">
        <v>45456</v>
      </c>
      <c r="E243" s="428">
        <v>6.25E-2</v>
      </c>
      <c r="F243" s="178" t="s">
        <v>4156</v>
      </c>
      <c r="G243" s="178"/>
      <c r="H243" s="178" t="s">
        <v>28</v>
      </c>
      <c r="I243" s="178" t="s">
        <v>167</v>
      </c>
      <c r="J243" s="178">
        <v>1</v>
      </c>
      <c r="K243" s="178" t="s">
        <v>23</v>
      </c>
      <c r="L243" s="393" t="s">
        <v>167</v>
      </c>
    </row>
    <row r="244" spans="1:12" ht="15.8" customHeight="1" x14ac:dyDescent="0.2">
      <c r="A244" s="179" t="s">
        <v>10</v>
      </c>
      <c r="B244" s="178" t="s">
        <v>324</v>
      </c>
      <c r="C244" s="576"/>
      <c r="D244" s="389">
        <v>45456</v>
      </c>
      <c r="E244" s="178" t="s">
        <v>91</v>
      </c>
      <c r="F244" s="178" t="s">
        <v>4157</v>
      </c>
      <c r="G244" s="178" t="s">
        <v>110</v>
      </c>
      <c r="H244" s="178" t="s">
        <v>4158</v>
      </c>
      <c r="I244" s="178" t="s">
        <v>3937</v>
      </c>
      <c r="J244" s="178">
        <v>2</v>
      </c>
      <c r="K244" s="178" t="s">
        <v>50</v>
      </c>
      <c r="L244" s="393" t="s">
        <v>3937</v>
      </c>
    </row>
    <row r="245" spans="1:12" ht="15.8" customHeight="1" x14ac:dyDescent="0.2">
      <c r="A245" s="179" t="s">
        <v>10</v>
      </c>
      <c r="B245" s="178" t="s">
        <v>324</v>
      </c>
      <c r="C245" s="576"/>
      <c r="D245" s="389">
        <v>45456</v>
      </c>
      <c r="E245" s="178" t="s">
        <v>91</v>
      </c>
      <c r="F245" s="178" t="s">
        <v>4159</v>
      </c>
      <c r="G245" s="178" t="s">
        <v>173</v>
      </c>
      <c r="H245" s="178" t="s">
        <v>4160</v>
      </c>
      <c r="I245" s="178" t="s">
        <v>3937</v>
      </c>
      <c r="J245" s="178">
        <v>3</v>
      </c>
      <c r="K245" s="178" t="s">
        <v>16</v>
      </c>
      <c r="L245" s="393" t="s">
        <v>3937</v>
      </c>
    </row>
    <row r="246" spans="1:12" ht="15.8" customHeight="1" x14ac:dyDescent="0.2">
      <c r="A246" s="179" t="s">
        <v>10</v>
      </c>
      <c r="B246" s="178" t="s">
        <v>324</v>
      </c>
      <c r="C246" s="576"/>
      <c r="D246" s="389">
        <v>45456</v>
      </c>
      <c r="E246" s="178" t="s">
        <v>91</v>
      </c>
      <c r="F246" s="178" t="s">
        <v>4161</v>
      </c>
      <c r="G246" s="178" t="s">
        <v>173</v>
      </c>
      <c r="H246" s="178" t="s">
        <v>4162</v>
      </c>
      <c r="I246" s="178" t="s">
        <v>3937</v>
      </c>
      <c r="J246" s="178">
        <v>3</v>
      </c>
      <c r="K246" s="178" t="s">
        <v>16</v>
      </c>
      <c r="L246" s="393" t="s">
        <v>3937</v>
      </c>
    </row>
    <row r="247" spans="1:12" ht="15.8" customHeight="1" x14ac:dyDescent="0.2">
      <c r="A247" s="179" t="s">
        <v>10</v>
      </c>
      <c r="B247" s="178" t="s">
        <v>324</v>
      </c>
      <c r="C247" s="576"/>
      <c r="D247" s="389">
        <v>45456</v>
      </c>
      <c r="E247" s="178" t="s">
        <v>91</v>
      </c>
      <c r="F247" s="178" t="s">
        <v>4163</v>
      </c>
      <c r="G247" s="178" t="s">
        <v>173</v>
      </c>
      <c r="H247" s="178" t="s">
        <v>4164</v>
      </c>
      <c r="I247" s="178" t="s">
        <v>3937</v>
      </c>
      <c r="J247" s="178">
        <v>3</v>
      </c>
      <c r="K247" s="178" t="s">
        <v>16</v>
      </c>
      <c r="L247" s="393" t="s">
        <v>3937</v>
      </c>
    </row>
    <row r="248" spans="1:12" ht="15.8" customHeight="1" x14ac:dyDescent="0.2">
      <c r="A248" s="179" t="s">
        <v>10</v>
      </c>
      <c r="B248" s="178" t="s">
        <v>324</v>
      </c>
      <c r="C248" s="576"/>
      <c r="D248" s="389">
        <v>45456</v>
      </c>
      <c r="E248" s="178" t="s">
        <v>91</v>
      </c>
      <c r="F248" s="178" t="s">
        <v>4165</v>
      </c>
      <c r="G248" s="178" t="s">
        <v>173</v>
      </c>
      <c r="H248" s="178" t="s">
        <v>4166</v>
      </c>
      <c r="I248" s="178" t="s">
        <v>3937</v>
      </c>
      <c r="J248" s="178">
        <v>3</v>
      </c>
      <c r="K248" s="178" t="s">
        <v>16</v>
      </c>
      <c r="L248" s="393" t="s">
        <v>3937</v>
      </c>
    </row>
    <row r="249" spans="1:12" ht="15.8" customHeight="1" x14ac:dyDescent="0.2">
      <c r="A249" s="179" t="s">
        <v>10</v>
      </c>
      <c r="B249" s="178" t="s">
        <v>324</v>
      </c>
      <c r="C249" s="576"/>
      <c r="D249" s="389">
        <v>45456</v>
      </c>
      <c r="E249" s="178" t="s">
        <v>91</v>
      </c>
      <c r="F249" s="178" t="s">
        <v>4167</v>
      </c>
      <c r="G249" s="178" t="s">
        <v>95</v>
      </c>
      <c r="H249" s="178" t="s">
        <v>4168</v>
      </c>
      <c r="I249" s="178" t="s">
        <v>3937</v>
      </c>
      <c r="J249" s="178">
        <v>4</v>
      </c>
      <c r="K249" s="178" t="s">
        <v>34</v>
      </c>
      <c r="L249" s="393" t="s">
        <v>3937</v>
      </c>
    </row>
    <row r="250" spans="1:12" ht="15.8" customHeight="1" x14ac:dyDescent="0.2">
      <c r="A250" s="179" t="s">
        <v>10</v>
      </c>
      <c r="B250" s="178" t="s">
        <v>324</v>
      </c>
      <c r="C250" s="576"/>
      <c r="D250" s="389">
        <v>45456</v>
      </c>
      <c r="E250" s="178" t="s">
        <v>91</v>
      </c>
      <c r="F250" s="178" t="s">
        <v>4169</v>
      </c>
      <c r="G250" s="178" t="s">
        <v>95</v>
      </c>
      <c r="H250" s="178" t="s">
        <v>4170</v>
      </c>
      <c r="I250" s="178" t="s">
        <v>3937</v>
      </c>
      <c r="J250" s="178">
        <v>4</v>
      </c>
      <c r="K250" s="178" t="s">
        <v>34</v>
      </c>
      <c r="L250" s="393" t="s">
        <v>3937</v>
      </c>
    </row>
    <row r="251" spans="1:12" ht="15.8" customHeight="1" x14ac:dyDescent="0.2">
      <c r="A251" s="179" t="s">
        <v>10</v>
      </c>
      <c r="B251" s="178" t="s">
        <v>2161</v>
      </c>
      <c r="C251" s="576"/>
      <c r="D251" s="389">
        <v>45456</v>
      </c>
      <c r="E251" s="178" t="s">
        <v>2339</v>
      </c>
      <c r="F251" s="178" t="s">
        <v>4171</v>
      </c>
      <c r="G251" s="178" t="s">
        <v>2037</v>
      </c>
      <c r="H251" s="178" t="s">
        <v>4172</v>
      </c>
      <c r="I251" s="178" t="s">
        <v>3937</v>
      </c>
      <c r="J251" s="178">
        <v>4</v>
      </c>
      <c r="K251" s="178" t="s">
        <v>50</v>
      </c>
      <c r="L251" s="393" t="s">
        <v>3937</v>
      </c>
    </row>
    <row r="252" spans="1:12" ht="15.8" customHeight="1" x14ac:dyDescent="0.2">
      <c r="A252" s="179" t="s">
        <v>10</v>
      </c>
      <c r="B252" s="178" t="s">
        <v>451</v>
      </c>
      <c r="C252" s="576"/>
      <c r="D252" s="389">
        <v>45456</v>
      </c>
      <c r="E252" s="178" t="s">
        <v>4173</v>
      </c>
      <c r="F252" s="178" t="s">
        <v>4174</v>
      </c>
      <c r="G252" s="178" t="s">
        <v>173</v>
      </c>
      <c r="H252" s="178" t="s">
        <v>4175</v>
      </c>
      <c r="I252" s="178" t="s">
        <v>3937</v>
      </c>
      <c r="J252" s="178">
        <v>3</v>
      </c>
      <c r="K252" s="178" t="s">
        <v>192</v>
      </c>
      <c r="L252" s="393" t="s">
        <v>3937</v>
      </c>
    </row>
    <row r="253" spans="1:12" ht="15.8" customHeight="1" x14ac:dyDescent="0.2">
      <c r="A253" s="179" t="s">
        <v>10</v>
      </c>
      <c r="B253" s="178" t="s">
        <v>244</v>
      </c>
      <c r="C253" s="576"/>
      <c r="D253" s="389">
        <v>45456</v>
      </c>
      <c r="E253" s="178" t="s">
        <v>37</v>
      </c>
      <c r="F253" s="178" t="s">
        <v>2568</v>
      </c>
      <c r="G253" s="178" t="s">
        <v>1589</v>
      </c>
      <c r="H253" s="178" t="s">
        <v>4176</v>
      </c>
      <c r="I253" s="178" t="s">
        <v>3768</v>
      </c>
      <c r="J253" s="178">
        <v>3</v>
      </c>
      <c r="K253" s="178" t="s">
        <v>192</v>
      </c>
      <c r="L253" s="393" t="s">
        <v>3768</v>
      </c>
    </row>
    <row r="254" spans="1:12" ht="15.8" customHeight="1" x14ac:dyDescent="0.2">
      <c r="A254" s="179" t="s">
        <v>10</v>
      </c>
      <c r="B254" s="178" t="s">
        <v>2161</v>
      </c>
      <c r="C254" s="576"/>
      <c r="D254" s="389">
        <v>45460</v>
      </c>
      <c r="E254" s="178" t="s">
        <v>37</v>
      </c>
      <c r="F254" s="178" t="s">
        <v>70</v>
      </c>
      <c r="G254" s="178" t="s">
        <v>70</v>
      </c>
      <c r="H254" s="178" t="s">
        <v>4177</v>
      </c>
      <c r="I254" s="178" t="s">
        <v>3864</v>
      </c>
      <c r="J254" s="178">
        <v>2</v>
      </c>
      <c r="K254" s="178" t="s">
        <v>78</v>
      </c>
      <c r="L254" s="393" t="s">
        <v>3864</v>
      </c>
    </row>
    <row r="255" spans="1:12" ht="15.8" customHeight="1" x14ac:dyDescent="0.2">
      <c r="A255" s="179" t="s">
        <v>10</v>
      </c>
      <c r="B255" s="178" t="s">
        <v>2161</v>
      </c>
      <c r="C255" s="576"/>
      <c r="D255" s="389">
        <v>45461</v>
      </c>
      <c r="E255" s="178" t="s">
        <v>2083</v>
      </c>
      <c r="F255" s="178" t="s">
        <v>2645</v>
      </c>
      <c r="G255" s="178" t="s">
        <v>2194</v>
      </c>
      <c r="H255" s="178" t="s">
        <v>4178</v>
      </c>
      <c r="I255" s="178" t="s">
        <v>3864</v>
      </c>
      <c r="J255" s="178">
        <v>2</v>
      </c>
      <c r="K255" s="178" t="s">
        <v>78</v>
      </c>
      <c r="L255" s="393" t="s">
        <v>3864</v>
      </c>
    </row>
    <row r="256" spans="1:12" ht="15.8" customHeight="1" x14ac:dyDescent="0.2">
      <c r="A256" s="179" t="s">
        <v>10</v>
      </c>
      <c r="B256" s="178" t="s">
        <v>29</v>
      </c>
      <c r="C256" s="576"/>
      <c r="D256" s="389">
        <v>45463</v>
      </c>
      <c r="E256" s="178" t="s">
        <v>37</v>
      </c>
      <c r="F256" s="178" t="s">
        <v>4179</v>
      </c>
      <c r="G256" s="178" t="s">
        <v>401</v>
      </c>
      <c r="H256" s="178" t="s">
        <v>29</v>
      </c>
      <c r="I256" s="178" t="s">
        <v>3768</v>
      </c>
      <c r="J256" s="178">
        <v>3</v>
      </c>
      <c r="K256" s="178" t="s">
        <v>50</v>
      </c>
      <c r="L256" s="393" t="s">
        <v>3768</v>
      </c>
    </row>
    <row r="257" spans="1:12" ht="15.8" customHeight="1" x14ac:dyDescent="0.2">
      <c r="A257" s="179" t="s">
        <v>10</v>
      </c>
      <c r="B257" s="178" t="s">
        <v>29</v>
      </c>
      <c r="C257" s="576"/>
      <c r="D257" s="389">
        <v>45463</v>
      </c>
      <c r="E257" s="178" t="s">
        <v>37</v>
      </c>
      <c r="F257" s="178" t="s">
        <v>139</v>
      </c>
      <c r="G257" s="178" t="s">
        <v>4180</v>
      </c>
      <c r="H257" s="178" t="s">
        <v>29</v>
      </c>
      <c r="I257" s="178" t="s">
        <v>3768</v>
      </c>
      <c r="J257" s="178">
        <v>3</v>
      </c>
      <c r="K257" s="178" t="s">
        <v>50</v>
      </c>
      <c r="L257" s="393" t="s">
        <v>3768</v>
      </c>
    </row>
    <row r="258" spans="1:12" ht="15.8" customHeight="1" x14ac:dyDescent="0.2">
      <c r="A258" s="179" t="s">
        <v>51</v>
      </c>
      <c r="B258" s="178" t="s">
        <v>397</v>
      </c>
      <c r="C258" s="576"/>
      <c r="D258" s="389">
        <v>45463</v>
      </c>
      <c r="E258" s="178" t="s">
        <v>3763</v>
      </c>
      <c r="F258" s="178" t="s">
        <v>401</v>
      </c>
      <c r="G258" s="178" t="s">
        <v>4181</v>
      </c>
      <c r="H258" s="178" t="s">
        <v>2100</v>
      </c>
      <c r="I258" s="178" t="s">
        <v>3768</v>
      </c>
      <c r="J258" s="178">
        <v>2</v>
      </c>
      <c r="K258" s="178" t="s">
        <v>192</v>
      </c>
      <c r="L258" s="393" t="s">
        <v>3768</v>
      </c>
    </row>
    <row r="259" spans="1:12" ht="15.8" customHeight="1" x14ac:dyDescent="0.2">
      <c r="A259" s="179" t="s">
        <v>10</v>
      </c>
      <c r="B259" s="178" t="s">
        <v>324</v>
      </c>
      <c r="C259" s="576"/>
      <c r="D259" s="389">
        <v>45466</v>
      </c>
      <c r="E259" s="178" t="s">
        <v>4182</v>
      </c>
      <c r="F259" s="178" t="s">
        <v>4183</v>
      </c>
      <c r="G259" s="178" t="s">
        <v>95</v>
      </c>
      <c r="H259" s="178" t="s">
        <v>4184</v>
      </c>
      <c r="I259" s="178" t="s">
        <v>167</v>
      </c>
      <c r="J259" s="178">
        <v>4</v>
      </c>
      <c r="K259" s="178" t="s">
        <v>78</v>
      </c>
      <c r="L259" s="393" t="s">
        <v>167</v>
      </c>
    </row>
    <row r="260" spans="1:12" ht="15.8" customHeight="1" x14ac:dyDescent="0.2">
      <c r="A260" s="179" t="s">
        <v>35</v>
      </c>
      <c r="B260" s="178" t="s">
        <v>137</v>
      </c>
      <c r="C260" s="576"/>
      <c r="D260" s="389">
        <v>45469</v>
      </c>
      <c r="E260" s="178" t="s">
        <v>4185</v>
      </c>
      <c r="F260" s="178" t="s">
        <v>4186</v>
      </c>
      <c r="G260" s="178" t="s">
        <v>1163</v>
      </c>
      <c r="H260" s="178" t="s">
        <v>4121</v>
      </c>
      <c r="I260" s="178" t="s">
        <v>167</v>
      </c>
      <c r="J260" s="178">
        <v>3</v>
      </c>
      <c r="K260" s="178" t="s">
        <v>34</v>
      </c>
      <c r="L260" s="393" t="s">
        <v>167</v>
      </c>
    </row>
    <row r="261" spans="1:12" ht="15.8" customHeight="1" x14ac:dyDescent="0.2">
      <c r="A261" s="179" t="s">
        <v>10</v>
      </c>
      <c r="B261" s="178" t="s">
        <v>163</v>
      </c>
      <c r="C261" s="576"/>
      <c r="D261" s="389">
        <v>45471</v>
      </c>
      <c r="E261" s="178" t="s">
        <v>800</v>
      </c>
      <c r="F261" s="178" t="s">
        <v>4187</v>
      </c>
      <c r="G261" s="178"/>
      <c r="H261" s="178" t="s">
        <v>4188</v>
      </c>
      <c r="I261" s="178" t="s">
        <v>167</v>
      </c>
      <c r="J261" s="178">
        <v>6</v>
      </c>
      <c r="K261" s="178" t="s">
        <v>50</v>
      </c>
      <c r="L261" s="393" t="s">
        <v>167</v>
      </c>
    </row>
    <row r="262" spans="1:12" ht="15.8" customHeight="1" x14ac:dyDescent="0.2">
      <c r="A262" s="179" t="s">
        <v>10</v>
      </c>
      <c r="B262" s="178" t="s">
        <v>2161</v>
      </c>
      <c r="C262" s="576"/>
      <c r="D262" s="389">
        <v>45472</v>
      </c>
      <c r="E262" s="178" t="s">
        <v>4189</v>
      </c>
      <c r="F262" s="178" t="s">
        <v>4190</v>
      </c>
      <c r="G262" s="178" t="s">
        <v>4191</v>
      </c>
      <c r="H262" s="178" t="s">
        <v>4192</v>
      </c>
      <c r="I262" s="178" t="s">
        <v>3768</v>
      </c>
      <c r="J262" s="178">
        <v>2</v>
      </c>
      <c r="K262" s="178" t="s">
        <v>78</v>
      </c>
      <c r="L262" s="393" t="s">
        <v>3768</v>
      </c>
    </row>
    <row r="263" spans="1:12" ht="15.8" customHeight="1" x14ac:dyDescent="0.2">
      <c r="A263" s="179" t="s">
        <v>4193</v>
      </c>
      <c r="B263" s="178" t="s">
        <v>2163</v>
      </c>
      <c r="C263" s="576"/>
      <c r="D263" s="389">
        <v>45472</v>
      </c>
      <c r="E263" s="178" t="s">
        <v>91</v>
      </c>
      <c r="F263" s="178" t="s">
        <v>4194</v>
      </c>
      <c r="G263" s="178" t="s">
        <v>76</v>
      </c>
      <c r="H263" s="178" t="s">
        <v>4195</v>
      </c>
      <c r="I263" s="178" t="s">
        <v>167</v>
      </c>
      <c r="J263" s="178">
        <v>3</v>
      </c>
      <c r="K263" s="178" t="s">
        <v>16</v>
      </c>
      <c r="L263" s="393" t="s">
        <v>167</v>
      </c>
    </row>
    <row r="264" spans="1:12" ht="15.8" customHeight="1" x14ac:dyDescent="0.25">
      <c r="A264" s="394" t="s">
        <v>2146</v>
      </c>
      <c r="B264" s="361"/>
      <c r="C264" s="391"/>
      <c r="D264" s="361"/>
      <c r="E264" s="361"/>
      <c r="F264" s="361"/>
      <c r="G264" s="361"/>
      <c r="H264" s="361"/>
      <c r="I264" s="361"/>
      <c r="J264" s="361"/>
      <c r="K264" s="361"/>
      <c r="L264" s="395"/>
    </row>
    <row r="265" spans="1:12" ht="15.8" customHeight="1" x14ac:dyDescent="0.2">
      <c r="A265" s="178" t="s">
        <v>10</v>
      </c>
      <c r="B265" s="178" t="s">
        <v>29</v>
      </c>
      <c r="C265" s="572">
        <f>COUNTIF(B265:B290,C2)</f>
        <v>2</v>
      </c>
      <c r="D265" s="389">
        <v>45475</v>
      </c>
      <c r="E265" s="178" t="s">
        <v>2619</v>
      </c>
      <c r="F265" s="178" t="s">
        <v>4536</v>
      </c>
      <c r="G265" s="178" t="s">
        <v>478</v>
      </c>
      <c r="H265" s="178" t="s">
        <v>4537</v>
      </c>
      <c r="I265" s="178" t="s">
        <v>3721</v>
      </c>
      <c r="J265" s="178">
        <v>2</v>
      </c>
      <c r="K265" s="178" t="s">
        <v>78</v>
      </c>
      <c r="L265" s="178" t="s">
        <v>4536</v>
      </c>
    </row>
    <row r="266" spans="1:12" ht="15.8" customHeight="1" x14ac:dyDescent="0.2">
      <c r="A266" s="178" t="s">
        <v>17</v>
      </c>
      <c r="B266" s="178" t="s">
        <v>24</v>
      </c>
      <c r="C266" s="573"/>
      <c r="D266" s="389">
        <v>45476</v>
      </c>
      <c r="E266" s="178" t="s">
        <v>215</v>
      </c>
      <c r="F266" s="178" t="s">
        <v>4538</v>
      </c>
      <c r="G266" s="178" t="s">
        <v>4539</v>
      </c>
      <c r="H266" s="178" t="s">
        <v>4540</v>
      </c>
      <c r="I266" s="178" t="s">
        <v>3721</v>
      </c>
      <c r="J266" s="178">
        <v>2</v>
      </c>
      <c r="K266" s="178" t="s">
        <v>50</v>
      </c>
      <c r="L266" s="178" t="s">
        <v>4541</v>
      </c>
    </row>
    <row r="267" spans="1:12" ht="15.8" customHeight="1" x14ac:dyDescent="0.2">
      <c r="A267" s="178" t="s">
        <v>10</v>
      </c>
      <c r="B267" s="178" t="s">
        <v>29</v>
      </c>
      <c r="C267" s="573"/>
      <c r="D267" s="389">
        <v>45481</v>
      </c>
      <c r="E267" s="178" t="s">
        <v>112</v>
      </c>
      <c r="F267" s="178" t="s">
        <v>4196</v>
      </c>
      <c r="G267" s="178" t="s">
        <v>85</v>
      </c>
      <c r="H267" s="178" t="s">
        <v>4197</v>
      </c>
      <c r="I267" s="178" t="s">
        <v>3864</v>
      </c>
      <c r="J267" s="178">
        <v>2</v>
      </c>
      <c r="K267" s="178" t="s">
        <v>50</v>
      </c>
      <c r="L267" s="178" t="s">
        <v>3864</v>
      </c>
    </row>
    <row r="268" spans="1:12" ht="15.8" customHeight="1" x14ac:dyDescent="0.2">
      <c r="A268" s="178" t="s">
        <v>10</v>
      </c>
      <c r="B268" s="178" t="s">
        <v>29</v>
      </c>
      <c r="C268" s="573"/>
      <c r="D268" s="389">
        <v>45483</v>
      </c>
      <c r="E268" s="178" t="s">
        <v>37</v>
      </c>
      <c r="F268" s="178" t="s">
        <v>4198</v>
      </c>
      <c r="G268" s="178" t="s">
        <v>787</v>
      </c>
      <c r="H268" s="178" t="s">
        <v>4199</v>
      </c>
      <c r="I268" s="178" t="s">
        <v>4200</v>
      </c>
      <c r="J268" s="178">
        <v>3</v>
      </c>
      <c r="K268" s="178" t="s">
        <v>34</v>
      </c>
      <c r="L268" s="178" t="s">
        <v>4200</v>
      </c>
    </row>
    <row r="269" spans="1:12" ht="15.8" customHeight="1" x14ac:dyDescent="0.2">
      <c r="A269" s="178" t="s">
        <v>35</v>
      </c>
      <c r="B269" s="178" t="s">
        <v>137</v>
      </c>
      <c r="C269" s="573"/>
      <c r="D269" s="389">
        <v>45483</v>
      </c>
      <c r="E269" s="178" t="s">
        <v>1650</v>
      </c>
      <c r="F269" s="178" t="s">
        <v>4201</v>
      </c>
      <c r="G269" s="178" t="s">
        <v>4202</v>
      </c>
      <c r="H269" s="178" t="s">
        <v>4203</v>
      </c>
      <c r="I269" s="178" t="s">
        <v>3768</v>
      </c>
      <c r="J269" s="178">
        <v>2</v>
      </c>
      <c r="K269" s="178" t="s">
        <v>50</v>
      </c>
      <c r="L269" s="178" t="s">
        <v>3768</v>
      </c>
    </row>
    <row r="270" spans="1:12" ht="15.8" customHeight="1" x14ac:dyDescent="0.2">
      <c r="A270" s="178" t="s">
        <v>146</v>
      </c>
      <c r="B270" s="178" t="s">
        <v>2163</v>
      </c>
      <c r="C270" s="573"/>
      <c r="D270" s="389">
        <v>45483</v>
      </c>
      <c r="E270" s="178" t="s">
        <v>1728</v>
      </c>
      <c r="F270" s="178" t="s">
        <v>4204</v>
      </c>
      <c r="G270" s="178" t="s">
        <v>21</v>
      </c>
      <c r="H270" s="178" t="s">
        <v>4205</v>
      </c>
      <c r="I270" s="178" t="s">
        <v>3768</v>
      </c>
      <c r="J270" s="178">
        <v>4</v>
      </c>
      <c r="K270" s="178" t="s">
        <v>34</v>
      </c>
      <c r="L270" s="178" t="s">
        <v>3768</v>
      </c>
    </row>
    <row r="271" spans="1:12" ht="15.8" customHeight="1" x14ac:dyDescent="0.2">
      <c r="A271" s="178" t="s">
        <v>10</v>
      </c>
      <c r="B271" s="178" t="s">
        <v>152</v>
      </c>
      <c r="C271" s="573"/>
      <c r="D271" s="389">
        <v>45485</v>
      </c>
      <c r="E271" s="178" t="s">
        <v>37</v>
      </c>
      <c r="F271" s="178" t="s">
        <v>4208</v>
      </c>
      <c r="G271" s="178" t="s">
        <v>150</v>
      </c>
      <c r="H271" s="178" t="s">
        <v>4209</v>
      </c>
      <c r="I271" s="178" t="s">
        <v>4200</v>
      </c>
      <c r="J271" s="178">
        <v>2</v>
      </c>
      <c r="K271" s="178" t="s">
        <v>50</v>
      </c>
      <c r="L271" s="178" t="s">
        <v>4200</v>
      </c>
    </row>
    <row r="272" spans="1:12" ht="15.8" customHeight="1" x14ac:dyDescent="0.2">
      <c r="A272" s="178" t="s">
        <v>10</v>
      </c>
      <c r="B272" s="178" t="s">
        <v>188</v>
      </c>
      <c r="C272" s="573"/>
      <c r="D272" s="389">
        <v>45486</v>
      </c>
      <c r="E272" s="178" t="s">
        <v>305</v>
      </c>
      <c r="F272" s="178" t="s">
        <v>1589</v>
      </c>
      <c r="G272" s="178" t="s">
        <v>4206</v>
      </c>
      <c r="H272" s="178" t="s">
        <v>4207</v>
      </c>
      <c r="I272" s="178" t="s">
        <v>4200</v>
      </c>
      <c r="J272" s="178">
        <v>2</v>
      </c>
      <c r="K272" s="178" t="s">
        <v>192</v>
      </c>
      <c r="L272" s="178" t="s">
        <v>4200</v>
      </c>
    </row>
    <row r="273" spans="1:12" ht="15.8" customHeight="1" x14ac:dyDescent="0.2">
      <c r="A273" s="178" t="s">
        <v>17</v>
      </c>
      <c r="B273" s="178" t="s">
        <v>24</v>
      </c>
      <c r="C273" s="573"/>
      <c r="D273" s="389">
        <v>45488</v>
      </c>
      <c r="E273" s="178" t="s">
        <v>4210</v>
      </c>
      <c r="F273" s="178" t="s">
        <v>4211</v>
      </c>
      <c r="G273" s="178" t="s">
        <v>27</v>
      </c>
      <c r="H273" s="178" t="s">
        <v>28</v>
      </c>
      <c r="I273" s="178" t="s">
        <v>3768</v>
      </c>
      <c r="J273" s="178">
        <v>1</v>
      </c>
      <c r="K273" s="178" t="s">
        <v>23</v>
      </c>
      <c r="L273" s="178" t="s">
        <v>3768</v>
      </c>
    </row>
    <row r="274" spans="1:12" ht="15.8" customHeight="1" x14ac:dyDescent="0.2">
      <c r="A274" s="178" t="s">
        <v>17</v>
      </c>
      <c r="B274" s="178" t="s">
        <v>24</v>
      </c>
      <c r="C274" s="573"/>
      <c r="D274" s="389">
        <v>45488</v>
      </c>
      <c r="E274" s="178" t="s">
        <v>37</v>
      </c>
      <c r="F274" s="178" t="s">
        <v>4212</v>
      </c>
      <c r="G274" s="178" t="s">
        <v>27</v>
      </c>
      <c r="H274" s="178" t="s">
        <v>4213</v>
      </c>
      <c r="I274" s="178" t="s">
        <v>3768</v>
      </c>
      <c r="J274" s="178">
        <v>1</v>
      </c>
      <c r="K274" s="178" t="s">
        <v>23</v>
      </c>
      <c r="L274" s="178" t="s">
        <v>3768</v>
      </c>
    </row>
    <row r="275" spans="1:12" ht="15.8" customHeight="1" x14ac:dyDescent="0.2">
      <c r="A275" s="178" t="s">
        <v>159</v>
      </c>
      <c r="B275" s="178" t="s">
        <v>2401</v>
      </c>
      <c r="C275" s="573"/>
      <c r="D275" s="389">
        <v>45489</v>
      </c>
      <c r="E275" s="178" t="s">
        <v>884</v>
      </c>
      <c r="F275" s="178" t="s">
        <v>2687</v>
      </c>
      <c r="G275" s="178" t="s">
        <v>2687</v>
      </c>
      <c r="H275" s="178" t="s">
        <v>4214</v>
      </c>
      <c r="I275" s="178" t="s">
        <v>3768</v>
      </c>
      <c r="J275" s="178">
        <v>5</v>
      </c>
      <c r="K275" s="178" t="s">
        <v>1075</v>
      </c>
      <c r="L275" s="178" t="s">
        <v>3768</v>
      </c>
    </row>
    <row r="276" spans="1:12" ht="15.8" customHeight="1" x14ac:dyDescent="0.2">
      <c r="A276" s="178" t="s">
        <v>387</v>
      </c>
      <c r="B276" s="178" t="s">
        <v>481</v>
      </c>
      <c r="C276" s="573"/>
      <c r="D276" s="389">
        <v>45490</v>
      </c>
      <c r="E276" s="178" t="s">
        <v>1010</v>
      </c>
      <c r="F276" s="178" t="s">
        <v>4215</v>
      </c>
      <c r="G276" s="178" t="s">
        <v>27</v>
      </c>
      <c r="H276" s="178" t="s">
        <v>4216</v>
      </c>
      <c r="I276" s="178" t="s">
        <v>167</v>
      </c>
      <c r="J276" s="178">
        <v>5</v>
      </c>
      <c r="K276" s="178" t="s">
        <v>16</v>
      </c>
      <c r="L276" s="178" t="s">
        <v>167</v>
      </c>
    </row>
    <row r="277" spans="1:12" ht="15.8" customHeight="1" x14ac:dyDescent="0.2">
      <c r="A277" s="178" t="s">
        <v>51</v>
      </c>
      <c r="B277" s="178" t="s">
        <v>481</v>
      </c>
      <c r="C277" s="573"/>
      <c r="D277" s="389">
        <v>45493</v>
      </c>
      <c r="E277" s="178" t="s">
        <v>884</v>
      </c>
      <c r="F277" s="178" t="s">
        <v>4217</v>
      </c>
      <c r="G277" s="178" t="s">
        <v>4218</v>
      </c>
      <c r="H277" s="178" t="s">
        <v>4219</v>
      </c>
      <c r="I277" s="178" t="s">
        <v>4200</v>
      </c>
      <c r="J277" s="178">
        <v>7</v>
      </c>
      <c r="K277" s="178" t="s">
        <v>2203</v>
      </c>
      <c r="L277" s="178" t="s">
        <v>4200</v>
      </c>
    </row>
    <row r="278" spans="1:12" ht="15.8" customHeight="1" x14ac:dyDescent="0.2">
      <c r="A278" s="178" t="s">
        <v>10</v>
      </c>
      <c r="B278" s="178" t="s">
        <v>2162</v>
      </c>
      <c r="C278" s="573"/>
      <c r="D278" s="389">
        <v>45493</v>
      </c>
      <c r="E278" s="178" t="s">
        <v>4423</v>
      </c>
      <c r="F278" s="178" t="s">
        <v>4542</v>
      </c>
      <c r="G278" s="178" t="s">
        <v>1343</v>
      </c>
      <c r="H278" s="178" t="s">
        <v>4543</v>
      </c>
      <c r="I278" s="178" t="s">
        <v>3721</v>
      </c>
      <c r="J278" s="178">
        <v>29</v>
      </c>
      <c r="K278" s="178" t="s">
        <v>4544</v>
      </c>
      <c r="L278" s="178" t="s">
        <v>4545</v>
      </c>
    </row>
    <row r="279" spans="1:12" ht="15.8" customHeight="1" x14ac:dyDescent="0.2">
      <c r="A279" s="178" t="s">
        <v>10</v>
      </c>
      <c r="B279" s="178" t="s">
        <v>2162</v>
      </c>
      <c r="C279" s="573"/>
      <c r="D279" s="389">
        <v>45493</v>
      </c>
      <c r="E279" s="178" t="s">
        <v>164</v>
      </c>
      <c r="F279" s="178" t="s">
        <v>4546</v>
      </c>
      <c r="G279" s="178" t="s">
        <v>21</v>
      </c>
      <c r="H279" s="178" t="s">
        <v>4547</v>
      </c>
      <c r="I279" s="178" t="s">
        <v>3721</v>
      </c>
      <c r="J279" s="178">
        <v>8</v>
      </c>
      <c r="K279" s="178" t="s">
        <v>1075</v>
      </c>
      <c r="L279" s="178" t="s">
        <v>4546</v>
      </c>
    </row>
    <row r="280" spans="1:12" ht="15.8" customHeight="1" x14ac:dyDescent="0.2">
      <c r="A280" s="178" t="s">
        <v>10</v>
      </c>
      <c r="B280" s="178" t="s">
        <v>244</v>
      </c>
      <c r="C280" s="573"/>
      <c r="D280" s="389">
        <v>45493</v>
      </c>
      <c r="E280" s="178" t="s">
        <v>4548</v>
      </c>
      <c r="F280" s="178" t="s">
        <v>4549</v>
      </c>
      <c r="G280" s="178" t="s">
        <v>21</v>
      </c>
      <c r="H280" s="178" t="s">
        <v>4550</v>
      </c>
      <c r="I280" s="178" t="s">
        <v>3721</v>
      </c>
      <c r="J280" s="178">
        <v>2</v>
      </c>
      <c r="K280" s="178" t="s">
        <v>50</v>
      </c>
      <c r="L280" s="178" t="s">
        <v>4551</v>
      </c>
    </row>
    <row r="281" spans="1:12" ht="15.8" customHeight="1" x14ac:dyDescent="0.2">
      <c r="A281" s="178" t="s">
        <v>159</v>
      </c>
      <c r="B281" s="178" t="s">
        <v>137</v>
      </c>
      <c r="C281" s="573"/>
      <c r="D281" s="389">
        <v>45494</v>
      </c>
      <c r="E281" s="178" t="s">
        <v>72</v>
      </c>
      <c r="F281" s="178" t="s">
        <v>4220</v>
      </c>
      <c r="G281" s="178" t="s">
        <v>1044</v>
      </c>
      <c r="H281" s="178" t="s">
        <v>4221</v>
      </c>
      <c r="I281" s="178" t="s">
        <v>3937</v>
      </c>
      <c r="J281" s="178">
        <v>4</v>
      </c>
      <c r="K281" s="178" t="s">
        <v>50</v>
      </c>
      <c r="L281" s="178" t="s">
        <v>222</v>
      </c>
    </row>
    <row r="282" spans="1:12" ht="15.8" customHeight="1" x14ac:dyDescent="0.2">
      <c r="A282" s="178" t="s">
        <v>35</v>
      </c>
      <c r="B282" s="178" t="s">
        <v>29</v>
      </c>
      <c r="C282" s="573"/>
      <c r="D282" s="389">
        <v>45494</v>
      </c>
      <c r="E282" s="178" t="s">
        <v>37</v>
      </c>
      <c r="F282" s="178" t="s">
        <v>4222</v>
      </c>
      <c r="G282" s="178"/>
      <c r="H282" s="178" t="s">
        <v>1444</v>
      </c>
      <c r="I282" s="178" t="s">
        <v>95</v>
      </c>
      <c r="J282" s="178">
        <v>2</v>
      </c>
      <c r="K282" s="178" t="s">
        <v>34</v>
      </c>
      <c r="L282" s="178" t="s">
        <v>3937</v>
      </c>
    </row>
    <row r="283" spans="1:12" ht="15.8" customHeight="1" x14ac:dyDescent="0.2">
      <c r="A283" s="178" t="s">
        <v>159</v>
      </c>
      <c r="B283" s="178" t="s">
        <v>2164</v>
      </c>
      <c r="C283" s="573"/>
      <c r="D283" s="389">
        <v>45496</v>
      </c>
      <c r="E283" s="178" t="s">
        <v>2570</v>
      </c>
      <c r="F283" s="178" t="s">
        <v>4552</v>
      </c>
      <c r="G283" s="178" t="s">
        <v>189</v>
      </c>
      <c r="H283" s="178" t="s">
        <v>4553</v>
      </c>
      <c r="I283" s="178" t="s">
        <v>3721</v>
      </c>
      <c r="J283" s="178">
        <v>5</v>
      </c>
      <c r="K283" s="178" t="s">
        <v>50</v>
      </c>
      <c r="L283" s="178" t="s">
        <v>3721</v>
      </c>
    </row>
    <row r="284" spans="1:12" ht="15.8" customHeight="1" x14ac:dyDescent="0.2">
      <c r="A284" s="178" t="s">
        <v>159</v>
      </c>
      <c r="B284" s="178" t="s">
        <v>2164</v>
      </c>
      <c r="C284" s="573"/>
      <c r="D284" s="389">
        <v>45497</v>
      </c>
      <c r="E284" s="178" t="s">
        <v>215</v>
      </c>
      <c r="F284" s="178" t="s">
        <v>1092</v>
      </c>
      <c r="G284" s="178"/>
      <c r="H284" s="178" t="s">
        <v>4223</v>
      </c>
      <c r="I284" s="178" t="s">
        <v>167</v>
      </c>
      <c r="J284" s="178">
        <v>7</v>
      </c>
      <c r="K284" s="178" t="s">
        <v>99</v>
      </c>
      <c r="L284" s="178" t="s">
        <v>167</v>
      </c>
    </row>
    <row r="285" spans="1:12" ht="15.8" customHeight="1" x14ac:dyDescent="0.2">
      <c r="A285" s="178" t="s">
        <v>51</v>
      </c>
      <c r="B285" s="178" t="s">
        <v>52</v>
      </c>
      <c r="C285" s="573"/>
      <c r="D285" s="389">
        <v>45498</v>
      </c>
      <c r="E285" s="178" t="s">
        <v>57</v>
      </c>
      <c r="F285" s="178" t="s">
        <v>4224</v>
      </c>
      <c r="G285" s="178" t="s">
        <v>501</v>
      </c>
      <c r="H285" s="178" t="s">
        <v>2466</v>
      </c>
      <c r="I285" s="178" t="s">
        <v>3937</v>
      </c>
      <c r="J285" s="178">
        <v>8</v>
      </c>
      <c r="K285" s="178" t="s">
        <v>56</v>
      </c>
      <c r="L285" s="178" t="s">
        <v>3937</v>
      </c>
    </row>
    <row r="286" spans="1:12" ht="15.8" customHeight="1" x14ac:dyDescent="0.2">
      <c r="A286" s="178" t="s">
        <v>10</v>
      </c>
      <c r="B286" s="178" t="s">
        <v>29</v>
      </c>
      <c r="C286" s="573"/>
      <c r="D286" s="389">
        <v>45499</v>
      </c>
      <c r="E286" s="178" t="s">
        <v>4554</v>
      </c>
      <c r="F286" s="178" t="s">
        <v>4555</v>
      </c>
      <c r="G286" s="178" t="s">
        <v>144</v>
      </c>
      <c r="H286" s="178" t="s">
        <v>4556</v>
      </c>
      <c r="I286" s="178" t="s">
        <v>3721</v>
      </c>
      <c r="J286" s="178">
        <v>3</v>
      </c>
      <c r="K286" s="178" t="s">
        <v>34</v>
      </c>
      <c r="L286" s="178" t="s">
        <v>4557</v>
      </c>
    </row>
    <row r="287" spans="1:12" ht="15.8" customHeight="1" x14ac:dyDescent="0.2">
      <c r="A287" s="178" t="s">
        <v>51</v>
      </c>
      <c r="B287" s="178" t="s">
        <v>52</v>
      </c>
      <c r="C287" s="573"/>
      <c r="D287" s="389">
        <v>45499</v>
      </c>
      <c r="E287" s="178" t="s">
        <v>138</v>
      </c>
      <c r="F287" s="178" t="s">
        <v>4558</v>
      </c>
      <c r="G287" s="178" t="s">
        <v>139</v>
      </c>
      <c r="H287" s="178" t="s">
        <v>4559</v>
      </c>
      <c r="I287" s="178" t="s">
        <v>4560</v>
      </c>
      <c r="J287" s="178">
        <v>5</v>
      </c>
      <c r="K287" s="178" t="s">
        <v>2313</v>
      </c>
      <c r="L287" s="178" t="s">
        <v>4561</v>
      </c>
    </row>
    <row r="288" spans="1:12" ht="15.8" customHeight="1" x14ac:dyDescent="0.2">
      <c r="A288" s="178" t="s">
        <v>10</v>
      </c>
      <c r="B288" s="178" t="s">
        <v>2161</v>
      </c>
      <c r="C288" s="573"/>
      <c r="D288" s="389">
        <v>45500</v>
      </c>
      <c r="E288" s="178" t="s">
        <v>57</v>
      </c>
      <c r="F288" s="178" t="s">
        <v>4225</v>
      </c>
      <c r="G288" s="178" t="s">
        <v>987</v>
      </c>
      <c r="H288" s="178" t="s">
        <v>4226</v>
      </c>
      <c r="I288" s="178" t="s">
        <v>3937</v>
      </c>
      <c r="J288" s="178">
        <v>3</v>
      </c>
      <c r="K288" s="178" t="s">
        <v>192</v>
      </c>
      <c r="L288" s="178" t="s">
        <v>3937</v>
      </c>
    </row>
    <row r="289" spans="1:12" ht="15.8" customHeight="1" x14ac:dyDescent="0.2">
      <c r="A289" s="178" t="s">
        <v>10</v>
      </c>
      <c r="B289" s="178" t="s">
        <v>2162</v>
      </c>
      <c r="C289" s="573"/>
      <c r="D289" s="389">
        <v>45501</v>
      </c>
      <c r="E289" s="178" t="s">
        <v>215</v>
      </c>
      <c r="F289" s="178" t="s">
        <v>636</v>
      </c>
      <c r="G289" s="178" t="s">
        <v>85</v>
      </c>
      <c r="H289" s="178" t="s">
        <v>4227</v>
      </c>
      <c r="I289" s="178" t="s">
        <v>3937</v>
      </c>
      <c r="J289" s="178">
        <v>3</v>
      </c>
      <c r="K289" s="178" t="s">
        <v>34</v>
      </c>
      <c r="L289" s="178" t="s">
        <v>3937</v>
      </c>
    </row>
    <row r="290" spans="1:12" ht="15.8" customHeight="1" x14ac:dyDescent="0.2">
      <c r="A290" s="178" t="s">
        <v>10</v>
      </c>
      <c r="B290" s="178" t="s">
        <v>29</v>
      </c>
      <c r="C290" s="574"/>
      <c r="D290" s="389">
        <v>45501</v>
      </c>
      <c r="E290" s="178" t="s">
        <v>57</v>
      </c>
      <c r="F290" s="178" t="s">
        <v>4228</v>
      </c>
      <c r="G290" s="178" t="s">
        <v>27</v>
      </c>
      <c r="H290" s="178" t="s">
        <v>4229</v>
      </c>
      <c r="I290" s="178" t="s">
        <v>3937</v>
      </c>
      <c r="J290" s="178">
        <v>3</v>
      </c>
      <c r="K290" s="178" t="s">
        <v>50</v>
      </c>
      <c r="L290" s="178" t="s">
        <v>3937</v>
      </c>
    </row>
    <row r="291" spans="1:12" s="101" customFormat="1" ht="15.8" customHeight="1" x14ac:dyDescent="0.25">
      <c r="A291" s="394" t="s">
        <v>2147</v>
      </c>
      <c r="B291" s="361"/>
      <c r="C291" s="391"/>
      <c r="D291" s="361"/>
      <c r="E291" s="361"/>
      <c r="F291" s="361"/>
      <c r="G291" s="361"/>
      <c r="H291" s="361"/>
      <c r="I291" s="361"/>
      <c r="J291" s="361"/>
      <c r="K291" s="361"/>
      <c r="L291" s="395"/>
    </row>
    <row r="292" spans="1:12" ht="15.8" customHeight="1" x14ac:dyDescent="0.2">
      <c r="A292" s="179" t="s">
        <v>2147</v>
      </c>
      <c r="B292" s="178" t="s">
        <v>152</v>
      </c>
      <c r="C292" s="576">
        <f>COUNTIF(B292:B324,C2)</f>
        <v>7</v>
      </c>
      <c r="D292" s="389">
        <v>45505</v>
      </c>
      <c r="E292" s="178" t="s">
        <v>4230</v>
      </c>
      <c r="F292" s="178" t="s">
        <v>4231</v>
      </c>
      <c r="G292" s="178" t="s">
        <v>110</v>
      </c>
      <c r="H292" s="178" t="s">
        <v>4232</v>
      </c>
      <c r="I292" s="178" t="s">
        <v>3721</v>
      </c>
      <c r="J292" s="178">
        <v>2</v>
      </c>
      <c r="K292" s="178" t="s">
        <v>192</v>
      </c>
      <c r="L292" s="393" t="s">
        <v>167</v>
      </c>
    </row>
    <row r="293" spans="1:12" ht="15.8" customHeight="1" x14ac:dyDescent="0.2">
      <c r="A293" s="179" t="s">
        <v>51</v>
      </c>
      <c r="B293" s="178" t="s">
        <v>52</v>
      </c>
      <c r="C293" s="576"/>
      <c r="D293" s="389">
        <v>45505</v>
      </c>
      <c r="E293" s="178" t="s">
        <v>4173</v>
      </c>
      <c r="F293" s="178" t="s">
        <v>2410</v>
      </c>
      <c r="G293" s="178" t="s">
        <v>1027</v>
      </c>
      <c r="H293" s="178" t="s">
        <v>4233</v>
      </c>
      <c r="I293" s="178" t="s">
        <v>3937</v>
      </c>
      <c r="J293" s="178">
        <v>5</v>
      </c>
      <c r="K293" s="178" t="s">
        <v>2607</v>
      </c>
      <c r="L293" s="393" t="s">
        <v>3937</v>
      </c>
    </row>
    <row r="294" spans="1:12" ht="15.8" customHeight="1" x14ac:dyDescent="0.2">
      <c r="A294" s="179" t="s">
        <v>387</v>
      </c>
      <c r="B294" s="178" t="s">
        <v>52</v>
      </c>
      <c r="C294" s="576"/>
      <c r="D294" s="389">
        <v>45508</v>
      </c>
      <c r="E294" s="178" t="s">
        <v>428</v>
      </c>
      <c r="F294" s="178" t="s">
        <v>4234</v>
      </c>
      <c r="G294" s="178" t="s">
        <v>110</v>
      </c>
      <c r="H294" s="178" t="s">
        <v>4235</v>
      </c>
      <c r="I294" s="178" t="s">
        <v>3937</v>
      </c>
      <c r="J294" s="178">
        <v>3</v>
      </c>
      <c r="K294" s="178" t="s">
        <v>192</v>
      </c>
      <c r="L294" s="393" t="s">
        <v>3937</v>
      </c>
    </row>
    <row r="295" spans="1:12" ht="15.8" customHeight="1" x14ac:dyDescent="0.2">
      <c r="A295" s="179" t="s">
        <v>159</v>
      </c>
      <c r="B295" s="178" t="s">
        <v>29</v>
      </c>
      <c r="C295" s="576"/>
      <c r="D295" s="389">
        <v>45539</v>
      </c>
      <c r="E295" s="178" t="s">
        <v>72</v>
      </c>
      <c r="F295" s="178" t="s">
        <v>4236</v>
      </c>
      <c r="G295" s="178" t="s">
        <v>139</v>
      </c>
      <c r="H295" s="178" t="s">
        <v>4237</v>
      </c>
      <c r="I295" s="178" t="s">
        <v>3937</v>
      </c>
      <c r="J295" s="178">
        <v>4</v>
      </c>
      <c r="K295" s="178" t="s">
        <v>34</v>
      </c>
      <c r="L295" s="393" t="s">
        <v>3937</v>
      </c>
    </row>
    <row r="296" spans="1:12" ht="15.8" customHeight="1" x14ac:dyDescent="0.2">
      <c r="A296" s="179" t="s">
        <v>17</v>
      </c>
      <c r="B296" s="178" t="s">
        <v>24</v>
      </c>
      <c r="C296" s="576"/>
      <c r="D296" s="389">
        <v>45509</v>
      </c>
      <c r="E296" s="178" t="s">
        <v>4238</v>
      </c>
      <c r="F296" s="178" t="s">
        <v>4239</v>
      </c>
      <c r="G296" s="178" t="s">
        <v>110</v>
      </c>
      <c r="H296" s="178" t="s">
        <v>4240</v>
      </c>
      <c r="I296" s="178" t="s">
        <v>3721</v>
      </c>
      <c r="J296" s="178">
        <v>1</v>
      </c>
      <c r="K296" s="178" t="s">
        <v>10</v>
      </c>
      <c r="L296" s="393" t="s">
        <v>4241</v>
      </c>
    </row>
    <row r="297" spans="1:12" ht="15.8" customHeight="1" x14ac:dyDescent="0.2">
      <c r="A297" s="179" t="s">
        <v>51</v>
      </c>
      <c r="B297" s="178" t="s">
        <v>52</v>
      </c>
      <c r="C297" s="576"/>
      <c r="D297" s="389">
        <v>45510</v>
      </c>
      <c r="E297" s="178" t="s">
        <v>87</v>
      </c>
      <c r="F297" s="178" t="s">
        <v>32</v>
      </c>
      <c r="G297" s="178" t="s">
        <v>32</v>
      </c>
      <c r="H297" s="178" t="s">
        <v>4242</v>
      </c>
      <c r="I297" s="178" t="s">
        <v>3721</v>
      </c>
      <c r="J297" s="178">
        <v>6</v>
      </c>
      <c r="K297" s="178" t="s">
        <v>1075</v>
      </c>
      <c r="L297" s="433" t="s">
        <v>4243</v>
      </c>
    </row>
    <row r="298" spans="1:12" ht="15.8" customHeight="1" x14ac:dyDescent="0.2">
      <c r="A298" s="179" t="s">
        <v>10</v>
      </c>
      <c r="B298" s="178" t="s">
        <v>11</v>
      </c>
      <c r="C298" s="576"/>
      <c r="D298" s="389">
        <v>45510</v>
      </c>
      <c r="E298" s="178" t="s">
        <v>4244</v>
      </c>
      <c r="F298" s="178" t="s">
        <v>4245</v>
      </c>
      <c r="G298" s="178" t="s">
        <v>355</v>
      </c>
      <c r="H298" s="178" t="s">
        <v>4246</v>
      </c>
      <c r="I298" s="178" t="s">
        <v>3721</v>
      </c>
      <c r="J298" s="178">
        <v>6</v>
      </c>
      <c r="K298" s="178" t="s">
        <v>1075</v>
      </c>
      <c r="L298" s="393" t="s">
        <v>4247</v>
      </c>
    </row>
    <row r="299" spans="1:12" ht="15.8" customHeight="1" x14ac:dyDescent="0.2">
      <c r="A299" s="179" t="s">
        <v>10</v>
      </c>
      <c r="B299" s="178" t="s">
        <v>188</v>
      </c>
      <c r="C299" s="576"/>
      <c r="D299" s="389">
        <v>45542</v>
      </c>
      <c r="E299" s="178" t="s">
        <v>4248</v>
      </c>
      <c r="F299" s="178" t="s">
        <v>654</v>
      </c>
      <c r="G299" s="178" t="s">
        <v>2451</v>
      </c>
      <c r="H299" s="178" t="s">
        <v>4249</v>
      </c>
      <c r="I299" s="178" t="s">
        <v>3937</v>
      </c>
      <c r="J299" s="178">
        <v>3</v>
      </c>
      <c r="K299" s="178" t="s">
        <v>16</v>
      </c>
      <c r="L299" s="393" t="s">
        <v>3937</v>
      </c>
    </row>
    <row r="300" spans="1:12" ht="15.8" customHeight="1" x14ac:dyDescent="0.2">
      <c r="A300" s="179" t="s">
        <v>146</v>
      </c>
      <c r="B300" s="178" t="s">
        <v>2163</v>
      </c>
      <c r="C300" s="576"/>
      <c r="D300" s="389">
        <v>45543</v>
      </c>
      <c r="E300" s="178" t="s">
        <v>4250</v>
      </c>
      <c r="F300" s="178" t="s">
        <v>274</v>
      </c>
      <c r="G300" s="178" t="s">
        <v>4251</v>
      </c>
      <c r="H300" s="178" t="s">
        <v>4195</v>
      </c>
      <c r="I300" s="178" t="s">
        <v>4252</v>
      </c>
      <c r="J300" s="178">
        <v>5</v>
      </c>
      <c r="K300" s="178" t="s">
        <v>34</v>
      </c>
      <c r="L300" s="393" t="s">
        <v>4253</v>
      </c>
    </row>
    <row r="301" spans="1:12" ht="15.8" customHeight="1" x14ac:dyDescent="0.2">
      <c r="A301" s="179" t="s">
        <v>35</v>
      </c>
      <c r="B301" s="178" t="s">
        <v>137</v>
      </c>
      <c r="C301" s="576"/>
      <c r="D301" s="389">
        <v>45512</v>
      </c>
      <c r="E301" s="178" t="s">
        <v>118</v>
      </c>
      <c r="F301" s="178" t="s">
        <v>4254</v>
      </c>
      <c r="G301" s="178" t="s">
        <v>1343</v>
      </c>
      <c r="H301" s="178" t="s">
        <v>4255</v>
      </c>
      <c r="I301" s="178" t="s">
        <v>3721</v>
      </c>
      <c r="J301" s="178">
        <v>5</v>
      </c>
      <c r="K301" s="178" t="s">
        <v>1075</v>
      </c>
      <c r="L301" s="393" t="s">
        <v>4256</v>
      </c>
    </row>
    <row r="302" spans="1:12" ht="15.8" customHeight="1" x14ac:dyDescent="0.2">
      <c r="A302" s="179" t="s">
        <v>10</v>
      </c>
      <c r="B302" s="178" t="s">
        <v>29</v>
      </c>
      <c r="C302" s="576"/>
      <c r="D302" s="389">
        <v>45512</v>
      </c>
      <c r="E302" s="178" t="s">
        <v>176</v>
      </c>
      <c r="F302" s="178" t="s">
        <v>4257</v>
      </c>
      <c r="G302" s="178" t="s">
        <v>189</v>
      </c>
      <c r="H302" s="178" t="s">
        <v>4258</v>
      </c>
      <c r="I302" s="178" t="s">
        <v>3721</v>
      </c>
      <c r="J302" s="178">
        <v>4</v>
      </c>
      <c r="K302" s="178" t="s">
        <v>50</v>
      </c>
      <c r="L302" s="433" t="s">
        <v>4259</v>
      </c>
    </row>
    <row r="303" spans="1:12" ht="15.8" customHeight="1" x14ac:dyDescent="0.2">
      <c r="A303" s="179" t="s">
        <v>146</v>
      </c>
      <c r="B303" s="178" t="s">
        <v>11</v>
      </c>
      <c r="C303" s="576"/>
      <c r="D303" s="389">
        <v>45513</v>
      </c>
      <c r="E303" s="178" t="s">
        <v>91</v>
      </c>
      <c r="F303" s="178" t="s">
        <v>4260</v>
      </c>
      <c r="G303" s="178" t="s">
        <v>95</v>
      </c>
      <c r="H303" s="178" t="s">
        <v>4261</v>
      </c>
      <c r="I303" s="178" t="s">
        <v>167</v>
      </c>
      <c r="J303" s="178">
        <v>6</v>
      </c>
      <c r="K303" s="178" t="s">
        <v>56</v>
      </c>
      <c r="L303" s="393" t="s">
        <v>167</v>
      </c>
    </row>
    <row r="304" spans="1:12" ht="15.8" customHeight="1" x14ac:dyDescent="0.2">
      <c r="A304" s="179" t="s">
        <v>35</v>
      </c>
      <c r="B304" s="178" t="s">
        <v>137</v>
      </c>
      <c r="C304" s="576"/>
      <c r="D304" s="389">
        <v>45514</v>
      </c>
      <c r="E304" s="178" t="s">
        <v>126</v>
      </c>
      <c r="F304" s="178" t="s">
        <v>4262</v>
      </c>
      <c r="G304" s="178" t="s">
        <v>1178</v>
      </c>
      <c r="H304" s="178" t="s">
        <v>4263</v>
      </c>
      <c r="I304" s="178" t="s">
        <v>3721</v>
      </c>
      <c r="J304" s="178">
        <v>1</v>
      </c>
      <c r="K304" s="178" t="s">
        <v>50</v>
      </c>
      <c r="L304" s="393" t="s">
        <v>4245</v>
      </c>
    </row>
    <row r="305" spans="1:12" ht="15.8" customHeight="1" x14ac:dyDescent="0.2">
      <c r="A305" s="179" t="s">
        <v>51</v>
      </c>
      <c r="B305" s="178" t="s">
        <v>52</v>
      </c>
      <c r="C305" s="576"/>
      <c r="D305" s="389">
        <v>45514</v>
      </c>
      <c r="E305" s="178" t="s">
        <v>72</v>
      </c>
      <c r="F305" s="178" t="s">
        <v>4264</v>
      </c>
      <c r="G305" s="178"/>
      <c r="H305" s="178" t="s">
        <v>4265</v>
      </c>
      <c r="I305" s="178" t="s">
        <v>4266</v>
      </c>
      <c r="J305" s="178">
        <v>7</v>
      </c>
      <c r="K305" s="178" t="s">
        <v>16</v>
      </c>
      <c r="L305" s="393" t="s">
        <v>167</v>
      </c>
    </row>
    <row r="306" spans="1:12" ht="15.8" customHeight="1" x14ac:dyDescent="0.2">
      <c r="A306" s="179" t="s">
        <v>17</v>
      </c>
      <c r="B306" s="178" t="s">
        <v>24</v>
      </c>
      <c r="C306" s="576"/>
      <c r="D306" s="389">
        <v>45518</v>
      </c>
      <c r="E306" s="428">
        <v>6.25E-2</v>
      </c>
      <c r="F306" s="178" t="s">
        <v>4267</v>
      </c>
      <c r="G306" s="178"/>
      <c r="H306" s="178" t="s">
        <v>28</v>
      </c>
      <c r="I306" s="178" t="s">
        <v>167</v>
      </c>
      <c r="J306" s="178">
        <v>1</v>
      </c>
      <c r="K306" s="178" t="s">
        <v>10</v>
      </c>
      <c r="L306" s="393" t="s">
        <v>167</v>
      </c>
    </row>
    <row r="307" spans="1:12" ht="15.8" customHeight="1" x14ac:dyDescent="0.2">
      <c r="A307" s="179" t="s">
        <v>51</v>
      </c>
      <c r="B307" s="178" t="s">
        <v>52</v>
      </c>
      <c r="C307" s="576"/>
      <c r="D307" s="389">
        <v>45523</v>
      </c>
      <c r="E307" s="178" t="s">
        <v>37</v>
      </c>
      <c r="F307" s="178" t="s">
        <v>4268</v>
      </c>
      <c r="G307" s="178" t="s">
        <v>441</v>
      </c>
      <c r="H307" s="178" t="s">
        <v>4269</v>
      </c>
      <c r="I307" s="178" t="s">
        <v>4270</v>
      </c>
      <c r="J307" s="178">
        <v>3</v>
      </c>
      <c r="K307" s="178" t="s">
        <v>192</v>
      </c>
      <c r="L307" s="393" t="s">
        <v>3937</v>
      </c>
    </row>
    <row r="308" spans="1:12" ht="15.8" customHeight="1" x14ac:dyDescent="0.2">
      <c r="A308" s="179" t="s">
        <v>10</v>
      </c>
      <c r="B308" s="178" t="s">
        <v>29</v>
      </c>
      <c r="C308" s="576"/>
      <c r="D308" s="389">
        <v>45524</v>
      </c>
      <c r="E308" s="178" t="s">
        <v>4271</v>
      </c>
      <c r="F308" s="178" t="s">
        <v>4272</v>
      </c>
      <c r="G308" s="178" t="s">
        <v>1610</v>
      </c>
      <c r="H308" s="178" t="s">
        <v>4273</v>
      </c>
      <c r="I308" s="178" t="s">
        <v>4274</v>
      </c>
      <c r="J308" s="178">
        <v>3</v>
      </c>
      <c r="K308" s="178" t="s">
        <v>50</v>
      </c>
      <c r="L308" s="433" t="s">
        <v>4275</v>
      </c>
    </row>
    <row r="309" spans="1:12" ht="15.8" customHeight="1" x14ac:dyDescent="0.2">
      <c r="A309" s="179" t="s">
        <v>387</v>
      </c>
      <c r="B309" s="178" t="s">
        <v>52</v>
      </c>
      <c r="C309" s="576"/>
      <c r="D309" s="389">
        <v>45524</v>
      </c>
      <c r="E309" s="178" t="s">
        <v>1423</v>
      </c>
      <c r="F309" s="178" t="s">
        <v>1589</v>
      </c>
      <c r="G309" s="178" t="s">
        <v>345</v>
      </c>
      <c r="H309" s="178" t="s">
        <v>4276</v>
      </c>
      <c r="I309" s="178" t="s">
        <v>3721</v>
      </c>
      <c r="J309" s="178">
        <v>6</v>
      </c>
      <c r="K309" s="178" t="s">
        <v>1075</v>
      </c>
      <c r="L309" s="393" t="s">
        <v>1589</v>
      </c>
    </row>
    <row r="310" spans="1:12" ht="15.8" customHeight="1" x14ac:dyDescent="0.2">
      <c r="A310" s="179" t="s">
        <v>51</v>
      </c>
      <c r="B310" s="178" t="s">
        <v>244</v>
      </c>
      <c r="C310" s="576"/>
      <c r="D310" s="389">
        <v>45525</v>
      </c>
      <c r="E310" s="178" t="s">
        <v>180</v>
      </c>
      <c r="F310" s="178" t="s">
        <v>4277</v>
      </c>
      <c r="G310" s="178" t="s">
        <v>2336</v>
      </c>
      <c r="H310" s="178" t="s">
        <v>4278</v>
      </c>
      <c r="I310" s="178" t="s">
        <v>3721</v>
      </c>
      <c r="J310" s="178">
        <v>2</v>
      </c>
      <c r="K310" s="178" t="s">
        <v>192</v>
      </c>
      <c r="L310" s="393" t="s">
        <v>4277</v>
      </c>
    </row>
    <row r="311" spans="1:12" ht="15.8" customHeight="1" x14ac:dyDescent="0.2">
      <c r="A311" s="179" t="s">
        <v>17</v>
      </c>
      <c r="B311" s="178" t="s">
        <v>24</v>
      </c>
      <c r="C311" s="576"/>
      <c r="D311" s="389">
        <v>45526</v>
      </c>
      <c r="E311" s="178" t="s">
        <v>118</v>
      </c>
      <c r="F311" s="178" t="s">
        <v>4279</v>
      </c>
      <c r="G311" s="178" t="s">
        <v>85</v>
      </c>
      <c r="H311" s="178" t="s">
        <v>2501</v>
      </c>
      <c r="I311" s="178" t="s">
        <v>3721</v>
      </c>
      <c r="J311" s="178">
        <v>1</v>
      </c>
      <c r="K311" s="178" t="s">
        <v>10</v>
      </c>
      <c r="L311" s="393" t="s">
        <v>4280</v>
      </c>
    </row>
    <row r="312" spans="1:12" ht="15.8" customHeight="1" x14ac:dyDescent="0.2">
      <c r="A312" s="179" t="s">
        <v>35</v>
      </c>
      <c r="B312" s="178" t="s">
        <v>137</v>
      </c>
      <c r="C312" s="576"/>
      <c r="D312" s="389">
        <v>45527</v>
      </c>
      <c r="E312" s="178" t="s">
        <v>72</v>
      </c>
      <c r="F312" s="178" t="s">
        <v>2691</v>
      </c>
      <c r="G312" s="178" t="s">
        <v>95</v>
      </c>
      <c r="H312" s="178" t="s">
        <v>4281</v>
      </c>
      <c r="I312" s="178" t="s">
        <v>3937</v>
      </c>
      <c r="J312" s="178">
        <v>2</v>
      </c>
      <c r="K312" s="178" t="s">
        <v>16</v>
      </c>
      <c r="L312" s="393" t="s">
        <v>3937</v>
      </c>
    </row>
    <row r="313" spans="1:12" ht="15.8" customHeight="1" x14ac:dyDescent="0.2">
      <c r="A313" s="179" t="s">
        <v>146</v>
      </c>
      <c r="B313" s="178" t="s">
        <v>2163</v>
      </c>
      <c r="C313" s="576"/>
      <c r="D313" s="389">
        <v>45529</v>
      </c>
      <c r="E313" s="178" t="s">
        <v>57</v>
      </c>
      <c r="F313" s="178" t="s">
        <v>4282</v>
      </c>
      <c r="G313" s="178" t="s">
        <v>116</v>
      </c>
      <c r="H313" s="178" t="s">
        <v>4283</v>
      </c>
      <c r="I313" s="178" t="s">
        <v>4284</v>
      </c>
      <c r="J313" s="178">
        <v>3</v>
      </c>
      <c r="K313" s="178" t="s">
        <v>16</v>
      </c>
      <c r="L313" s="393" t="s">
        <v>4285</v>
      </c>
    </row>
    <row r="314" spans="1:12" ht="15.8" customHeight="1" x14ac:dyDescent="0.2">
      <c r="A314" s="179" t="s">
        <v>10</v>
      </c>
      <c r="B314" s="178" t="s">
        <v>152</v>
      </c>
      <c r="C314" s="576"/>
      <c r="D314" s="389">
        <v>45530</v>
      </c>
      <c r="E314" s="178" t="s">
        <v>72</v>
      </c>
      <c r="F314" s="178" t="s">
        <v>4286</v>
      </c>
      <c r="G314" s="178" t="s">
        <v>3975</v>
      </c>
      <c r="H314" s="178" t="s">
        <v>4287</v>
      </c>
      <c r="I314" s="178" t="s">
        <v>3937</v>
      </c>
      <c r="J314" s="178">
        <v>3</v>
      </c>
      <c r="K314" s="178" t="s">
        <v>192</v>
      </c>
      <c r="L314" s="393" t="s">
        <v>3937</v>
      </c>
    </row>
    <row r="315" spans="1:12" ht="15.8" customHeight="1" x14ac:dyDescent="0.2">
      <c r="A315" s="179" t="s">
        <v>35</v>
      </c>
      <c r="B315" s="178" t="s">
        <v>137</v>
      </c>
      <c r="C315" s="576"/>
      <c r="D315" s="389">
        <v>45531</v>
      </c>
      <c r="E315" s="178" t="s">
        <v>180</v>
      </c>
      <c r="F315" s="178" t="s">
        <v>4288</v>
      </c>
      <c r="G315" s="178" t="s">
        <v>21</v>
      </c>
      <c r="H315" s="178" t="s">
        <v>4289</v>
      </c>
      <c r="I315" s="178" t="s">
        <v>3721</v>
      </c>
      <c r="J315" s="178">
        <v>2</v>
      </c>
      <c r="K315" s="178" t="s">
        <v>2181</v>
      </c>
      <c r="L315" s="393" t="s">
        <v>4290</v>
      </c>
    </row>
    <row r="316" spans="1:12" ht="15.8" customHeight="1" x14ac:dyDescent="0.2">
      <c r="A316" s="179" t="s">
        <v>17</v>
      </c>
      <c r="B316" s="178" t="s">
        <v>24</v>
      </c>
      <c r="C316" s="576"/>
      <c r="D316" s="389">
        <v>45526</v>
      </c>
      <c r="E316" s="178" t="s">
        <v>164</v>
      </c>
      <c r="F316" s="178" t="s">
        <v>4291</v>
      </c>
      <c r="G316" s="178" t="s">
        <v>110</v>
      </c>
      <c r="H316" s="178" t="s">
        <v>4292</v>
      </c>
      <c r="I316" s="178" t="s">
        <v>3721</v>
      </c>
      <c r="J316" s="178">
        <v>1</v>
      </c>
      <c r="K316" s="178" t="s">
        <v>10</v>
      </c>
      <c r="L316" s="393" t="s">
        <v>4293</v>
      </c>
    </row>
    <row r="317" spans="1:12" ht="15.8" customHeight="1" x14ac:dyDescent="0.2">
      <c r="A317" s="179" t="s">
        <v>17</v>
      </c>
      <c r="B317" s="178" t="s">
        <v>24</v>
      </c>
      <c r="C317" s="576"/>
      <c r="D317" s="389">
        <v>45526</v>
      </c>
      <c r="E317" s="178" t="s">
        <v>4294</v>
      </c>
      <c r="F317" s="178" t="s">
        <v>4295</v>
      </c>
      <c r="G317" s="178" t="s">
        <v>85</v>
      </c>
      <c r="H317" s="178" t="s">
        <v>4296</v>
      </c>
      <c r="I317" s="178" t="s">
        <v>3721</v>
      </c>
      <c r="J317" s="178">
        <v>1</v>
      </c>
      <c r="K317" s="178" t="s">
        <v>10</v>
      </c>
      <c r="L317" s="393" t="s">
        <v>4297</v>
      </c>
    </row>
    <row r="318" spans="1:12" ht="15.8" customHeight="1" x14ac:dyDescent="0.2">
      <c r="A318" s="179" t="s">
        <v>35</v>
      </c>
      <c r="B318" s="178" t="s">
        <v>137</v>
      </c>
      <c r="C318" s="576"/>
      <c r="D318" s="389">
        <v>45528</v>
      </c>
      <c r="E318" s="178" t="s">
        <v>91</v>
      </c>
      <c r="F318" s="178" t="s">
        <v>4298</v>
      </c>
      <c r="G318" s="178" t="s">
        <v>76</v>
      </c>
      <c r="H318" s="178" t="s">
        <v>4299</v>
      </c>
      <c r="I318" s="178" t="s">
        <v>3937</v>
      </c>
      <c r="J318" s="178">
        <v>2</v>
      </c>
      <c r="K318" s="178" t="s">
        <v>167</v>
      </c>
      <c r="L318" s="393" t="s">
        <v>3937</v>
      </c>
    </row>
    <row r="319" spans="1:12" ht="15.8" customHeight="1" x14ac:dyDescent="0.2">
      <c r="A319" s="179" t="s">
        <v>10</v>
      </c>
      <c r="B319" s="178" t="s">
        <v>2162</v>
      </c>
      <c r="C319" s="576"/>
      <c r="D319" s="389">
        <v>45530</v>
      </c>
      <c r="E319" s="178" t="s">
        <v>164</v>
      </c>
      <c r="F319" s="178" t="s">
        <v>4300</v>
      </c>
      <c r="G319" s="178" t="s">
        <v>139</v>
      </c>
      <c r="H319" s="178" t="s">
        <v>4301</v>
      </c>
      <c r="I319" s="178" t="s">
        <v>3721</v>
      </c>
      <c r="J319" s="178">
        <v>5</v>
      </c>
      <c r="K319" s="178" t="s">
        <v>192</v>
      </c>
      <c r="L319" s="393" t="s">
        <v>4300</v>
      </c>
    </row>
    <row r="320" spans="1:12" ht="15.8" customHeight="1" x14ac:dyDescent="0.2">
      <c r="A320" s="179" t="s">
        <v>10</v>
      </c>
      <c r="B320" s="178" t="s">
        <v>29</v>
      </c>
      <c r="C320" s="576"/>
      <c r="D320" s="389">
        <v>45532</v>
      </c>
      <c r="E320" s="178" t="s">
        <v>400</v>
      </c>
      <c r="F320" s="178" t="s">
        <v>4302</v>
      </c>
      <c r="G320" s="178" t="s">
        <v>135</v>
      </c>
      <c r="H320" s="178" t="s">
        <v>4303</v>
      </c>
      <c r="I320" s="178" t="s">
        <v>3721</v>
      </c>
      <c r="J320" s="178">
        <v>5</v>
      </c>
      <c r="K320" s="178" t="s">
        <v>50</v>
      </c>
      <c r="L320" s="393" t="s">
        <v>4304</v>
      </c>
    </row>
    <row r="321" spans="1:12" ht="15.8" customHeight="1" x14ac:dyDescent="0.2">
      <c r="A321" s="179" t="s">
        <v>51</v>
      </c>
      <c r="B321" s="178" t="s">
        <v>52</v>
      </c>
      <c r="C321" s="576"/>
      <c r="D321" s="389">
        <v>45533</v>
      </c>
      <c r="E321" s="178" t="s">
        <v>37</v>
      </c>
      <c r="F321" s="178" t="s">
        <v>4305</v>
      </c>
      <c r="G321" s="178"/>
      <c r="H321" s="178" t="s">
        <v>4306</v>
      </c>
      <c r="I321" s="178" t="s">
        <v>4307</v>
      </c>
      <c r="J321" s="178">
        <v>4</v>
      </c>
      <c r="K321" s="178" t="s">
        <v>16</v>
      </c>
      <c r="L321" s="393" t="s">
        <v>3937</v>
      </c>
    </row>
    <row r="322" spans="1:12" ht="15.8" customHeight="1" x14ac:dyDescent="0.2">
      <c r="A322" s="179" t="s">
        <v>35</v>
      </c>
      <c r="B322" s="178" t="s">
        <v>137</v>
      </c>
      <c r="C322" s="576"/>
      <c r="D322" s="389">
        <v>45533</v>
      </c>
      <c r="E322" s="178" t="s">
        <v>4148</v>
      </c>
      <c r="F322" s="178" t="s">
        <v>4308</v>
      </c>
      <c r="G322" s="178" t="s">
        <v>1522</v>
      </c>
      <c r="H322" s="178" t="s">
        <v>4309</v>
      </c>
      <c r="I322" s="178" t="s">
        <v>3721</v>
      </c>
      <c r="J322" s="178">
        <v>3</v>
      </c>
      <c r="K322" s="178" t="s">
        <v>50</v>
      </c>
      <c r="L322" s="393" t="s">
        <v>4310</v>
      </c>
    </row>
    <row r="323" spans="1:12" ht="15.8" customHeight="1" x14ac:dyDescent="0.2">
      <c r="A323" s="179" t="s">
        <v>51</v>
      </c>
      <c r="B323" s="178" t="s">
        <v>244</v>
      </c>
      <c r="C323" s="576"/>
      <c r="D323" s="389">
        <v>45534</v>
      </c>
      <c r="E323" s="178" t="s">
        <v>1520</v>
      </c>
      <c r="F323" s="178" t="s">
        <v>4097</v>
      </c>
      <c r="G323" s="178"/>
      <c r="H323" s="178" t="s">
        <v>4311</v>
      </c>
      <c r="I323" s="178" t="s">
        <v>167</v>
      </c>
      <c r="J323" s="178">
        <v>3</v>
      </c>
      <c r="K323" s="178" t="s">
        <v>16</v>
      </c>
      <c r="L323" s="393" t="s">
        <v>167</v>
      </c>
    </row>
    <row r="324" spans="1:12" ht="15.8" customHeight="1" x14ac:dyDescent="0.2">
      <c r="A324" s="179" t="s">
        <v>17</v>
      </c>
      <c r="B324" s="178" t="s">
        <v>24</v>
      </c>
      <c r="C324" s="576"/>
      <c r="D324" s="389">
        <v>45534</v>
      </c>
      <c r="E324" s="178" t="s">
        <v>4312</v>
      </c>
      <c r="F324" s="178" t="s">
        <v>4313</v>
      </c>
      <c r="G324" s="178" t="s">
        <v>4314</v>
      </c>
      <c r="H324" s="178" t="s">
        <v>4315</v>
      </c>
      <c r="I324" s="178" t="s">
        <v>3721</v>
      </c>
      <c r="J324" s="178">
        <v>1</v>
      </c>
      <c r="K324" s="178" t="s">
        <v>10</v>
      </c>
      <c r="L324" s="393" t="s">
        <v>4313</v>
      </c>
    </row>
    <row r="325" spans="1:12" s="101" customFormat="1" ht="15.8" customHeight="1" x14ac:dyDescent="0.25">
      <c r="A325" s="394" t="s">
        <v>2148</v>
      </c>
      <c r="B325" s="361"/>
      <c r="C325" s="391"/>
      <c r="D325" s="432"/>
      <c r="E325" s="361"/>
      <c r="F325" s="361"/>
      <c r="G325" s="361"/>
      <c r="H325" s="361"/>
      <c r="I325" s="361"/>
      <c r="J325" s="361"/>
      <c r="K325" s="361"/>
      <c r="L325" s="395"/>
    </row>
    <row r="326" spans="1:12" ht="15.8" customHeight="1" x14ac:dyDescent="0.2">
      <c r="A326" s="179" t="s">
        <v>35</v>
      </c>
      <c r="B326" s="178" t="s">
        <v>2401</v>
      </c>
      <c r="C326" s="572">
        <f>COUNTIF(B326:B342,C2)</f>
        <v>4</v>
      </c>
      <c r="D326" s="431">
        <v>45545</v>
      </c>
      <c r="E326" s="178" t="s">
        <v>4316</v>
      </c>
      <c r="F326" s="178" t="s">
        <v>4317</v>
      </c>
      <c r="G326" s="178" t="s">
        <v>4318</v>
      </c>
      <c r="H326" s="178" t="s">
        <v>4319</v>
      </c>
      <c r="I326" s="178" t="s">
        <v>3721</v>
      </c>
      <c r="J326" s="354">
        <v>3</v>
      </c>
      <c r="K326" s="178" t="s">
        <v>16</v>
      </c>
      <c r="L326" s="393" t="s">
        <v>2573</v>
      </c>
    </row>
    <row r="327" spans="1:12" ht="15.8" customHeight="1" x14ac:dyDescent="0.2">
      <c r="A327" s="434" t="s">
        <v>17</v>
      </c>
      <c r="B327" s="435" t="s">
        <v>24</v>
      </c>
      <c r="C327" s="573"/>
      <c r="D327" s="436">
        <v>45546</v>
      </c>
      <c r="E327" s="435" t="s">
        <v>4320</v>
      </c>
      <c r="F327" s="435" t="s">
        <v>4321</v>
      </c>
      <c r="G327" s="435" t="s">
        <v>85</v>
      </c>
      <c r="H327" s="435" t="s">
        <v>4322</v>
      </c>
      <c r="I327" s="435" t="s">
        <v>3721</v>
      </c>
      <c r="J327" s="437">
        <v>1</v>
      </c>
      <c r="K327" s="435" t="s">
        <v>10</v>
      </c>
      <c r="L327" s="438" t="s">
        <v>4323</v>
      </c>
    </row>
    <row r="328" spans="1:12" ht="15.8" customHeight="1" x14ac:dyDescent="0.2">
      <c r="A328" s="178" t="s">
        <v>51</v>
      </c>
      <c r="B328" s="178" t="s">
        <v>52</v>
      </c>
      <c r="C328" s="573"/>
      <c r="D328" s="389">
        <v>45548</v>
      </c>
      <c r="E328" s="178" t="s">
        <v>57</v>
      </c>
      <c r="F328" s="178" t="s">
        <v>4367</v>
      </c>
      <c r="G328" s="178" t="s">
        <v>70</v>
      </c>
      <c r="H328" s="178" t="s">
        <v>4368</v>
      </c>
      <c r="I328" s="178" t="s">
        <v>3721</v>
      </c>
      <c r="J328" s="178">
        <v>4</v>
      </c>
      <c r="K328" s="178" t="s">
        <v>16</v>
      </c>
      <c r="L328" s="178" t="s">
        <v>725</v>
      </c>
    </row>
    <row r="329" spans="1:12" ht="15.8" customHeight="1" x14ac:dyDescent="0.2">
      <c r="A329" s="440" t="s">
        <v>10</v>
      </c>
      <c r="B329" s="440" t="s">
        <v>2162</v>
      </c>
      <c r="C329" s="573"/>
      <c r="D329" s="441">
        <v>45549</v>
      </c>
      <c r="E329" s="440" t="s">
        <v>72</v>
      </c>
      <c r="F329" s="440" t="s">
        <v>4324</v>
      </c>
      <c r="G329" s="440" t="s">
        <v>27</v>
      </c>
      <c r="H329" s="440" t="s">
        <v>4325</v>
      </c>
      <c r="I329" s="440" t="s">
        <v>3937</v>
      </c>
      <c r="J329" s="440">
        <v>2</v>
      </c>
      <c r="K329" s="440" t="s">
        <v>192</v>
      </c>
      <c r="L329" s="440" t="s">
        <v>3937</v>
      </c>
    </row>
    <row r="330" spans="1:12" ht="15.8" customHeight="1" x14ac:dyDescent="0.2">
      <c r="A330" s="178" t="s">
        <v>10</v>
      </c>
      <c r="B330" s="178" t="s">
        <v>188</v>
      </c>
      <c r="C330" s="573"/>
      <c r="D330" s="389">
        <v>45550</v>
      </c>
      <c r="E330" s="178" t="s">
        <v>164</v>
      </c>
      <c r="F330" s="178" t="s">
        <v>4326</v>
      </c>
      <c r="G330" s="178" t="s">
        <v>4327</v>
      </c>
      <c r="H330" s="178" t="s">
        <v>4328</v>
      </c>
      <c r="I330" s="178" t="s">
        <v>167</v>
      </c>
      <c r="J330" s="178">
        <v>2</v>
      </c>
      <c r="K330" s="178" t="s">
        <v>16</v>
      </c>
      <c r="L330" s="178" t="s">
        <v>167</v>
      </c>
    </row>
    <row r="331" spans="1:12" ht="15.8" customHeight="1" x14ac:dyDescent="0.2">
      <c r="A331" s="178" t="s">
        <v>51</v>
      </c>
      <c r="B331" s="178" t="s">
        <v>52</v>
      </c>
      <c r="C331" s="573"/>
      <c r="D331" s="389">
        <v>45551</v>
      </c>
      <c r="E331" s="178" t="s">
        <v>2339</v>
      </c>
      <c r="F331" s="178" t="s">
        <v>4329</v>
      </c>
      <c r="G331" s="178" t="s">
        <v>1959</v>
      </c>
      <c r="H331" s="178" t="s">
        <v>3976</v>
      </c>
      <c r="I331" s="178" t="s">
        <v>167</v>
      </c>
      <c r="J331" s="178">
        <v>5</v>
      </c>
      <c r="K331" s="178" t="s">
        <v>16</v>
      </c>
      <c r="L331" s="178" t="s">
        <v>167</v>
      </c>
    </row>
    <row r="332" spans="1:12" ht="15.8" customHeight="1" x14ac:dyDescent="0.2">
      <c r="A332" s="178" t="s">
        <v>17</v>
      </c>
      <c r="B332" s="178" t="s">
        <v>24</v>
      </c>
      <c r="C332" s="573"/>
      <c r="D332" s="389">
        <v>45552</v>
      </c>
      <c r="E332" s="178" t="s">
        <v>2339</v>
      </c>
      <c r="F332" s="178" t="s">
        <v>1026</v>
      </c>
      <c r="G332" s="178"/>
      <c r="H332" s="178" t="s">
        <v>28</v>
      </c>
      <c r="I332" s="178" t="s">
        <v>167</v>
      </c>
      <c r="J332" s="178">
        <v>1</v>
      </c>
      <c r="K332" s="178" t="s">
        <v>50</v>
      </c>
      <c r="L332" s="178" t="s">
        <v>167</v>
      </c>
    </row>
    <row r="333" spans="1:12" ht="15.8" customHeight="1" x14ac:dyDescent="0.2">
      <c r="A333" s="178" t="s">
        <v>51</v>
      </c>
      <c r="B333" s="178" t="s">
        <v>52</v>
      </c>
      <c r="C333" s="573"/>
      <c r="D333" s="389">
        <v>45553</v>
      </c>
      <c r="E333" s="178" t="s">
        <v>4330</v>
      </c>
      <c r="F333" s="178" t="s">
        <v>4331</v>
      </c>
      <c r="G333" s="178" t="s">
        <v>747</v>
      </c>
      <c r="H333" s="178" t="s">
        <v>4332</v>
      </c>
      <c r="I333" s="178" t="s">
        <v>4333</v>
      </c>
      <c r="J333" s="178">
        <v>31</v>
      </c>
      <c r="K333" s="178" t="s">
        <v>1157</v>
      </c>
      <c r="L333" s="178" t="s">
        <v>4334</v>
      </c>
    </row>
    <row r="334" spans="1:12" ht="15.8" customHeight="1" x14ac:dyDescent="0.2">
      <c r="A334" s="178" t="s">
        <v>17</v>
      </c>
      <c r="B334" s="178" t="s">
        <v>24</v>
      </c>
      <c r="C334" s="573"/>
      <c r="D334" s="389">
        <v>45554</v>
      </c>
      <c r="E334" s="178" t="s">
        <v>57</v>
      </c>
      <c r="F334" s="178" t="s">
        <v>4335</v>
      </c>
      <c r="G334" s="178" t="s">
        <v>95</v>
      </c>
      <c r="H334" s="178" t="s">
        <v>28</v>
      </c>
      <c r="I334" s="178" t="s">
        <v>167</v>
      </c>
      <c r="J334" s="178">
        <v>1</v>
      </c>
      <c r="K334" s="178" t="s">
        <v>10</v>
      </c>
      <c r="L334" s="178" t="s">
        <v>167</v>
      </c>
    </row>
    <row r="335" spans="1:12" ht="15.8" customHeight="1" x14ac:dyDescent="0.2">
      <c r="A335" s="178" t="s">
        <v>51</v>
      </c>
      <c r="B335" s="178" t="s">
        <v>244</v>
      </c>
      <c r="C335" s="573"/>
      <c r="D335" s="389">
        <v>45555</v>
      </c>
      <c r="E335" s="178" t="s">
        <v>72</v>
      </c>
      <c r="F335" s="178" t="s">
        <v>511</v>
      </c>
      <c r="G335" s="178" t="s">
        <v>222</v>
      </c>
      <c r="H335" s="178" t="s">
        <v>4336</v>
      </c>
      <c r="I335" s="178" t="s">
        <v>3937</v>
      </c>
      <c r="J335" s="178">
        <v>5</v>
      </c>
      <c r="K335" s="178" t="s">
        <v>56</v>
      </c>
      <c r="L335" s="178" t="s">
        <v>3937</v>
      </c>
    </row>
    <row r="336" spans="1:12" ht="15.8" customHeight="1" x14ac:dyDescent="0.2">
      <c r="A336" s="178" t="s">
        <v>10</v>
      </c>
      <c r="B336" s="178" t="s">
        <v>163</v>
      </c>
      <c r="C336" s="573"/>
      <c r="D336" s="389">
        <v>45558</v>
      </c>
      <c r="E336" s="428">
        <v>0.10416666666666667</v>
      </c>
      <c r="F336" s="178" t="s">
        <v>4337</v>
      </c>
      <c r="G336" s="178"/>
      <c r="H336" s="178" t="s">
        <v>4338</v>
      </c>
      <c r="I336" s="178" t="s">
        <v>167</v>
      </c>
      <c r="J336" s="178">
        <v>3</v>
      </c>
      <c r="K336" s="178" t="s">
        <v>34</v>
      </c>
      <c r="L336" s="178" t="s">
        <v>167</v>
      </c>
    </row>
    <row r="337" spans="1:12" ht="15.8" customHeight="1" x14ac:dyDescent="0.2">
      <c r="A337" s="178" t="s">
        <v>10</v>
      </c>
      <c r="B337" s="178" t="s">
        <v>188</v>
      </c>
      <c r="C337" s="573"/>
      <c r="D337" s="389">
        <v>45555</v>
      </c>
      <c r="E337" s="178" t="s">
        <v>4339</v>
      </c>
      <c r="F337" s="178" t="s">
        <v>654</v>
      </c>
      <c r="G337" s="178" t="s">
        <v>217</v>
      </c>
      <c r="H337" s="178" t="s">
        <v>4340</v>
      </c>
      <c r="I337" s="178" t="s">
        <v>4341</v>
      </c>
      <c r="J337" s="178">
        <v>2</v>
      </c>
      <c r="K337" s="178" t="s">
        <v>16</v>
      </c>
      <c r="L337" s="439" t="s">
        <v>4342</v>
      </c>
    </row>
    <row r="338" spans="1:12" ht="15.8" customHeight="1" x14ac:dyDescent="0.2">
      <c r="A338" s="178" t="s">
        <v>146</v>
      </c>
      <c r="B338" s="178" t="s">
        <v>2163</v>
      </c>
      <c r="C338" s="573"/>
      <c r="D338" s="389">
        <v>45543</v>
      </c>
      <c r="E338" s="178" t="s">
        <v>74</v>
      </c>
      <c r="F338" s="178" t="s">
        <v>274</v>
      </c>
      <c r="G338" s="178" t="s">
        <v>4343</v>
      </c>
      <c r="H338" s="178" t="s">
        <v>4344</v>
      </c>
      <c r="I338" s="178" t="s">
        <v>4252</v>
      </c>
      <c r="J338" s="178">
        <v>5</v>
      </c>
      <c r="K338" s="178" t="s">
        <v>34</v>
      </c>
      <c r="L338" s="178" t="s">
        <v>274</v>
      </c>
    </row>
    <row r="339" spans="1:12" ht="15.8" customHeight="1" x14ac:dyDescent="0.2">
      <c r="A339" s="178" t="s">
        <v>146</v>
      </c>
      <c r="B339" s="178" t="s">
        <v>11</v>
      </c>
      <c r="C339" s="573"/>
      <c r="D339" s="178" t="s">
        <v>4345</v>
      </c>
      <c r="E339" s="178" t="s">
        <v>153</v>
      </c>
      <c r="F339" s="178" t="s">
        <v>4346</v>
      </c>
      <c r="G339" s="178" t="s">
        <v>85</v>
      </c>
      <c r="H339" s="178" t="s">
        <v>4347</v>
      </c>
      <c r="I339" s="178" t="s">
        <v>3721</v>
      </c>
      <c r="J339" s="178">
        <v>4</v>
      </c>
      <c r="K339" s="178" t="s">
        <v>16</v>
      </c>
      <c r="L339" s="439" t="s">
        <v>4348</v>
      </c>
    </row>
    <row r="340" spans="1:12" ht="15.8" customHeight="1" x14ac:dyDescent="0.2">
      <c r="A340" s="178" t="s">
        <v>51</v>
      </c>
      <c r="B340" s="178" t="s">
        <v>481</v>
      </c>
      <c r="C340" s="573"/>
      <c r="D340" s="389">
        <v>45559</v>
      </c>
      <c r="E340" s="178" t="s">
        <v>57</v>
      </c>
      <c r="F340" s="178" t="s">
        <v>4349</v>
      </c>
      <c r="G340" s="178" t="s">
        <v>85</v>
      </c>
      <c r="H340" s="178" t="s">
        <v>4350</v>
      </c>
      <c r="I340" s="178" t="s">
        <v>3937</v>
      </c>
      <c r="J340" s="178">
        <v>3</v>
      </c>
      <c r="K340" s="178" t="s">
        <v>16</v>
      </c>
      <c r="L340" s="178" t="s">
        <v>3937</v>
      </c>
    </row>
    <row r="341" spans="1:12" ht="15.8" customHeight="1" x14ac:dyDescent="0.2">
      <c r="A341" s="178" t="s">
        <v>387</v>
      </c>
      <c r="B341" s="178" t="s">
        <v>397</v>
      </c>
      <c r="C341" s="573"/>
      <c r="D341" s="389">
        <v>45561</v>
      </c>
      <c r="E341" s="178" t="s">
        <v>4153</v>
      </c>
      <c r="F341" s="178" t="s">
        <v>4351</v>
      </c>
      <c r="G341" s="178"/>
      <c r="H341" s="178" t="s">
        <v>4352</v>
      </c>
      <c r="I341" s="178" t="s">
        <v>167</v>
      </c>
      <c r="J341" s="178">
        <v>4</v>
      </c>
      <c r="K341" s="178" t="s">
        <v>192</v>
      </c>
      <c r="L341" s="178" t="s">
        <v>167</v>
      </c>
    </row>
    <row r="342" spans="1:12" ht="15.8" customHeight="1" x14ac:dyDescent="0.2">
      <c r="A342" s="178" t="s">
        <v>51</v>
      </c>
      <c r="B342" s="178" t="s">
        <v>52</v>
      </c>
      <c r="C342" s="574"/>
      <c r="D342" s="389">
        <v>45562</v>
      </c>
      <c r="E342" s="178" t="s">
        <v>91</v>
      </c>
      <c r="F342" s="178" t="s">
        <v>2435</v>
      </c>
      <c r="G342" s="178"/>
      <c r="H342" s="178" t="s">
        <v>4353</v>
      </c>
      <c r="I342" s="178" t="s">
        <v>4354</v>
      </c>
      <c r="J342" s="178">
        <v>5</v>
      </c>
      <c r="K342" s="178" t="s">
        <v>2607</v>
      </c>
      <c r="L342" s="178" t="s">
        <v>167</v>
      </c>
    </row>
    <row r="343" spans="1:12" ht="15.8" customHeight="1" x14ac:dyDescent="0.25">
      <c r="A343" s="444" t="s">
        <v>2149</v>
      </c>
      <c r="B343" s="445"/>
      <c r="C343" s="443"/>
      <c r="D343" s="445"/>
      <c r="E343" s="445"/>
      <c r="F343" s="445"/>
      <c r="G343" s="445"/>
      <c r="H343" s="445"/>
      <c r="I343" s="445"/>
      <c r="J343" s="445"/>
      <c r="K343" s="445"/>
      <c r="L343" s="445"/>
    </row>
    <row r="344" spans="1:12" ht="15.8" customHeight="1" x14ac:dyDescent="0.2">
      <c r="A344" s="178" t="s">
        <v>10</v>
      </c>
      <c r="B344" s="178" t="s">
        <v>2162</v>
      </c>
      <c r="C344" s="572">
        <f>COUNTIF(B344:B370,C2)</f>
        <v>0</v>
      </c>
      <c r="D344" s="389">
        <v>45567</v>
      </c>
      <c r="E344" s="178" t="s">
        <v>108</v>
      </c>
      <c r="F344" s="178" t="s">
        <v>1290</v>
      </c>
      <c r="G344" s="178" t="s">
        <v>4355</v>
      </c>
      <c r="H344" s="178" t="s">
        <v>4356</v>
      </c>
      <c r="I344" s="178" t="s">
        <v>3721</v>
      </c>
      <c r="J344" s="178">
        <v>8</v>
      </c>
      <c r="K344" s="178" t="s">
        <v>1075</v>
      </c>
      <c r="L344" s="178" t="s">
        <v>4357</v>
      </c>
    </row>
    <row r="345" spans="1:12" ht="15.8" customHeight="1" x14ac:dyDescent="0.2">
      <c r="A345" s="178" t="s">
        <v>51</v>
      </c>
      <c r="B345" s="178" t="s">
        <v>244</v>
      </c>
      <c r="C345" s="573"/>
      <c r="D345" s="389">
        <v>45567</v>
      </c>
      <c r="E345" s="178" t="s">
        <v>57</v>
      </c>
      <c r="F345" s="178" t="s">
        <v>4358</v>
      </c>
      <c r="G345" s="178" t="s">
        <v>139</v>
      </c>
      <c r="H345" s="178" t="s">
        <v>4359</v>
      </c>
      <c r="I345" s="178" t="s">
        <v>3937</v>
      </c>
      <c r="J345" s="178">
        <v>5</v>
      </c>
      <c r="K345" s="178" t="s">
        <v>16</v>
      </c>
      <c r="L345" s="178" t="s">
        <v>3937</v>
      </c>
    </row>
    <row r="346" spans="1:12" ht="15.8" customHeight="1" x14ac:dyDescent="0.2">
      <c r="A346" s="178" t="s">
        <v>10</v>
      </c>
      <c r="B346" s="178" t="s">
        <v>2161</v>
      </c>
      <c r="C346" s="573"/>
      <c r="D346" s="389">
        <v>45567</v>
      </c>
      <c r="E346" s="178" t="s">
        <v>57</v>
      </c>
      <c r="F346" s="178" t="s">
        <v>274</v>
      </c>
      <c r="G346" s="178" t="s">
        <v>2037</v>
      </c>
      <c r="H346" s="178" t="s">
        <v>4360</v>
      </c>
      <c r="I346" s="178" t="s">
        <v>3937</v>
      </c>
      <c r="J346" s="178">
        <v>3</v>
      </c>
      <c r="K346" s="178" t="s">
        <v>16</v>
      </c>
      <c r="L346" s="178" t="s">
        <v>3937</v>
      </c>
    </row>
    <row r="347" spans="1:12" ht="15.8" customHeight="1" x14ac:dyDescent="0.2">
      <c r="A347" s="178" t="s">
        <v>10</v>
      </c>
      <c r="B347" s="178" t="s">
        <v>324</v>
      </c>
      <c r="C347" s="573"/>
      <c r="D347" s="389">
        <v>45567</v>
      </c>
      <c r="E347" s="178" t="s">
        <v>57</v>
      </c>
      <c r="F347" s="178" t="s">
        <v>4361</v>
      </c>
      <c r="G347" s="178" t="s">
        <v>95</v>
      </c>
      <c r="H347" s="178" t="s">
        <v>4362</v>
      </c>
      <c r="I347" s="178" t="s">
        <v>3937</v>
      </c>
      <c r="J347" s="178">
        <v>6</v>
      </c>
      <c r="K347" s="178" t="s">
        <v>2277</v>
      </c>
      <c r="L347" s="178" t="s">
        <v>3937</v>
      </c>
    </row>
    <row r="348" spans="1:12" ht="15.8" customHeight="1" x14ac:dyDescent="0.2">
      <c r="A348" s="178" t="s">
        <v>10</v>
      </c>
      <c r="B348" s="178" t="s">
        <v>2161</v>
      </c>
      <c r="C348" s="573"/>
      <c r="D348" s="389">
        <v>45569</v>
      </c>
      <c r="E348" s="178" t="s">
        <v>57</v>
      </c>
      <c r="F348" s="178" t="s">
        <v>987</v>
      </c>
      <c r="G348" s="178" t="s">
        <v>345</v>
      </c>
      <c r="H348" s="178" t="s">
        <v>4363</v>
      </c>
      <c r="I348" s="178" t="s">
        <v>3721</v>
      </c>
      <c r="J348" s="178">
        <v>4</v>
      </c>
      <c r="K348" s="178" t="s">
        <v>34</v>
      </c>
      <c r="L348" s="178" t="s">
        <v>4364</v>
      </c>
    </row>
    <row r="349" spans="1:12" ht="15.8" customHeight="1" x14ac:dyDescent="0.2">
      <c r="A349" s="178" t="s">
        <v>10</v>
      </c>
      <c r="B349" s="178" t="s">
        <v>188</v>
      </c>
      <c r="C349" s="573"/>
      <c r="D349" s="389">
        <v>45570</v>
      </c>
      <c r="E349" s="178" t="s">
        <v>1350</v>
      </c>
      <c r="F349" s="178" t="s">
        <v>2451</v>
      </c>
      <c r="G349" s="178" t="s">
        <v>217</v>
      </c>
      <c r="H349" s="178" t="s">
        <v>4369</v>
      </c>
      <c r="I349" s="178" t="s">
        <v>3721</v>
      </c>
      <c r="J349" s="178">
        <v>2</v>
      </c>
      <c r="K349" s="178" t="s">
        <v>192</v>
      </c>
      <c r="L349" s="178" t="s">
        <v>4370</v>
      </c>
    </row>
    <row r="350" spans="1:12" ht="15.8" customHeight="1" x14ac:dyDescent="0.2">
      <c r="A350" s="178" t="s">
        <v>10</v>
      </c>
      <c r="B350" s="178" t="s">
        <v>152</v>
      </c>
      <c r="C350" s="573"/>
      <c r="D350" s="389">
        <v>45572</v>
      </c>
      <c r="E350" s="178" t="s">
        <v>1520</v>
      </c>
      <c r="F350" s="178" t="s">
        <v>4365</v>
      </c>
      <c r="G350" s="178" t="s">
        <v>85</v>
      </c>
      <c r="H350" s="178" t="s">
        <v>4366</v>
      </c>
      <c r="I350" s="178" t="s">
        <v>3937</v>
      </c>
      <c r="J350" s="178">
        <v>2</v>
      </c>
      <c r="K350" s="178" t="s">
        <v>23</v>
      </c>
      <c r="L350" s="178" t="s">
        <v>3937</v>
      </c>
    </row>
    <row r="351" spans="1:12" ht="15.8" customHeight="1" x14ac:dyDescent="0.2">
      <c r="A351" s="178" t="s">
        <v>10</v>
      </c>
      <c r="B351" s="178" t="s">
        <v>29</v>
      </c>
      <c r="C351" s="573"/>
      <c r="D351" s="389">
        <v>45573</v>
      </c>
      <c r="E351" s="178" t="s">
        <v>4371</v>
      </c>
      <c r="F351" s="178" t="s">
        <v>4372</v>
      </c>
      <c r="G351" s="178" t="s">
        <v>85</v>
      </c>
      <c r="H351" s="178" t="s">
        <v>4373</v>
      </c>
      <c r="I351" s="178" t="s">
        <v>3721</v>
      </c>
      <c r="J351" s="178">
        <v>3</v>
      </c>
      <c r="K351" s="178" t="s">
        <v>16</v>
      </c>
      <c r="L351" s="178" t="s">
        <v>4374</v>
      </c>
    </row>
    <row r="352" spans="1:12" ht="15.8" customHeight="1" x14ac:dyDescent="0.2">
      <c r="A352" s="178" t="s">
        <v>35</v>
      </c>
      <c r="B352" s="178" t="s">
        <v>137</v>
      </c>
      <c r="C352" s="573"/>
      <c r="D352" s="389">
        <v>45574</v>
      </c>
      <c r="E352" s="178" t="s">
        <v>4375</v>
      </c>
      <c r="F352" s="178" t="s">
        <v>4376</v>
      </c>
      <c r="G352" s="178" t="s">
        <v>95</v>
      </c>
      <c r="H352" s="178" t="s">
        <v>4377</v>
      </c>
      <c r="I352" s="178" t="s">
        <v>3721</v>
      </c>
      <c r="J352" s="178">
        <v>2</v>
      </c>
      <c r="K352" s="178" t="s">
        <v>34</v>
      </c>
      <c r="L352" s="178" t="s">
        <v>4378</v>
      </c>
    </row>
    <row r="353" spans="1:12" ht="15.8" customHeight="1" x14ac:dyDescent="0.2">
      <c r="A353" s="178" t="s">
        <v>35</v>
      </c>
      <c r="B353" s="178" t="s">
        <v>137</v>
      </c>
      <c r="C353" s="573"/>
      <c r="D353" s="389">
        <v>45575</v>
      </c>
      <c r="E353" s="178" t="s">
        <v>4379</v>
      </c>
      <c r="F353" s="178" t="s">
        <v>4380</v>
      </c>
      <c r="G353" s="178" t="s">
        <v>95</v>
      </c>
      <c r="H353" s="178" t="s">
        <v>4381</v>
      </c>
      <c r="I353" s="178" t="s">
        <v>3721</v>
      </c>
      <c r="J353" s="178">
        <v>3</v>
      </c>
      <c r="K353" s="178" t="s">
        <v>192</v>
      </c>
      <c r="L353" s="178" t="s">
        <v>4382</v>
      </c>
    </row>
    <row r="354" spans="1:12" ht="15.8" customHeight="1" x14ac:dyDescent="0.2">
      <c r="A354" s="178" t="s">
        <v>10</v>
      </c>
      <c r="B354" s="178" t="s">
        <v>29</v>
      </c>
      <c r="C354" s="573"/>
      <c r="D354" s="389">
        <v>45578</v>
      </c>
      <c r="E354" s="178" t="s">
        <v>2339</v>
      </c>
      <c r="F354" s="178" t="s">
        <v>4383</v>
      </c>
      <c r="G354" s="178" t="s">
        <v>76</v>
      </c>
      <c r="H354" s="178" t="s">
        <v>4384</v>
      </c>
      <c r="I354" s="178" t="s">
        <v>167</v>
      </c>
      <c r="J354" s="178">
        <v>2</v>
      </c>
      <c r="K354" s="178" t="s">
        <v>192</v>
      </c>
      <c r="L354" s="178" t="s">
        <v>167</v>
      </c>
    </row>
    <row r="355" spans="1:12" ht="15.8" customHeight="1" x14ac:dyDescent="0.2">
      <c r="A355" s="178" t="s">
        <v>10</v>
      </c>
      <c r="B355" s="178" t="s">
        <v>2162</v>
      </c>
      <c r="C355" s="573"/>
      <c r="D355" s="389">
        <v>45582</v>
      </c>
      <c r="E355" s="178" t="s">
        <v>72</v>
      </c>
      <c r="F355" s="178" t="s">
        <v>4385</v>
      </c>
      <c r="G355" s="178" t="s">
        <v>95</v>
      </c>
      <c r="H355" s="178" t="s">
        <v>4386</v>
      </c>
      <c r="I355" s="178" t="s">
        <v>3721</v>
      </c>
      <c r="J355" s="178">
        <v>2</v>
      </c>
      <c r="K355" s="178" t="s">
        <v>192</v>
      </c>
      <c r="L355" s="178" t="s">
        <v>4335</v>
      </c>
    </row>
    <row r="356" spans="1:12" ht="15.8" customHeight="1" x14ac:dyDescent="0.2">
      <c r="A356" s="178" t="s">
        <v>10</v>
      </c>
      <c r="B356" s="178" t="s">
        <v>29</v>
      </c>
      <c r="C356" s="573"/>
      <c r="D356" s="389">
        <v>45583</v>
      </c>
      <c r="E356" s="178" t="s">
        <v>4387</v>
      </c>
      <c r="F356" s="178" t="s">
        <v>4388</v>
      </c>
      <c r="G356" s="178" t="s">
        <v>355</v>
      </c>
      <c r="H356" s="178" t="s">
        <v>4389</v>
      </c>
      <c r="I356" s="178" t="s">
        <v>3721</v>
      </c>
      <c r="J356" s="178">
        <v>3</v>
      </c>
      <c r="K356" s="178" t="s">
        <v>1075</v>
      </c>
      <c r="L356" s="178" t="s">
        <v>4390</v>
      </c>
    </row>
    <row r="357" spans="1:12" ht="15.8" customHeight="1" x14ac:dyDescent="0.2">
      <c r="A357" s="178" t="s">
        <v>10</v>
      </c>
      <c r="B357" s="178" t="s">
        <v>163</v>
      </c>
      <c r="C357" s="573"/>
      <c r="D357" s="389">
        <v>45584</v>
      </c>
      <c r="E357" s="178" t="s">
        <v>215</v>
      </c>
      <c r="F357" s="178" t="s">
        <v>95</v>
      </c>
      <c r="G357" s="178" t="s">
        <v>585</v>
      </c>
      <c r="H357" s="178" t="s">
        <v>4391</v>
      </c>
      <c r="I357" s="178" t="s">
        <v>3937</v>
      </c>
      <c r="J357" s="178">
        <v>3</v>
      </c>
      <c r="K357" s="178" t="s">
        <v>34</v>
      </c>
      <c r="L357" s="178" t="s">
        <v>3937</v>
      </c>
    </row>
    <row r="358" spans="1:12" ht="15.8" customHeight="1" x14ac:dyDescent="0.2">
      <c r="A358" s="178" t="s">
        <v>17</v>
      </c>
      <c r="B358" s="178" t="s">
        <v>24</v>
      </c>
      <c r="C358" s="573"/>
      <c r="D358" s="389">
        <v>45586</v>
      </c>
      <c r="E358" s="178" t="s">
        <v>1700</v>
      </c>
      <c r="F358" s="178" t="s">
        <v>144</v>
      </c>
      <c r="G358" s="178" t="s">
        <v>85</v>
      </c>
      <c r="H358" s="178" t="s">
        <v>4392</v>
      </c>
      <c r="I358" s="178" t="s">
        <v>3721</v>
      </c>
      <c r="J358" s="178">
        <v>1</v>
      </c>
      <c r="K358" s="178" t="s">
        <v>23</v>
      </c>
      <c r="L358" s="178" t="s">
        <v>144</v>
      </c>
    </row>
    <row r="359" spans="1:12" ht="15.8" customHeight="1" x14ac:dyDescent="0.2">
      <c r="A359" s="178" t="s">
        <v>35</v>
      </c>
      <c r="B359" s="178" t="s">
        <v>2164</v>
      </c>
      <c r="C359" s="573"/>
      <c r="D359" s="389">
        <v>45588</v>
      </c>
      <c r="E359" s="178" t="s">
        <v>74</v>
      </c>
      <c r="F359" s="178" t="s">
        <v>4393</v>
      </c>
      <c r="G359" s="178" t="s">
        <v>307</v>
      </c>
      <c r="H359" s="178" t="s">
        <v>4394</v>
      </c>
      <c r="I359" s="178" t="s">
        <v>3721</v>
      </c>
      <c r="J359" s="178">
        <v>6</v>
      </c>
      <c r="K359" s="178" t="s">
        <v>34</v>
      </c>
      <c r="L359" s="178" t="s">
        <v>4395</v>
      </c>
    </row>
    <row r="360" spans="1:12" ht="15.8" customHeight="1" x14ac:dyDescent="0.2">
      <c r="A360" s="178" t="s">
        <v>10</v>
      </c>
      <c r="B360" s="178" t="s">
        <v>2162</v>
      </c>
      <c r="C360" s="573"/>
      <c r="D360" s="389">
        <v>45589</v>
      </c>
      <c r="E360" s="178" t="s">
        <v>1404</v>
      </c>
      <c r="F360" s="178" t="s">
        <v>822</v>
      </c>
      <c r="G360" s="178" t="s">
        <v>4396</v>
      </c>
      <c r="H360" s="178" t="s">
        <v>4397</v>
      </c>
      <c r="I360" s="178" t="s">
        <v>3721</v>
      </c>
      <c r="J360" s="178">
        <v>4</v>
      </c>
      <c r="K360" s="178" t="s">
        <v>34</v>
      </c>
      <c r="L360" s="178" t="s">
        <v>4396</v>
      </c>
    </row>
    <row r="361" spans="1:12" ht="15.8" customHeight="1" x14ac:dyDescent="0.2">
      <c r="A361" s="178" t="s">
        <v>35</v>
      </c>
      <c r="B361" s="178" t="s">
        <v>29</v>
      </c>
      <c r="C361" s="573"/>
      <c r="D361" s="389">
        <v>45589</v>
      </c>
      <c r="E361" s="178" t="s">
        <v>2183</v>
      </c>
      <c r="F361" s="178" t="s">
        <v>4398</v>
      </c>
      <c r="G361" s="178" t="s">
        <v>106</v>
      </c>
      <c r="H361" s="178" t="s">
        <v>4399</v>
      </c>
      <c r="I361" s="178" t="s">
        <v>3937</v>
      </c>
      <c r="J361" s="178">
        <v>3</v>
      </c>
      <c r="K361" s="178" t="s">
        <v>78</v>
      </c>
      <c r="L361" s="178" t="s">
        <v>3937</v>
      </c>
    </row>
    <row r="362" spans="1:12" ht="15.8" customHeight="1" x14ac:dyDescent="0.2">
      <c r="A362" s="178" t="s">
        <v>35</v>
      </c>
      <c r="B362" s="178" t="s">
        <v>137</v>
      </c>
      <c r="C362" s="573"/>
      <c r="D362" s="389">
        <v>45590</v>
      </c>
      <c r="E362" s="178" t="s">
        <v>57</v>
      </c>
      <c r="F362" s="178" t="s">
        <v>2691</v>
      </c>
      <c r="G362" s="178" t="s">
        <v>95</v>
      </c>
      <c r="H362" s="178" t="s">
        <v>4400</v>
      </c>
      <c r="I362" s="178" t="s">
        <v>3937</v>
      </c>
      <c r="J362" s="178">
        <v>4</v>
      </c>
      <c r="K362" s="178" t="s">
        <v>50</v>
      </c>
      <c r="L362" s="178" t="s">
        <v>3937</v>
      </c>
    </row>
    <row r="363" spans="1:12" ht="15.8" customHeight="1" x14ac:dyDescent="0.2">
      <c r="A363" s="178" t="s">
        <v>35</v>
      </c>
      <c r="B363" s="178" t="s">
        <v>137</v>
      </c>
      <c r="C363" s="573"/>
      <c r="D363" s="389">
        <v>45591</v>
      </c>
      <c r="E363" s="178" t="s">
        <v>57</v>
      </c>
      <c r="F363" s="178" t="s">
        <v>4401</v>
      </c>
      <c r="G363" s="178" t="s">
        <v>76</v>
      </c>
      <c r="H363" s="178" t="s">
        <v>4402</v>
      </c>
      <c r="I363" s="178" t="s">
        <v>3937</v>
      </c>
      <c r="J363" s="178">
        <v>3</v>
      </c>
      <c r="K363" s="178" t="s">
        <v>34</v>
      </c>
      <c r="L363" s="178" t="s">
        <v>3937</v>
      </c>
    </row>
    <row r="364" spans="1:12" ht="15.8" customHeight="1" x14ac:dyDescent="0.2">
      <c r="A364" s="178" t="s">
        <v>17</v>
      </c>
      <c r="B364" s="178" t="s">
        <v>24</v>
      </c>
      <c r="C364" s="573"/>
      <c r="D364" s="389">
        <v>45593</v>
      </c>
      <c r="E364" s="178" t="s">
        <v>1350</v>
      </c>
      <c r="F364" s="178" t="s">
        <v>4403</v>
      </c>
      <c r="G364" s="178" t="s">
        <v>144</v>
      </c>
      <c r="H364" s="178" t="s">
        <v>4404</v>
      </c>
      <c r="I364" s="178" t="s">
        <v>3721</v>
      </c>
      <c r="J364" s="178">
        <v>1</v>
      </c>
      <c r="K364" s="178" t="s">
        <v>23</v>
      </c>
      <c r="L364" s="178" t="s">
        <v>4405</v>
      </c>
    </row>
    <row r="365" spans="1:12" ht="15.8" customHeight="1" x14ac:dyDescent="0.2">
      <c r="A365" s="178" t="s">
        <v>17</v>
      </c>
      <c r="B365" s="178" t="s">
        <v>24</v>
      </c>
      <c r="C365" s="573"/>
      <c r="D365" s="389">
        <v>45594</v>
      </c>
      <c r="E365" s="178" t="s">
        <v>4406</v>
      </c>
      <c r="F365" s="178" t="s">
        <v>4407</v>
      </c>
      <c r="G365" s="178" t="s">
        <v>144</v>
      </c>
      <c r="H365" s="178" t="s">
        <v>4408</v>
      </c>
      <c r="I365" s="178" t="s">
        <v>3721</v>
      </c>
      <c r="J365" s="178">
        <v>1</v>
      </c>
      <c r="K365" s="178" t="s">
        <v>23</v>
      </c>
      <c r="L365" s="178" t="s">
        <v>4409</v>
      </c>
    </row>
    <row r="366" spans="1:12" ht="15.8" customHeight="1" x14ac:dyDescent="0.2">
      <c r="A366" s="178" t="s">
        <v>17</v>
      </c>
      <c r="B366" s="178" t="s">
        <v>24</v>
      </c>
      <c r="C366" s="573"/>
      <c r="D366" s="178" t="s">
        <v>4410</v>
      </c>
      <c r="E366" s="178" t="s">
        <v>291</v>
      </c>
      <c r="F366" s="178" t="s">
        <v>4411</v>
      </c>
      <c r="G366" s="178" t="s">
        <v>144</v>
      </c>
      <c r="H366" s="178" t="s">
        <v>4412</v>
      </c>
      <c r="I366" s="178" t="s">
        <v>3721</v>
      </c>
      <c r="J366" s="178">
        <v>1</v>
      </c>
      <c r="K366" s="178" t="s">
        <v>23</v>
      </c>
      <c r="L366" s="178" t="s">
        <v>4413</v>
      </c>
    </row>
    <row r="367" spans="1:12" ht="15.8" customHeight="1" x14ac:dyDescent="0.2">
      <c r="A367" s="178" t="s">
        <v>17</v>
      </c>
      <c r="B367" s="178" t="s">
        <v>24</v>
      </c>
      <c r="C367" s="573"/>
      <c r="D367" s="389">
        <v>45594</v>
      </c>
      <c r="E367" s="178" t="s">
        <v>57</v>
      </c>
      <c r="F367" s="178" t="s">
        <v>4414</v>
      </c>
      <c r="G367" s="178" t="s">
        <v>85</v>
      </c>
      <c r="H367" s="178" t="s">
        <v>4415</v>
      </c>
      <c r="I367" s="178" t="s">
        <v>3721</v>
      </c>
      <c r="J367" s="178">
        <v>1</v>
      </c>
      <c r="K367" s="178" t="s">
        <v>23</v>
      </c>
      <c r="L367" s="178" t="s">
        <v>144</v>
      </c>
    </row>
    <row r="368" spans="1:12" ht="15.8" customHeight="1" x14ac:dyDescent="0.2">
      <c r="A368" s="178" t="s">
        <v>17</v>
      </c>
      <c r="B368" s="178" t="s">
        <v>24</v>
      </c>
      <c r="C368" s="573"/>
      <c r="D368" s="389">
        <v>45594</v>
      </c>
      <c r="E368" s="178" t="s">
        <v>57</v>
      </c>
      <c r="F368" s="178" t="s">
        <v>4416</v>
      </c>
      <c r="G368" s="178" t="s">
        <v>110</v>
      </c>
      <c r="H368" s="178" t="s">
        <v>4417</v>
      </c>
      <c r="I368" s="178" t="s">
        <v>3721</v>
      </c>
      <c r="J368" s="178">
        <v>1</v>
      </c>
      <c r="K368" s="178" t="s">
        <v>23</v>
      </c>
      <c r="L368" s="178" t="s">
        <v>4418</v>
      </c>
    </row>
    <row r="369" spans="1:12" ht="15.8" customHeight="1" x14ac:dyDescent="0.2">
      <c r="A369" s="178" t="s">
        <v>35</v>
      </c>
      <c r="B369" s="178" t="s">
        <v>2164</v>
      </c>
      <c r="C369" s="573"/>
      <c r="D369" s="389">
        <v>45595</v>
      </c>
      <c r="E369" s="178" t="s">
        <v>4419</v>
      </c>
      <c r="F369" s="178" t="s">
        <v>4420</v>
      </c>
      <c r="G369" s="178" t="s">
        <v>747</v>
      </c>
      <c r="H369" s="178" t="s">
        <v>4421</v>
      </c>
      <c r="I369" s="178" t="s">
        <v>3721</v>
      </c>
      <c r="J369" s="178">
        <v>5</v>
      </c>
      <c r="K369" s="178" t="s">
        <v>455</v>
      </c>
      <c r="L369" s="178" t="s">
        <v>4422</v>
      </c>
    </row>
    <row r="370" spans="1:12" ht="15.8" customHeight="1" x14ac:dyDescent="0.2">
      <c r="A370" s="178" t="s">
        <v>10</v>
      </c>
      <c r="B370" s="178" t="s">
        <v>2162</v>
      </c>
      <c r="C370" s="574"/>
      <c r="D370" s="389">
        <v>45596</v>
      </c>
      <c r="E370" s="178" t="s">
        <v>4423</v>
      </c>
      <c r="F370" s="178" t="s">
        <v>636</v>
      </c>
      <c r="G370" s="178" t="s">
        <v>76</v>
      </c>
      <c r="H370" s="178" t="s">
        <v>4424</v>
      </c>
      <c r="I370" s="178" t="s">
        <v>3721</v>
      </c>
      <c r="J370" s="178">
        <v>6</v>
      </c>
      <c r="K370" s="178" t="s">
        <v>34</v>
      </c>
      <c r="L370" s="178" t="s">
        <v>4425</v>
      </c>
    </row>
    <row r="371" spans="1:12" ht="15.8" customHeight="1" x14ac:dyDescent="0.25">
      <c r="A371" s="415" t="s">
        <v>2150</v>
      </c>
      <c r="B371" s="361"/>
      <c r="C371" s="391"/>
      <c r="D371" s="361"/>
      <c r="E371" s="361"/>
      <c r="F371" s="361"/>
      <c r="G371" s="361"/>
      <c r="H371" s="361"/>
      <c r="I371" s="361"/>
      <c r="J371" s="361"/>
      <c r="K371" s="361"/>
      <c r="L371" s="361"/>
    </row>
    <row r="372" spans="1:12" ht="15.8" customHeight="1" x14ac:dyDescent="0.2">
      <c r="A372" s="178" t="s">
        <v>10</v>
      </c>
      <c r="B372" s="178" t="s">
        <v>188</v>
      </c>
      <c r="C372" s="572">
        <f>COUNTIF(B372:B390,C2)</f>
        <v>1</v>
      </c>
      <c r="D372" s="389">
        <v>45597</v>
      </c>
      <c r="E372" s="178" t="s">
        <v>291</v>
      </c>
      <c r="F372" s="178" t="s">
        <v>4426</v>
      </c>
      <c r="G372" s="178" t="s">
        <v>987</v>
      </c>
      <c r="H372" s="178" t="s">
        <v>4427</v>
      </c>
      <c r="I372" s="178" t="s">
        <v>3721</v>
      </c>
      <c r="J372" s="178">
        <v>2</v>
      </c>
      <c r="K372" s="178" t="s">
        <v>192</v>
      </c>
      <c r="L372" s="178" t="s">
        <v>4428</v>
      </c>
    </row>
    <row r="373" spans="1:12" ht="15.8" customHeight="1" x14ac:dyDescent="0.2">
      <c r="A373" s="178" t="s">
        <v>17</v>
      </c>
      <c r="B373" s="178" t="s">
        <v>24</v>
      </c>
      <c r="C373" s="573"/>
      <c r="D373" s="389">
        <v>45597</v>
      </c>
      <c r="E373" s="178" t="s">
        <v>2339</v>
      </c>
      <c r="F373" s="178" t="s">
        <v>4429</v>
      </c>
      <c r="G373" s="178" t="s">
        <v>95</v>
      </c>
      <c r="H373" s="178" t="s">
        <v>4430</v>
      </c>
      <c r="I373" s="178" t="s">
        <v>3721</v>
      </c>
      <c r="J373" s="178">
        <v>1</v>
      </c>
      <c r="K373" s="178" t="s">
        <v>23</v>
      </c>
      <c r="L373" s="178" t="s">
        <v>4431</v>
      </c>
    </row>
    <row r="374" spans="1:12" ht="15.8" customHeight="1" x14ac:dyDescent="0.2">
      <c r="A374" s="178" t="s">
        <v>17</v>
      </c>
      <c r="B374" s="178" t="s">
        <v>24</v>
      </c>
      <c r="C374" s="573"/>
      <c r="D374" s="389">
        <v>45597</v>
      </c>
      <c r="E374" s="178" t="s">
        <v>291</v>
      </c>
      <c r="F374" s="178" t="s">
        <v>4432</v>
      </c>
      <c r="G374" s="178" t="s">
        <v>85</v>
      </c>
      <c r="H374" s="178" t="s">
        <v>4433</v>
      </c>
      <c r="I374" s="178" t="s">
        <v>3721</v>
      </c>
      <c r="J374" s="178">
        <v>1</v>
      </c>
      <c r="K374" s="178" t="s">
        <v>23</v>
      </c>
      <c r="L374" s="178" t="s">
        <v>4432</v>
      </c>
    </row>
    <row r="375" spans="1:12" ht="15.8" customHeight="1" x14ac:dyDescent="0.2">
      <c r="A375" s="178" t="s">
        <v>51</v>
      </c>
      <c r="B375" s="178" t="s">
        <v>481</v>
      </c>
      <c r="C375" s="573"/>
      <c r="D375" s="389">
        <v>45601</v>
      </c>
      <c r="E375" s="178" t="s">
        <v>4434</v>
      </c>
      <c r="F375" s="178" t="s">
        <v>4435</v>
      </c>
      <c r="G375" s="178" t="s">
        <v>4436</v>
      </c>
      <c r="H375" s="178" t="s">
        <v>4437</v>
      </c>
      <c r="I375" s="178" t="s">
        <v>4438</v>
      </c>
      <c r="J375" s="178">
        <v>2</v>
      </c>
      <c r="K375" s="178" t="s">
        <v>16</v>
      </c>
      <c r="L375" s="178" t="s">
        <v>4438</v>
      </c>
    </row>
    <row r="376" spans="1:12" ht="15.8" customHeight="1" x14ac:dyDescent="0.2">
      <c r="A376" s="178" t="s">
        <v>17</v>
      </c>
      <c r="B376" s="178" t="s">
        <v>24</v>
      </c>
      <c r="C376" s="573"/>
      <c r="D376" s="389">
        <v>45601</v>
      </c>
      <c r="E376" s="178" t="s">
        <v>4439</v>
      </c>
      <c r="F376" s="178" t="s">
        <v>4440</v>
      </c>
      <c r="G376" s="178" t="s">
        <v>85</v>
      </c>
      <c r="H376" s="178" t="s">
        <v>4441</v>
      </c>
      <c r="I376" s="178" t="s">
        <v>3721</v>
      </c>
      <c r="J376" s="178">
        <v>1</v>
      </c>
      <c r="K376" s="178" t="s">
        <v>23</v>
      </c>
      <c r="L376" s="178" t="s">
        <v>4440</v>
      </c>
    </row>
    <row r="377" spans="1:12" ht="15.8" customHeight="1" x14ac:dyDescent="0.2">
      <c r="A377" s="178" t="s">
        <v>10</v>
      </c>
      <c r="B377" s="178" t="s">
        <v>188</v>
      </c>
      <c r="C377" s="573"/>
      <c r="D377" s="389">
        <v>45601</v>
      </c>
      <c r="E377" s="178" t="s">
        <v>57</v>
      </c>
      <c r="F377" s="178" t="s">
        <v>4442</v>
      </c>
      <c r="G377" s="178" t="s">
        <v>987</v>
      </c>
      <c r="H377" s="178" t="s">
        <v>4443</v>
      </c>
      <c r="I377" s="178" t="s">
        <v>3721</v>
      </c>
      <c r="J377" s="178">
        <v>2</v>
      </c>
      <c r="K377" s="178" t="s">
        <v>192</v>
      </c>
      <c r="L377" s="178" t="s">
        <v>987</v>
      </c>
    </row>
    <row r="378" spans="1:12" ht="15.8" customHeight="1" x14ac:dyDescent="0.2">
      <c r="A378" s="178" t="s">
        <v>10</v>
      </c>
      <c r="B378" s="178" t="s">
        <v>29</v>
      </c>
      <c r="C378" s="573"/>
      <c r="D378" s="389">
        <v>45597</v>
      </c>
      <c r="E378" s="178" t="s">
        <v>74</v>
      </c>
      <c r="F378" s="178" t="s">
        <v>4444</v>
      </c>
      <c r="G378" s="178" t="s">
        <v>4445</v>
      </c>
      <c r="H378" s="178" t="s">
        <v>4273</v>
      </c>
      <c r="I378" s="178" t="s">
        <v>3721</v>
      </c>
      <c r="J378" s="178">
        <v>4</v>
      </c>
      <c r="K378" s="178" t="s">
        <v>34</v>
      </c>
      <c r="L378" s="178" t="s">
        <v>4444</v>
      </c>
    </row>
    <row r="379" spans="1:12" ht="15.8" customHeight="1" x14ac:dyDescent="0.2">
      <c r="A379" s="178" t="s">
        <v>10</v>
      </c>
      <c r="B379" s="178" t="s">
        <v>451</v>
      </c>
      <c r="C379" s="573"/>
      <c r="D379" s="389">
        <v>45601</v>
      </c>
      <c r="E379" s="178" t="s">
        <v>4446</v>
      </c>
      <c r="F379" s="178" t="s">
        <v>4447</v>
      </c>
      <c r="G379" s="178" t="s">
        <v>70</v>
      </c>
      <c r="H379" s="178" t="s">
        <v>4448</v>
      </c>
      <c r="I379" s="178" t="s">
        <v>4449</v>
      </c>
      <c r="J379" s="178">
        <v>3</v>
      </c>
      <c r="K379" s="178" t="s">
        <v>34</v>
      </c>
      <c r="L379" s="178" t="s">
        <v>4450</v>
      </c>
    </row>
    <row r="380" spans="1:12" ht="15.8" customHeight="1" x14ac:dyDescent="0.2">
      <c r="A380" s="178" t="s">
        <v>17</v>
      </c>
      <c r="B380" s="178" t="s">
        <v>24</v>
      </c>
      <c r="C380" s="573"/>
      <c r="D380" s="389">
        <v>45602</v>
      </c>
      <c r="E380" s="178" t="s">
        <v>4451</v>
      </c>
      <c r="F380" s="178" t="s">
        <v>4452</v>
      </c>
      <c r="G380" s="178" t="s">
        <v>110</v>
      </c>
      <c r="H380" s="178" t="s">
        <v>4453</v>
      </c>
      <c r="I380" s="178" t="s">
        <v>3721</v>
      </c>
      <c r="J380" s="178">
        <v>1</v>
      </c>
      <c r="K380" s="178" t="s">
        <v>23</v>
      </c>
      <c r="L380" s="178" t="s">
        <v>4454</v>
      </c>
    </row>
    <row r="381" spans="1:12" ht="15.8" customHeight="1" x14ac:dyDescent="0.2">
      <c r="A381" s="178" t="s">
        <v>17</v>
      </c>
      <c r="B381" s="178" t="s">
        <v>24</v>
      </c>
      <c r="C381" s="573"/>
      <c r="D381" s="389">
        <v>45602</v>
      </c>
      <c r="E381" s="178" t="s">
        <v>118</v>
      </c>
      <c r="F381" s="178" t="s">
        <v>4455</v>
      </c>
      <c r="G381" s="178" t="s">
        <v>76</v>
      </c>
      <c r="H381" s="178" t="s">
        <v>4456</v>
      </c>
      <c r="I381" s="178" t="s">
        <v>3721</v>
      </c>
      <c r="J381" s="178">
        <v>1</v>
      </c>
      <c r="K381" s="178" t="s">
        <v>23</v>
      </c>
      <c r="L381" s="178" t="s">
        <v>4457</v>
      </c>
    </row>
    <row r="382" spans="1:12" ht="15.8" customHeight="1" x14ac:dyDescent="0.2">
      <c r="A382" s="178" t="s">
        <v>17</v>
      </c>
      <c r="B382" s="178" t="s">
        <v>24</v>
      </c>
      <c r="C382" s="573"/>
      <c r="D382" s="389">
        <v>45602</v>
      </c>
      <c r="E382" s="178" t="s">
        <v>118</v>
      </c>
      <c r="F382" s="178" t="s">
        <v>4458</v>
      </c>
      <c r="G382" s="178" t="s">
        <v>355</v>
      </c>
      <c r="H382" s="178" t="s">
        <v>4459</v>
      </c>
      <c r="I382" s="178" t="s">
        <v>3721</v>
      </c>
      <c r="J382" s="178">
        <v>1</v>
      </c>
      <c r="K382" s="178" t="s">
        <v>23</v>
      </c>
      <c r="L382" s="178" t="s">
        <v>4458</v>
      </c>
    </row>
    <row r="383" spans="1:12" ht="15.8" customHeight="1" x14ac:dyDescent="0.2">
      <c r="A383" s="178" t="s">
        <v>10</v>
      </c>
      <c r="B383" s="178" t="s">
        <v>29</v>
      </c>
      <c r="C383" s="573"/>
      <c r="D383" s="389">
        <v>45607</v>
      </c>
      <c r="E383" s="178" t="s">
        <v>37</v>
      </c>
      <c r="F383" s="178" t="s">
        <v>4460</v>
      </c>
      <c r="G383" s="178" t="s">
        <v>4461</v>
      </c>
      <c r="H383" s="178" t="s">
        <v>4462</v>
      </c>
      <c r="I383" s="178" t="s">
        <v>4438</v>
      </c>
      <c r="J383" s="178">
        <v>2</v>
      </c>
      <c r="K383" s="178" t="s">
        <v>16</v>
      </c>
      <c r="L383" s="178" t="s">
        <v>4438</v>
      </c>
    </row>
    <row r="384" spans="1:12" ht="15.8" customHeight="1" x14ac:dyDescent="0.2">
      <c r="A384" s="178" t="s">
        <v>17</v>
      </c>
      <c r="B384" s="178" t="s">
        <v>24</v>
      </c>
      <c r="C384" s="573"/>
      <c r="D384" s="389">
        <v>45614</v>
      </c>
      <c r="E384" s="178" t="s">
        <v>1404</v>
      </c>
      <c r="F384" s="178" t="s">
        <v>4463</v>
      </c>
      <c r="G384" s="178" t="s">
        <v>85</v>
      </c>
      <c r="H384" s="178" t="s">
        <v>4464</v>
      </c>
      <c r="I384" s="178" t="s">
        <v>3721</v>
      </c>
      <c r="J384" s="178">
        <v>1</v>
      </c>
      <c r="K384" s="178" t="s">
        <v>23</v>
      </c>
      <c r="L384" s="178" t="s">
        <v>4465</v>
      </c>
    </row>
    <row r="385" spans="1:12" ht="15.8" customHeight="1" x14ac:dyDescent="0.2">
      <c r="A385" s="178" t="s">
        <v>51</v>
      </c>
      <c r="B385" s="178" t="s">
        <v>481</v>
      </c>
      <c r="C385" s="573"/>
      <c r="D385" s="389">
        <v>45614</v>
      </c>
      <c r="E385" s="178" t="s">
        <v>4466</v>
      </c>
      <c r="F385" s="178" t="s">
        <v>4467</v>
      </c>
      <c r="G385" s="178" t="s">
        <v>4468</v>
      </c>
      <c r="H385" s="178" t="s">
        <v>4469</v>
      </c>
      <c r="I385" s="178" t="s">
        <v>167</v>
      </c>
      <c r="J385" s="178">
        <v>4</v>
      </c>
      <c r="K385" s="178" t="s">
        <v>16</v>
      </c>
      <c r="L385" s="178" t="s">
        <v>167</v>
      </c>
    </row>
    <row r="386" spans="1:12" ht="15.8" customHeight="1" x14ac:dyDescent="0.2">
      <c r="A386" s="178" t="s">
        <v>387</v>
      </c>
      <c r="B386" s="178" t="s">
        <v>137</v>
      </c>
      <c r="C386" s="573"/>
      <c r="D386" s="389">
        <v>45618</v>
      </c>
      <c r="E386" s="178" t="s">
        <v>126</v>
      </c>
      <c r="F386" s="178" t="s">
        <v>4470</v>
      </c>
      <c r="G386" s="178" t="s">
        <v>110</v>
      </c>
      <c r="H386" s="178" t="s">
        <v>4471</v>
      </c>
      <c r="I386" s="178" t="s">
        <v>3721</v>
      </c>
      <c r="J386" s="178">
        <v>2</v>
      </c>
      <c r="K386" s="178" t="s">
        <v>34</v>
      </c>
      <c r="L386" s="178" t="s">
        <v>4472</v>
      </c>
    </row>
    <row r="387" spans="1:12" ht="15.8" customHeight="1" x14ac:dyDescent="0.2">
      <c r="A387" s="178" t="s">
        <v>17</v>
      </c>
      <c r="B387" s="178" t="s">
        <v>24</v>
      </c>
      <c r="C387" s="573"/>
      <c r="D387" s="389">
        <v>45621</v>
      </c>
      <c r="E387" s="178" t="s">
        <v>72</v>
      </c>
      <c r="F387" s="178" t="s">
        <v>4473</v>
      </c>
      <c r="G387" s="178"/>
      <c r="H387" s="178" t="s">
        <v>28</v>
      </c>
      <c r="I387" s="178" t="s">
        <v>167</v>
      </c>
      <c r="J387" s="178">
        <v>1</v>
      </c>
      <c r="K387" s="178" t="s">
        <v>78</v>
      </c>
      <c r="L387" s="178" t="s">
        <v>167</v>
      </c>
    </row>
    <row r="388" spans="1:12" ht="15.8" customHeight="1" x14ac:dyDescent="0.2">
      <c r="A388" s="178" t="s">
        <v>10</v>
      </c>
      <c r="B388" s="178" t="s">
        <v>29</v>
      </c>
      <c r="C388" s="573"/>
      <c r="D388" s="389">
        <v>45623</v>
      </c>
      <c r="E388" s="178" t="s">
        <v>4474</v>
      </c>
      <c r="F388" s="178" t="s">
        <v>1137</v>
      </c>
      <c r="G388" s="178" t="s">
        <v>27</v>
      </c>
      <c r="H388" s="178" t="s">
        <v>4475</v>
      </c>
      <c r="I388" s="178" t="s">
        <v>3937</v>
      </c>
      <c r="J388" s="178">
        <v>3</v>
      </c>
      <c r="K388" s="178" t="s">
        <v>34</v>
      </c>
      <c r="L388" s="178" t="s">
        <v>3937</v>
      </c>
    </row>
    <row r="389" spans="1:12" ht="15.8" customHeight="1" x14ac:dyDescent="0.2">
      <c r="A389" s="178" t="s">
        <v>51</v>
      </c>
      <c r="B389" s="178" t="s">
        <v>52</v>
      </c>
      <c r="C389" s="573"/>
      <c r="D389" s="389">
        <v>45623</v>
      </c>
      <c r="E389" s="178" t="s">
        <v>57</v>
      </c>
      <c r="F389" s="178" t="s">
        <v>4171</v>
      </c>
      <c r="G389" s="178" t="s">
        <v>987</v>
      </c>
      <c r="H389" s="178" t="s">
        <v>4476</v>
      </c>
      <c r="I389" s="178" t="s">
        <v>3937</v>
      </c>
      <c r="J389" s="178">
        <v>3</v>
      </c>
      <c r="K389" s="178" t="s">
        <v>34</v>
      </c>
      <c r="L389" s="178" t="s">
        <v>3937</v>
      </c>
    </row>
    <row r="390" spans="1:12" ht="15.8" customHeight="1" x14ac:dyDescent="0.2">
      <c r="A390" s="178" t="s">
        <v>51</v>
      </c>
      <c r="B390" s="178" t="s">
        <v>244</v>
      </c>
      <c r="C390" s="574"/>
      <c r="D390" s="389">
        <v>45624</v>
      </c>
      <c r="E390" s="178" t="s">
        <v>57</v>
      </c>
      <c r="F390" s="178" t="s">
        <v>4477</v>
      </c>
      <c r="G390" s="178"/>
      <c r="H390" s="178" t="s">
        <v>4478</v>
      </c>
      <c r="I390" s="178" t="s">
        <v>167</v>
      </c>
      <c r="J390" s="178">
        <v>4</v>
      </c>
      <c r="K390" s="178" t="s">
        <v>16</v>
      </c>
      <c r="L390" s="178" t="s">
        <v>167</v>
      </c>
    </row>
    <row r="391" spans="1:12" ht="15.8" customHeight="1" x14ac:dyDescent="0.25">
      <c r="A391" s="415" t="s">
        <v>2151</v>
      </c>
      <c r="B391" s="361"/>
      <c r="C391" s="391"/>
      <c r="D391" s="361"/>
      <c r="E391" s="361"/>
      <c r="F391" s="361"/>
      <c r="G391" s="361"/>
      <c r="H391" s="361"/>
      <c r="I391" s="361"/>
      <c r="J391" s="361"/>
      <c r="K391" s="361"/>
      <c r="L391" s="361"/>
    </row>
    <row r="392" spans="1:12" ht="15.8" customHeight="1" x14ac:dyDescent="0.2">
      <c r="A392" s="178" t="s">
        <v>10</v>
      </c>
      <c r="B392" s="178" t="s">
        <v>11</v>
      </c>
      <c r="C392" s="572">
        <f>COUNTIF(B392:B412,C2)</f>
        <v>6</v>
      </c>
      <c r="D392" s="389">
        <v>45630</v>
      </c>
      <c r="E392" s="178" t="s">
        <v>57</v>
      </c>
      <c r="F392" s="178" t="s">
        <v>4479</v>
      </c>
      <c r="G392" s="178" t="s">
        <v>110</v>
      </c>
      <c r="H392" s="178" t="s">
        <v>4480</v>
      </c>
      <c r="I392" s="178" t="s">
        <v>3937</v>
      </c>
      <c r="J392" s="178">
        <v>2</v>
      </c>
      <c r="K392" s="178" t="s">
        <v>16</v>
      </c>
      <c r="L392" s="178" t="s">
        <v>3937</v>
      </c>
    </row>
    <row r="393" spans="1:12" ht="15.8" customHeight="1" x14ac:dyDescent="0.2">
      <c r="A393" s="178" t="s">
        <v>51</v>
      </c>
      <c r="B393" s="178" t="s">
        <v>52</v>
      </c>
      <c r="C393" s="573"/>
      <c r="D393" s="389">
        <v>45630</v>
      </c>
      <c r="E393" s="178" t="s">
        <v>4481</v>
      </c>
      <c r="F393" s="178" t="s">
        <v>4482</v>
      </c>
      <c r="G393" s="178" t="s">
        <v>217</v>
      </c>
      <c r="H393" s="178" t="s">
        <v>4483</v>
      </c>
      <c r="I393" s="178" t="s">
        <v>4484</v>
      </c>
      <c r="J393" s="178">
        <v>3</v>
      </c>
      <c r="K393" s="178" t="s">
        <v>16</v>
      </c>
      <c r="L393" s="178" t="s">
        <v>1031</v>
      </c>
    </row>
    <row r="394" spans="1:12" ht="15.8" customHeight="1" x14ac:dyDescent="0.2">
      <c r="A394" s="178" t="s">
        <v>51</v>
      </c>
      <c r="B394" s="178" t="s">
        <v>481</v>
      </c>
      <c r="C394" s="573"/>
      <c r="D394" s="389">
        <v>45631</v>
      </c>
      <c r="E394" s="178" t="s">
        <v>2548</v>
      </c>
      <c r="F394" s="178" t="s">
        <v>4485</v>
      </c>
      <c r="G394" s="178" t="s">
        <v>515</v>
      </c>
      <c r="H394" s="178" t="s">
        <v>4486</v>
      </c>
      <c r="I394" s="178" t="s">
        <v>3721</v>
      </c>
      <c r="J394" s="178">
        <v>6</v>
      </c>
      <c r="K394" s="178" t="s">
        <v>16</v>
      </c>
      <c r="L394" s="178" t="s">
        <v>4487</v>
      </c>
    </row>
    <row r="395" spans="1:12" ht="15.8" customHeight="1" x14ac:dyDescent="0.2">
      <c r="A395" s="178" t="s">
        <v>35</v>
      </c>
      <c r="B395" s="178" t="s">
        <v>137</v>
      </c>
      <c r="C395" s="573"/>
      <c r="D395" s="389">
        <v>45630</v>
      </c>
      <c r="E395" s="178" t="s">
        <v>180</v>
      </c>
      <c r="F395" s="178" t="s">
        <v>4488</v>
      </c>
      <c r="G395" s="178" t="s">
        <v>478</v>
      </c>
      <c r="H395" s="178" t="s">
        <v>4489</v>
      </c>
      <c r="I395" s="178" t="s">
        <v>3721</v>
      </c>
      <c r="J395" s="178">
        <v>3</v>
      </c>
      <c r="K395" s="178" t="s">
        <v>50</v>
      </c>
      <c r="L395" s="178" t="s">
        <v>4490</v>
      </c>
    </row>
    <row r="396" spans="1:12" ht="15.8" customHeight="1" x14ac:dyDescent="0.2">
      <c r="A396" s="178" t="s">
        <v>10</v>
      </c>
      <c r="B396" s="178" t="s">
        <v>2162</v>
      </c>
      <c r="C396" s="573"/>
      <c r="D396" s="389">
        <v>45633</v>
      </c>
      <c r="E396" s="178" t="s">
        <v>57</v>
      </c>
      <c r="F396" s="178" t="s">
        <v>4335</v>
      </c>
      <c r="G396" s="178" t="s">
        <v>95</v>
      </c>
      <c r="H396" s="178" t="s">
        <v>4491</v>
      </c>
      <c r="I396" s="178" t="s">
        <v>3721</v>
      </c>
      <c r="J396" s="178">
        <v>4</v>
      </c>
      <c r="K396" s="178" t="s">
        <v>16</v>
      </c>
      <c r="L396" s="178" t="s">
        <v>4335</v>
      </c>
    </row>
    <row r="397" spans="1:12" ht="15.8" customHeight="1" x14ac:dyDescent="0.2">
      <c r="A397" s="178" t="s">
        <v>10</v>
      </c>
      <c r="B397" s="178" t="s">
        <v>2162</v>
      </c>
      <c r="C397" s="573"/>
      <c r="D397" s="389">
        <v>45633</v>
      </c>
      <c r="E397" s="178" t="s">
        <v>57</v>
      </c>
      <c r="F397" s="178" t="s">
        <v>4492</v>
      </c>
      <c r="G397" s="178" t="s">
        <v>85</v>
      </c>
      <c r="H397" s="178" t="s">
        <v>4491</v>
      </c>
      <c r="I397" s="178" t="s">
        <v>3721</v>
      </c>
      <c r="J397" s="178">
        <v>4</v>
      </c>
      <c r="K397" s="178" t="s">
        <v>16</v>
      </c>
      <c r="L397" s="178" t="s">
        <v>4493</v>
      </c>
    </row>
    <row r="398" spans="1:12" ht="15.8" customHeight="1" x14ac:dyDescent="0.2">
      <c r="A398" s="178" t="s">
        <v>10</v>
      </c>
      <c r="B398" s="178" t="s">
        <v>2162</v>
      </c>
      <c r="C398" s="573"/>
      <c r="D398" s="389">
        <v>45633</v>
      </c>
      <c r="E398" s="178" t="s">
        <v>4494</v>
      </c>
      <c r="F398" s="178" t="s">
        <v>1204</v>
      </c>
      <c r="G398" s="178" t="s">
        <v>139</v>
      </c>
      <c r="H398" s="178" t="s">
        <v>4491</v>
      </c>
      <c r="I398" s="178" t="s">
        <v>3721</v>
      </c>
      <c r="J398" s="178">
        <v>4</v>
      </c>
      <c r="K398" s="178" t="s">
        <v>16</v>
      </c>
      <c r="L398" s="178" t="s">
        <v>1153</v>
      </c>
    </row>
    <row r="399" spans="1:12" ht="15.8" customHeight="1" x14ac:dyDescent="0.2">
      <c r="A399" s="178" t="s">
        <v>51</v>
      </c>
      <c r="B399" s="178" t="s">
        <v>52</v>
      </c>
      <c r="C399" s="573"/>
      <c r="D399" s="389">
        <v>45634</v>
      </c>
      <c r="E399" s="178" t="s">
        <v>57</v>
      </c>
      <c r="F399" s="178" t="s">
        <v>4234</v>
      </c>
      <c r="G399" s="178" t="s">
        <v>110</v>
      </c>
      <c r="H399" s="178" t="s">
        <v>4495</v>
      </c>
      <c r="I399" s="178" t="s">
        <v>3937</v>
      </c>
      <c r="J399" s="178">
        <v>3</v>
      </c>
      <c r="K399" s="178" t="s">
        <v>16</v>
      </c>
      <c r="L399" s="178" t="s">
        <v>3937</v>
      </c>
    </row>
    <row r="400" spans="1:12" ht="15.8" customHeight="1" x14ac:dyDescent="0.2">
      <c r="A400" s="178" t="s">
        <v>51</v>
      </c>
      <c r="B400" s="178" t="s">
        <v>52</v>
      </c>
      <c r="C400" s="573"/>
      <c r="D400" s="389">
        <v>45634</v>
      </c>
      <c r="E400" s="178" t="s">
        <v>4496</v>
      </c>
      <c r="F400" s="178" t="s">
        <v>21</v>
      </c>
      <c r="G400" s="178" t="s">
        <v>21</v>
      </c>
      <c r="H400" s="178" t="s">
        <v>4497</v>
      </c>
      <c r="I400" s="178" t="s">
        <v>3937</v>
      </c>
      <c r="J400" s="178">
        <v>3</v>
      </c>
      <c r="K400" s="178" t="s">
        <v>16</v>
      </c>
      <c r="L400" s="178" t="s">
        <v>3937</v>
      </c>
    </row>
    <row r="401" spans="1:12" ht="15.8" customHeight="1" x14ac:dyDescent="0.2">
      <c r="A401" s="178" t="s">
        <v>51</v>
      </c>
      <c r="B401" s="178" t="s">
        <v>52</v>
      </c>
      <c r="C401" s="573"/>
      <c r="D401" s="389">
        <v>45634</v>
      </c>
      <c r="E401" s="178" t="s">
        <v>57</v>
      </c>
      <c r="F401" s="178" t="s">
        <v>4498</v>
      </c>
      <c r="G401" s="178" t="s">
        <v>110</v>
      </c>
      <c r="H401" s="178" t="s">
        <v>4499</v>
      </c>
      <c r="I401" s="178" t="s">
        <v>3937</v>
      </c>
      <c r="J401" s="178">
        <v>3</v>
      </c>
      <c r="K401" s="178" t="s">
        <v>16</v>
      </c>
      <c r="L401" s="178" t="s">
        <v>3937</v>
      </c>
    </row>
    <row r="402" spans="1:12" ht="15.8" customHeight="1" x14ac:dyDescent="0.2">
      <c r="A402" s="178" t="s">
        <v>17</v>
      </c>
      <c r="B402" s="178" t="s">
        <v>24</v>
      </c>
      <c r="C402" s="573"/>
      <c r="D402" s="389">
        <v>45636</v>
      </c>
      <c r="E402" s="178" t="s">
        <v>4500</v>
      </c>
      <c r="F402" s="178" t="s">
        <v>4501</v>
      </c>
      <c r="G402" s="178" t="s">
        <v>110</v>
      </c>
      <c r="H402" s="178" t="s">
        <v>4502</v>
      </c>
      <c r="I402" s="178" t="s">
        <v>3721</v>
      </c>
      <c r="J402" s="178">
        <v>1</v>
      </c>
      <c r="K402" s="178" t="s">
        <v>78</v>
      </c>
      <c r="L402" s="178" t="s">
        <v>4501</v>
      </c>
    </row>
    <row r="403" spans="1:12" ht="15.8" customHeight="1" x14ac:dyDescent="0.2">
      <c r="A403" s="178" t="s">
        <v>17</v>
      </c>
      <c r="B403" s="178" t="s">
        <v>24</v>
      </c>
      <c r="C403" s="573"/>
      <c r="D403" s="389">
        <v>45636</v>
      </c>
      <c r="E403" s="178" t="s">
        <v>1350</v>
      </c>
      <c r="F403" s="178" t="s">
        <v>4503</v>
      </c>
      <c r="G403" s="178" t="s">
        <v>4504</v>
      </c>
      <c r="H403" s="178" t="s">
        <v>4505</v>
      </c>
      <c r="I403" s="178" t="s">
        <v>3721</v>
      </c>
      <c r="J403" s="178">
        <v>1</v>
      </c>
      <c r="K403" s="178" t="s">
        <v>78</v>
      </c>
      <c r="L403" s="178" t="s">
        <v>4506</v>
      </c>
    </row>
    <row r="404" spans="1:12" ht="15.8" customHeight="1" x14ac:dyDescent="0.2">
      <c r="A404" s="178" t="s">
        <v>51</v>
      </c>
      <c r="B404" s="178" t="s">
        <v>52</v>
      </c>
      <c r="C404" s="573"/>
      <c r="D404" s="389">
        <v>45636</v>
      </c>
      <c r="E404" s="178" t="s">
        <v>417</v>
      </c>
      <c r="F404" s="178" t="s">
        <v>4507</v>
      </c>
      <c r="G404" s="178" t="s">
        <v>446</v>
      </c>
      <c r="H404" s="178" t="s">
        <v>4508</v>
      </c>
      <c r="I404" s="178" t="s">
        <v>3721</v>
      </c>
      <c r="J404" s="178">
        <v>4</v>
      </c>
      <c r="K404" s="178" t="s">
        <v>192</v>
      </c>
      <c r="L404" s="178" t="s">
        <v>446</v>
      </c>
    </row>
    <row r="405" spans="1:12" ht="15.8" customHeight="1" x14ac:dyDescent="0.2">
      <c r="A405" s="178" t="s">
        <v>17</v>
      </c>
      <c r="B405" s="178" t="s">
        <v>24</v>
      </c>
      <c r="C405" s="573"/>
      <c r="D405" s="389">
        <v>45637</v>
      </c>
      <c r="E405" s="178" t="s">
        <v>87</v>
      </c>
      <c r="F405" s="178" t="s">
        <v>4509</v>
      </c>
      <c r="G405" s="178" t="s">
        <v>355</v>
      </c>
      <c r="H405" s="178" t="s">
        <v>4510</v>
      </c>
      <c r="I405" s="178" t="s">
        <v>3721</v>
      </c>
      <c r="J405" s="178">
        <v>1</v>
      </c>
      <c r="K405" s="178" t="s">
        <v>23</v>
      </c>
      <c r="L405" s="178" t="s">
        <v>4509</v>
      </c>
    </row>
    <row r="406" spans="1:12" ht="15.8" customHeight="1" x14ac:dyDescent="0.2">
      <c r="A406" s="178" t="s">
        <v>10</v>
      </c>
      <c r="B406" s="178" t="s">
        <v>2161</v>
      </c>
      <c r="C406" s="573"/>
      <c r="D406" s="389">
        <v>45273</v>
      </c>
      <c r="E406" s="178" t="s">
        <v>4423</v>
      </c>
      <c r="F406" s="178" t="s">
        <v>4511</v>
      </c>
      <c r="G406" s="178" t="s">
        <v>139</v>
      </c>
      <c r="H406" s="178" t="s">
        <v>4512</v>
      </c>
      <c r="I406" s="178" t="s">
        <v>3721</v>
      </c>
      <c r="J406" s="178">
        <v>4</v>
      </c>
      <c r="K406" s="178" t="s">
        <v>4513</v>
      </c>
      <c r="L406" s="178" t="s">
        <v>4514</v>
      </c>
    </row>
    <row r="407" spans="1:12" ht="15.8" customHeight="1" x14ac:dyDescent="0.2">
      <c r="A407" s="178" t="s">
        <v>10</v>
      </c>
      <c r="B407" s="178" t="s">
        <v>2162</v>
      </c>
      <c r="C407" s="573"/>
      <c r="D407" s="389">
        <v>45640</v>
      </c>
      <c r="E407" s="178" t="s">
        <v>4474</v>
      </c>
      <c r="F407" s="178" t="s">
        <v>787</v>
      </c>
      <c r="G407" s="178" t="s">
        <v>21</v>
      </c>
      <c r="H407" s="178" t="s">
        <v>4515</v>
      </c>
      <c r="I407" s="178" t="s">
        <v>3937</v>
      </c>
      <c r="J407" s="178">
        <v>6</v>
      </c>
      <c r="K407" s="178" t="s">
        <v>34</v>
      </c>
      <c r="L407" s="178" t="s">
        <v>3937</v>
      </c>
    </row>
    <row r="408" spans="1:12" ht="15.8" customHeight="1" x14ac:dyDescent="0.2">
      <c r="A408" s="178" t="s">
        <v>10</v>
      </c>
      <c r="B408" s="178" t="s">
        <v>2162</v>
      </c>
      <c r="C408" s="573"/>
      <c r="D408" s="389">
        <v>45646</v>
      </c>
      <c r="E408" s="178" t="s">
        <v>4516</v>
      </c>
      <c r="F408" s="178" t="s">
        <v>4517</v>
      </c>
      <c r="G408" s="178" t="s">
        <v>95</v>
      </c>
      <c r="H408" s="178" t="s">
        <v>4518</v>
      </c>
      <c r="I408" s="178" t="s">
        <v>3937</v>
      </c>
      <c r="J408" s="178">
        <v>9</v>
      </c>
      <c r="K408" s="178" t="s">
        <v>1075</v>
      </c>
      <c r="L408" s="178" t="s">
        <v>3937</v>
      </c>
    </row>
    <row r="409" spans="1:12" ht="15.8" customHeight="1" x14ac:dyDescent="0.2">
      <c r="A409" s="178" t="s">
        <v>51</v>
      </c>
      <c r="B409" s="178" t="s">
        <v>52</v>
      </c>
      <c r="C409" s="573"/>
      <c r="D409" s="389">
        <v>45650</v>
      </c>
      <c r="E409" s="178" t="s">
        <v>4519</v>
      </c>
      <c r="F409" s="178" t="s">
        <v>4520</v>
      </c>
      <c r="G409" s="178" t="s">
        <v>85</v>
      </c>
      <c r="H409" s="178" t="s">
        <v>4521</v>
      </c>
      <c r="I409" s="178" t="s">
        <v>3721</v>
      </c>
      <c r="J409" s="178">
        <v>3</v>
      </c>
      <c r="K409" s="178" t="s">
        <v>16</v>
      </c>
      <c r="L409" s="178" t="s">
        <v>4522</v>
      </c>
    </row>
    <row r="410" spans="1:12" ht="15.8" customHeight="1" x14ac:dyDescent="0.2">
      <c r="A410" s="178" t="s">
        <v>10</v>
      </c>
      <c r="B410" s="178" t="s">
        <v>2162</v>
      </c>
      <c r="C410" s="573"/>
      <c r="D410" s="389">
        <v>45654</v>
      </c>
      <c r="E410" s="178" t="s">
        <v>57</v>
      </c>
      <c r="F410" s="178" t="s">
        <v>636</v>
      </c>
      <c r="G410" s="178" t="s">
        <v>76</v>
      </c>
      <c r="H410" s="178" t="s">
        <v>4523</v>
      </c>
      <c r="I410" s="178" t="s">
        <v>3937</v>
      </c>
      <c r="J410" s="178">
        <v>2</v>
      </c>
      <c r="K410" s="178" t="s">
        <v>16</v>
      </c>
      <c r="L410" s="178" t="s">
        <v>3937</v>
      </c>
    </row>
    <row r="411" spans="1:12" ht="15.8" customHeight="1" x14ac:dyDescent="0.2">
      <c r="A411" s="178" t="s">
        <v>10</v>
      </c>
      <c r="B411" s="178" t="s">
        <v>324</v>
      </c>
      <c r="C411" s="573"/>
      <c r="D411" s="389">
        <v>45656</v>
      </c>
      <c r="E411" s="178" t="s">
        <v>57</v>
      </c>
      <c r="F411" s="178" t="s">
        <v>4524</v>
      </c>
      <c r="G411" s="178" t="s">
        <v>76</v>
      </c>
      <c r="H411" s="178" t="s">
        <v>4525</v>
      </c>
      <c r="I411" s="178" t="s">
        <v>3937</v>
      </c>
      <c r="J411" s="178">
        <v>3</v>
      </c>
      <c r="K411" s="178" t="s">
        <v>16</v>
      </c>
      <c r="L411" s="178" t="s">
        <v>3937</v>
      </c>
    </row>
    <row r="412" spans="1:12" ht="15.8" customHeight="1" x14ac:dyDescent="0.2">
      <c r="A412" s="178" t="s">
        <v>10</v>
      </c>
      <c r="B412" s="178" t="s">
        <v>2162</v>
      </c>
      <c r="C412" s="574"/>
      <c r="D412" s="389">
        <v>45657</v>
      </c>
      <c r="E412" s="178" t="s">
        <v>72</v>
      </c>
      <c r="F412" s="178" t="s">
        <v>2568</v>
      </c>
      <c r="G412" s="178" t="s">
        <v>4526</v>
      </c>
      <c r="H412" s="178" t="s">
        <v>4527</v>
      </c>
      <c r="I412" s="178" t="s">
        <v>3937</v>
      </c>
      <c r="J412" s="178">
        <v>4</v>
      </c>
      <c r="K412" s="178" t="s">
        <v>192</v>
      </c>
      <c r="L412" s="178" t="s">
        <v>3937</v>
      </c>
    </row>
    <row r="413" spans="1:12" ht="47.55" thickBot="1" x14ac:dyDescent="0.25">
      <c r="A413" s="418" t="s">
        <v>2677</v>
      </c>
      <c r="B413" s="419">
        <f>COUNTA($B$3:B412)</f>
        <v>398</v>
      </c>
      <c r="C413" s="419">
        <f>SUM(C3:C412)</f>
        <v>55</v>
      </c>
      <c r="D413" s="420"/>
      <c r="E413" s="421"/>
      <c r="F413" s="421"/>
      <c r="G413" s="422"/>
      <c r="H413" s="421"/>
      <c r="I413" s="421"/>
      <c r="J413" s="421"/>
      <c r="K413" s="421"/>
      <c r="L413" s="423"/>
    </row>
    <row r="414" spans="1:12" ht="12.9" x14ac:dyDescent="0.2">
      <c r="A414" s="13"/>
      <c r="B414" s="13"/>
      <c r="C414" s="89"/>
      <c r="D414" s="60"/>
      <c r="E414" s="13"/>
      <c r="F414" s="13"/>
      <c r="G414" s="13"/>
      <c r="H414" s="42"/>
      <c r="I414" s="13"/>
      <c r="J414" s="79"/>
    </row>
    <row r="415" spans="1:12" ht="15.8" customHeight="1" x14ac:dyDescent="0.2">
      <c r="A415"/>
      <c r="B415"/>
      <c r="C415" s="89"/>
      <c r="D415"/>
      <c r="E415"/>
      <c r="F415"/>
      <c r="G415"/>
      <c r="H415"/>
      <c r="I415"/>
      <c r="J415"/>
    </row>
  </sheetData>
  <sheetProtection sheet="1" objects="1" scenarios="1"/>
  <autoFilter ref="A1:AS1" xr:uid="{00000000-0009-0000-0000-000005000000}"/>
  <mergeCells count="23">
    <mergeCell ref="L1:L2"/>
    <mergeCell ref="C107:C166"/>
    <mergeCell ref="K1:K2"/>
    <mergeCell ref="I1:I2"/>
    <mergeCell ref="C51:C105"/>
    <mergeCell ref="G1:G2"/>
    <mergeCell ref="H1:H2"/>
    <mergeCell ref="J1:J2"/>
    <mergeCell ref="F1:F2"/>
    <mergeCell ref="C4:C49"/>
    <mergeCell ref="D1:D2"/>
    <mergeCell ref="E1:E2"/>
    <mergeCell ref="C372:C390"/>
    <mergeCell ref="C392:C412"/>
    <mergeCell ref="C168:C207"/>
    <mergeCell ref="C265:C290"/>
    <mergeCell ref="A1:A2"/>
    <mergeCell ref="C292:C324"/>
    <mergeCell ref="B1:B2"/>
    <mergeCell ref="C209:C237"/>
    <mergeCell ref="C239:C263"/>
    <mergeCell ref="C326:C342"/>
    <mergeCell ref="C344:C370"/>
  </mergeCells>
  <conditionalFormatting sqref="B329:B1048576 B3:B327">
    <cfRule type="cellIs" dxfId="7" priority="6" operator="equal">
      <formula>$C$2</formula>
    </cfRule>
  </conditionalFormatting>
  <conditionalFormatting sqref="C2">
    <cfRule type="cellIs" dxfId="6" priority="1" operator="equal">
      <formula>$C$2</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S538"/>
  <sheetViews>
    <sheetView zoomScaleNormal="100" workbookViewId="0">
      <pane ySplit="2" topLeftCell="A3" activePane="bottomLeft" state="frozen"/>
      <selection pane="bottomLeft" activeCell="J403" sqref="A3:J403"/>
    </sheetView>
  </sheetViews>
  <sheetFormatPr baseColWidth="10" defaultColWidth="12.625" defaultRowHeight="15.8" customHeight="1" x14ac:dyDescent="0.2"/>
  <cols>
    <col min="1" max="1" width="29.375" style="15" bestFit="1" customWidth="1"/>
    <col min="2" max="2" width="73.125" style="15" customWidth="1"/>
    <col min="3" max="3" width="44" style="90" bestFit="1" customWidth="1"/>
    <col min="4" max="4" width="16" style="16" bestFit="1" customWidth="1"/>
    <col min="5" max="5" width="31.875" style="15" bestFit="1" customWidth="1"/>
    <col min="6" max="6" width="52.625" style="15" bestFit="1" customWidth="1"/>
    <col min="7" max="7" width="45.125" style="15" bestFit="1" customWidth="1"/>
    <col min="8" max="8" width="255.625" style="15" bestFit="1" customWidth="1"/>
    <col min="9" max="9" width="32.125" style="15" bestFit="1" customWidth="1"/>
    <col min="10" max="10" width="19.125" style="80" bestFit="1" customWidth="1"/>
    <col min="11" max="19" width="18.875" customWidth="1"/>
    <col min="21" max="16384" width="12.625" style="58"/>
  </cols>
  <sheetData>
    <row r="1" spans="1:45" s="55" customFormat="1" ht="15.8" customHeight="1" x14ac:dyDescent="0.2">
      <c r="A1" s="596" t="s">
        <v>0</v>
      </c>
      <c r="B1" s="605" t="s">
        <v>1</v>
      </c>
      <c r="C1" s="392" t="s">
        <v>2651</v>
      </c>
      <c r="D1" s="590" t="s">
        <v>2</v>
      </c>
      <c r="E1" s="580" t="s">
        <v>3</v>
      </c>
      <c r="F1" s="580" t="s">
        <v>4</v>
      </c>
      <c r="G1" s="585" t="s">
        <v>5</v>
      </c>
      <c r="H1" s="580" t="s">
        <v>6</v>
      </c>
      <c r="I1" s="580" t="s">
        <v>7</v>
      </c>
      <c r="J1" s="582" t="s">
        <v>8</v>
      </c>
      <c r="K1"/>
      <c r="L1"/>
      <c r="M1"/>
      <c r="N1"/>
      <c r="O1"/>
      <c r="P1"/>
      <c r="Q1"/>
      <c r="R1"/>
      <c r="S1"/>
      <c r="T1"/>
      <c r="U1" s="54" t="s">
        <v>888</v>
      </c>
      <c r="V1" s="54" t="s">
        <v>2154</v>
      </c>
      <c r="W1" s="54" t="s">
        <v>656</v>
      </c>
      <c r="X1" s="54" t="s">
        <v>334</v>
      </c>
      <c r="Y1" s="54" t="s">
        <v>2155</v>
      </c>
      <c r="Z1" s="54" t="s">
        <v>11</v>
      </c>
      <c r="AA1" s="54" t="s">
        <v>147</v>
      </c>
      <c r="AB1" s="54" t="s">
        <v>52</v>
      </c>
      <c r="AC1" s="54" t="s">
        <v>481</v>
      </c>
      <c r="AD1" s="54" t="s">
        <v>397</v>
      </c>
      <c r="AE1" s="54" t="s">
        <v>324</v>
      </c>
      <c r="AF1" s="54" t="s">
        <v>121</v>
      </c>
      <c r="AG1" s="54" t="s">
        <v>146</v>
      </c>
      <c r="AH1" s="54" t="s">
        <v>152</v>
      </c>
      <c r="AI1" s="54" t="s">
        <v>561</v>
      </c>
      <c r="AJ1" s="54" t="s">
        <v>36</v>
      </c>
      <c r="AK1" s="54" t="s">
        <v>137</v>
      </c>
      <c r="AL1" s="54" t="s">
        <v>312</v>
      </c>
      <c r="AM1" s="54" t="s">
        <v>2156</v>
      </c>
      <c r="AN1" s="54" t="s">
        <v>2157</v>
      </c>
      <c r="AO1" s="54" t="s">
        <v>163</v>
      </c>
      <c r="AP1" s="54" t="s">
        <v>188</v>
      </c>
      <c r="AQ1" s="54" t="s">
        <v>964</v>
      </c>
      <c r="AR1" s="54" t="s">
        <v>18</v>
      </c>
      <c r="AS1" s="54" t="s">
        <v>24</v>
      </c>
    </row>
    <row r="2" spans="1:45" s="57" customFormat="1" ht="28.05" customHeight="1" x14ac:dyDescent="0.2">
      <c r="A2" s="597"/>
      <c r="B2" s="606"/>
      <c r="C2" s="396" t="str">
        <f>'DETALLADO X MES 2026'!J2</f>
        <v>INCENDIO FORESTAL</v>
      </c>
      <c r="D2" s="591"/>
      <c r="E2" s="581"/>
      <c r="F2" s="581"/>
      <c r="G2" s="586"/>
      <c r="H2" s="581"/>
      <c r="I2" s="581"/>
      <c r="J2" s="583"/>
      <c r="K2"/>
      <c r="L2"/>
      <c r="M2"/>
      <c r="N2"/>
      <c r="O2"/>
      <c r="P2"/>
      <c r="Q2"/>
      <c r="R2"/>
      <c r="S2"/>
      <c r="T2"/>
      <c r="U2" s="56"/>
      <c r="V2" s="56"/>
      <c r="W2" s="56"/>
      <c r="X2" s="56"/>
      <c r="Y2" s="56"/>
      <c r="Z2" s="56"/>
      <c r="AA2" s="56"/>
      <c r="AB2" s="56"/>
      <c r="AC2" s="56"/>
      <c r="AD2" s="56"/>
      <c r="AE2" s="56"/>
      <c r="AF2" s="56"/>
      <c r="AG2" s="56"/>
      <c r="AH2" s="56"/>
      <c r="AI2" s="56"/>
      <c r="AJ2" s="56"/>
      <c r="AK2" s="56"/>
      <c r="AL2" s="56"/>
      <c r="AM2" s="56"/>
      <c r="AN2" s="56"/>
      <c r="AO2" s="56"/>
      <c r="AP2" s="56"/>
      <c r="AQ2" s="56"/>
      <c r="AR2" s="56"/>
      <c r="AS2" s="56"/>
    </row>
    <row r="3" spans="1:45" ht="15.8" customHeight="1" x14ac:dyDescent="0.2">
      <c r="A3" s="61" t="s">
        <v>9</v>
      </c>
      <c r="B3" s="3"/>
      <c r="C3" s="151"/>
      <c r="D3" s="4"/>
      <c r="E3" s="3"/>
      <c r="F3" s="3"/>
      <c r="G3" s="5"/>
      <c r="H3" s="3"/>
      <c r="I3" s="3"/>
      <c r="J3" s="72"/>
    </row>
    <row r="4" spans="1:45" ht="15.8" customHeight="1" x14ac:dyDescent="0.2">
      <c r="A4" s="137" t="s">
        <v>10</v>
      </c>
      <c r="B4" s="6" t="s">
        <v>11</v>
      </c>
      <c r="C4" s="592">
        <f>COUNTIF(B4:B38,$C$2)</f>
        <v>6</v>
      </c>
      <c r="D4" s="7">
        <v>44928</v>
      </c>
      <c r="E4" s="6" t="s">
        <v>12</v>
      </c>
      <c r="F4" s="6" t="s">
        <v>13</v>
      </c>
      <c r="G4" s="8" t="s">
        <v>14</v>
      </c>
      <c r="H4" s="6" t="s">
        <v>15</v>
      </c>
      <c r="I4" s="6">
        <v>3</v>
      </c>
      <c r="J4" s="73" t="s">
        <v>16</v>
      </c>
    </row>
    <row r="5" spans="1:45" ht="15.8" customHeight="1" x14ac:dyDescent="0.2">
      <c r="A5" s="138" t="s">
        <v>17</v>
      </c>
      <c r="B5" s="2" t="s">
        <v>24</v>
      </c>
      <c r="C5" s="592"/>
      <c r="D5" s="9">
        <v>44930</v>
      </c>
      <c r="E5" s="2" t="s">
        <v>19</v>
      </c>
      <c r="F5" s="2" t="s">
        <v>20</v>
      </c>
      <c r="G5" s="1" t="s">
        <v>21</v>
      </c>
      <c r="H5" s="2" t="s">
        <v>22</v>
      </c>
      <c r="I5" s="2">
        <v>1</v>
      </c>
      <c r="J5" s="74" t="s">
        <v>23</v>
      </c>
    </row>
    <row r="6" spans="1:45" ht="15.8" customHeight="1" x14ac:dyDescent="0.2">
      <c r="A6" s="138" t="s">
        <v>17</v>
      </c>
      <c r="B6" s="2" t="s">
        <v>24</v>
      </c>
      <c r="C6" s="592"/>
      <c r="D6" s="9">
        <v>44931</v>
      </c>
      <c r="E6" s="2" t="s">
        <v>25</v>
      </c>
      <c r="F6" s="2" t="s">
        <v>26</v>
      </c>
      <c r="G6" s="1" t="s">
        <v>27</v>
      </c>
      <c r="H6" s="2" t="s">
        <v>28</v>
      </c>
      <c r="I6" s="2">
        <v>1</v>
      </c>
      <c r="J6" s="74" t="s">
        <v>10</v>
      </c>
    </row>
    <row r="7" spans="1:45" ht="15.8" customHeight="1" x14ac:dyDescent="0.2">
      <c r="A7" s="138" t="s">
        <v>10</v>
      </c>
      <c r="B7" s="2" t="s">
        <v>29</v>
      </c>
      <c r="C7" s="592"/>
      <c r="D7" s="9">
        <v>44932</v>
      </c>
      <c r="E7" s="2" t="s">
        <v>30</v>
      </c>
      <c r="F7" s="2" t="s">
        <v>31</v>
      </c>
      <c r="G7" s="1" t="s">
        <v>32</v>
      </c>
      <c r="H7" s="2" t="s">
        <v>33</v>
      </c>
      <c r="I7" s="2">
        <v>3</v>
      </c>
      <c r="J7" s="74" t="s">
        <v>34</v>
      </c>
    </row>
    <row r="8" spans="1:45" ht="15.8" customHeight="1" x14ac:dyDescent="0.2">
      <c r="A8" s="138" t="s">
        <v>35</v>
      </c>
      <c r="B8" s="2" t="s">
        <v>2164</v>
      </c>
      <c r="C8" s="592"/>
      <c r="D8" s="9">
        <v>44941</v>
      </c>
      <c r="E8" s="2" t="s">
        <v>37</v>
      </c>
      <c r="F8" s="2" t="s">
        <v>38</v>
      </c>
      <c r="G8" s="1" t="s">
        <v>39</v>
      </c>
      <c r="H8" s="2" t="s">
        <v>40</v>
      </c>
      <c r="I8" s="2">
        <v>8</v>
      </c>
      <c r="J8" s="74" t="s">
        <v>41</v>
      </c>
    </row>
    <row r="9" spans="1:45" ht="15.8" customHeight="1" x14ac:dyDescent="0.2">
      <c r="A9" s="138" t="s">
        <v>17</v>
      </c>
      <c r="B9" s="2" t="s">
        <v>24</v>
      </c>
      <c r="C9" s="592"/>
      <c r="D9" s="9">
        <v>44942</v>
      </c>
      <c r="E9" s="2" t="s">
        <v>42</v>
      </c>
      <c r="F9" s="2" t="s">
        <v>43</v>
      </c>
      <c r="G9" s="1" t="s">
        <v>27</v>
      </c>
      <c r="H9" s="2" t="s">
        <v>44</v>
      </c>
      <c r="I9" s="2">
        <v>1</v>
      </c>
      <c r="J9" s="74" t="s">
        <v>10</v>
      </c>
    </row>
    <row r="10" spans="1:45" ht="12.9" x14ac:dyDescent="0.2">
      <c r="A10" s="138" t="s">
        <v>268</v>
      </c>
      <c r="B10" s="2" t="s">
        <v>29</v>
      </c>
      <c r="C10" s="592"/>
      <c r="D10" s="17" t="s">
        <v>2143</v>
      </c>
      <c r="E10" s="2" t="s">
        <v>118</v>
      </c>
      <c r="F10" s="2" t="s">
        <v>269</v>
      </c>
      <c r="G10" s="1" t="s">
        <v>21</v>
      </c>
      <c r="H10" s="2" t="s">
        <v>270</v>
      </c>
      <c r="I10" s="2">
        <v>2</v>
      </c>
      <c r="J10" s="74" t="s">
        <v>50</v>
      </c>
    </row>
    <row r="11" spans="1:45" ht="12.9" x14ac:dyDescent="0.2">
      <c r="A11" s="138" t="s">
        <v>10</v>
      </c>
      <c r="B11" s="2" t="s">
        <v>29</v>
      </c>
      <c r="C11" s="592"/>
      <c r="D11" s="9">
        <v>44945</v>
      </c>
      <c r="E11" s="2" t="s">
        <v>271</v>
      </c>
      <c r="F11" s="2" t="s">
        <v>272</v>
      </c>
      <c r="G11" s="1" t="s">
        <v>273</v>
      </c>
      <c r="H11" s="2" t="s">
        <v>210</v>
      </c>
      <c r="I11" s="2">
        <v>3</v>
      </c>
      <c r="J11" s="74" t="s">
        <v>50</v>
      </c>
    </row>
    <row r="12" spans="1:45" ht="15.8" customHeight="1" x14ac:dyDescent="0.2">
      <c r="A12" s="138" t="s">
        <v>17</v>
      </c>
      <c r="B12" s="2" t="s">
        <v>24</v>
      </c>
      <c r="C12" s="592"/>
      <c r="D12" s="9">
        <v>44945</v>
      </c>
      <c r="E12" s="2" t="s">
        <v>45</v>
      </c>
      <c r="F12" s="2" t="s">
        <v>46</v>
      </c>
      <c r="G12" s="1"/>
      <c r="H12" s="2" t="s">
        <v>47</v>
      </c>
      <c r="I12" s="2">
        <v>1</v>
      </c>
      <c r="J12" s="74" t="s">
        <v>23</v>
      </c>
    </row>
    <row r="13" spans="1:45" ht="15.8" customHeight="1" x14ac:dyDescent="0.2">
      <c r="A13" s="138" t="s">
        <v>17</v>
      </c>
      <c r="B13" s="2" t="s">
        <v>24</v>
      </c>
      <c r="C13" s="592"/>
      <c r="D13" s="9">
        <v>44946</v>
      </c>
      <c r="E13" s="2" t="s">
        <v>48</v>
      </c>
      <c r="F13" s="2" t="s">
        <v>46</v>
      </c>
      <c r="G13" s="1"/>
      <c r="H13" s="2" t="s">
        <v>49</v>
      </c>
      <c r="I13" s="2">
        <v>1</v>
      </c>
      <c r="J13" s="74" t="s">
        <v>50</v>
      </c>
    </row>
    <row r="14" spans="1:45" ht="15.8" customHeight="1" x14ac:dyDescent="0.2">
      <c r="A14" s="138" t="s">
        <v>51</v>
      </c>
      <c r="B14" s="2" t="s">
        <v>52</v>
      </c>
      <c r="C14" s="592"/>
      <c r="D14" s="9">
        <v>44946</v>
      </c>
      <c r="E14" s="2" t="s">
        <v>45</v>
      </c>
      <c r="F14" s="2" t="s">
        <v>53</v>
      </c>
      <c r="G14" s="1" t="s">
        <v>54</v>
      </c>
      <c r="H14" s="2" t="s">
        <v>55</v>
      </c>
      <c r="I14" s="2">
        <v>6</v>
      </c>
      <c r="J14" s="74" t="s">
        <v>56</v>
      </c>
    </row>
    <row r="15" spans="1:45" ht="12.9" x14ac:dyDescent="0.2">
      <c r="A15" s="138" t="s">
        <v>10</v>
      </c>
      <c r="B15" s="2" t="s">
        <v>29</v>
      </c>
      <c r="C15" s="592"/>
      <c r="D15" s="9">
        <v>44946</v>
      </c>
      <c r="E15" s="2" t="s">
        <v>271</v>
      </c>
      <c r="F15" s="2" t="s">
        <v>278</v>
      </c>
      <c r="G15" s="1" t="s">
        <v>76</v>
      </c>
      <c r="H15" s="2" t="s">
        <v>279</v>
      </c>
      <c r="I15" s="2">
        <v>3</v>
      </c>
      <c r="J15" s="74" t="s">
        <v>50</v>
      </c>
    </row>
    <row r="16" spans="1:45" ht="15.8" customHeight="1" x14ac:dyDescent="0.2">
      <c r="A16" s="138" t="s">
        <v>51</v>
      </c>
      <c r="B16" s="2" t="s">
        <v>52</v>
      </c>
      <c r="C16" s="592"/>
      <c r="D16" s="9">
        <v>44947</v>
      </c>
      <c r="E16" s="2" t="s">
        <v>57</v>
      </c>
      <c r="F16" s="2" t="s">
        <v>58</v>
      </c>
      <c r="G16" s="1"/>
      <c r="H16" s="2" t="s">
        <v>59</v>
      </c>
      <c r="I16" s="2">
        <v>7</v>
      </c>
      <c r="J16" s="74" t="s">
        <v>60</v>
      </c>
    </row>
    <row r="17" spans="1:10" ht="15.8" customHeight="1" x14ac:dyDescent="0.2">
      <c r="A17" s="138" t="s">
        <v>10</v>
      </c>
      <c r="B17" s="2" t="s">
        <v>2161</v>
      </c>
      <c r="C17" s="592"/>
      <c r="D17" s="9">
        <v>44948</v>
      </c>
      <c r="E17" s="2" t="s">
        <v>61</v>
      </c>
      <c r="F17" s="2" t="s">
        <v>62</v>
      </c>
      <c r="G17" s="1" t="s">
        <v>62</v>
      </c>
      <c r="H17" s="2" t="s">
        <v>63</v>
      </c>
      <c r="I17" s="2">
        <v>3</v>
      </c>
      <c r="J17" s="74" t="s">
        <v>50</v>
      </c>
    </row>
    <row r="18" spans="1:10" ht="15.8" customHeight="1" x14ac:dyDescent="0.2">
      <c r="A18" s="138" t="s">
        <v>10</v>
      </c>
      <c r="B18" s="2" t="s">
        <v>64</v>
      </c>
      <c r="C18" s="592"/>
      <c r="D18" s="9">
        <v>44949</v>
      </c>
      <c r="E18" s="2" t="s">
        <v>65</v>
      </c>
      <c r="F18" s="2" t="s">
        <v>66</v>
      </c>
      <c r="G18" s="1" t="s">
        <v>67</v>
      </c>
      <c r="H18" s="2" t="s">
        <v>68</v>
      </c>
      <c r="I18" s="2">
        <v>3</v>
      </c>
      <c r="J18" s="74" t="s">
        <v>16</v>
      </c>
    </row>
    <row r="19" spans="1:10" ht="15.8" customHeight="1" x14ac:dyDescent="0.2">
      <c r="A19" s="138" t="s">
        <v>10</v>
      </c>
      <c r="B19" s="2" t="s">
        <v>29</v>
      </c>
      <c r="C19" s="592"/>
      <c r="D19" s="9">
        <v>44949</v>
      </c>
      <c r="E19" s="2" t="s">
        <v>69</v>
      </c>
      <c r="F19" s="2" t="s">
        <v>70</v>
      </c>
      <c r="G19" s="1" t="s">
        <v>70</v>
      </c>
      <c r="H19" s="2" t="s">
        <v>71</v>
      </c>
      <c r="I19" s="2">
        <v>2</v>
      </c>
      <c r="J19" s="74" t="s">
        <v>50</v>
      </c>
    </row>
    <row r="20" spans="1:10" ht="15.8" customHeight="1" x14ac:dyDescent="0.2">
      <c r="A20" s="138" t="s">
        <v>17</v>
      </c>
      <c r="B20" s="2" t="s">
        <v>24</v>
      </c>
      <c r="C20" s="592"/>
      <c r="D20" s="9">
        <v>44950</v>
      </c>
      <c r="E20" s="2" t="s">
        <v>72</v>
      </c>
      <c r="F20" s="2" t="s">
        <v>46</v>
      </c>
      <c r="G20" s="1"/>
      <c r="H20" s="2" t="s">
        <v>73</v>
      </c>
      <c r="I20" s="2">
        <v>1</v>
      </c>
      <c r="J20" s="74" t="s">
        <v>10</v>
      </c>
    </row>
    <row r="21" spans="1:10" ht="15.8" customHeight="1" x14ac:dyDescent="0.2">
      <c r="A21" s="138" t="s">
        <v>17</v>
      </c>
      <c r="B21" s="2" t="s">
        <v>24</v>
      </c>
      <c r="C21" s="592"/>
      <c r="D21" s="9">
        <v>44950</v>
      </c>
      <c r="E21" s="2" t="s">
        <v>74</v>
      </c>
      <c r="F21" s="2" t="s">
        <v>75</v>
      </c>
      <c r="G21" s="1" t="s">
        <v>76</v>
      </c>
      <c r="H21" s="2" t="s">
        <v>77</v>
      </c>
      <c r="I21" s="2">
        <v>1</v>
      </c>
      <c r="J21" s="74" t="s">
        <v>78</v>
      </c>
    </row>
    <row r="22" spans="1:10" ht="15.8" customHeight="1" x14ac:dyDescent="0.2">
      <c r="A22" s="138" t="s">
        <v>17</v>
      </c>
      <c r="B22" s="2" t="s">
        <v>24</v>
      </c>
      <c r="C22" s="592"/>
      <c r="D22" s="9">
        <v>44950</v>
      </c>
      <c r="E22" s="2" t="s">
        <v>57</v>
      </c>
      <c r="F22" s="2" t="s">
        <v>79</v>
      </c>
      <c r="G22" s="1" t="s">
        <v>76</v>
      </c>
      <c r="H22" s="2" t="s">
        <v>80</v>
      </c>
      <c r="I22" s="2">
        <v>1</v>
      </c>
      <c r="J22" s="74" t="s">
        <v>78</v>
      </c>
    </row>
    <row r="23" spans="1:10" ht="15.8" customHeight="1" x14ac:dyDescent="0.2">
      <c r="A23" s="138" t="s">
        <v>17</v>
      </c>
      <c r="B23" s="2" t="s">
        <v>24</v>
      </c>
      <c r="C23" s="592"/>
      <c r="D23" s="9">
        <v>44950</v>
      </c>
      <c r="E23" s="2" t="s">
        <v>81</v>
      </c>
      <c r="F23" s="2" t="s">
        <v>82</v>
      </c>
      <c r="G23" s="1" t="s">
        <v>76</v>
      </c>
      <c r="H23" s="2" t="s">
        <v>83</v>
      </c>
      <c r="I23" s="2">
        <v>1</v>
      </c>
      <c r="J23" s="74" t="s">
        <v>78</v>
      </c>
    </row>
    <row r="24" spans="1:10" ht="15.8" customHeight="1" x14ac:dyDescent="0.2">
      <c r="A24" s="138" t="s">
        <v>17</v>
      </c>
      <c r="B24" s="2" t="s">
        <v>24</v>
      </c>
      <c r="C24" s="592"/>
      <c r="D24" s="9">
        <v>44951</v>
      </c>
      <c r="E24" s="2" t="s">
        <v>57</v>
      </c>
      <c r="F24" s="2" t="s">
        <v>84</v>
      </c>
      <c r="G24" s="1" t="s">
        <v>85</v>
      </c>
      <c r="H24" s="2" t="s">
        <v>86</v>
      </c>
      <c r="I24" s="2">
        <v>1</v>
      </c>
      <c r="J24" s="74" t="s">
        <v>10</v>
      </c>
    </row>
    <row r="25" spans="1:10" ht="15.8" customHeight="1" x14ac:dyDescent="0.2">
      <c r="A25" s="138" t="s">
        <v>17</v>
      </c>
      <c r="B25" s="2" t="s">
        <v>24</v>
      </c>
      <c r="C25" s="592"/>
      <c r="D25" s="9">
        <v>44951</v>
      </c>
      <c r="E25" s="2" t="s">
        <v>87</v>
      </c>
      <c r="F25" s="2" t="s">
        <v>88</v>
      </c>
      <c r="G25" s="1" t="s">
        <v>85</v>
      </c>
      <c r="H25" s="2" t="s">
        <v>89</v>
      </c>
      <c r="I25" s="2">
        <v>1</v>
      </c>
      <c r="J25" s="74" t="s">
        <v>10</v>
      </c>
    </row>
    <row r="26" spans="1:10" ht="15.8" customHeight="1" x14ac:dyDescent="0.2">
      <c r="A26" s="138" t="s">
        <v>17</v>
      </c>
      <c r="B26" s="2" t="s">
        <v>24</v>
      </c>
      <c r="C26" s="592"/>
      <c r="D26" s="9">
        <v>44951</v>
      </c>
      <c r="E26" s="2" t="s">
        <v>45</v>
      </c>
      <c r="F26" s="2" t="s">
        <v>46</v>
      </c>
      <c r="G26" s="1"/>
      <c r="H26" s="2" t="s">
        <v>90</v>
      </c>
      <c r="I26" s="2">
        <v>1</v>
      </c>
      <c r="J26" s="74" t="s">
        <v>78</v>
      </c>
    </row>
    <row r="27" spans="1:10" ht="15.8" customHeight="1" x14ac:dyDescent="0.2">
      <c r="A27" s="138" t="s">
        <v>51</v>
      </c>
      <c r="B27" s="2" t="s">
        <v>52</v>
      </c>
      <c r="C27" s="592"/>
      <c r="D27" s="9">
        <v>44953</v>
      </c>
      <c r="E27" s="2" t="s">
        <v>91</v>
      </c>
      <c r="F27" s="2" t="s">
        <v>92</v>
      </c>
      <c r="G27" s="1"/>
      <c r="H27" s="2" t="s">
        <v>93</v>
      </c>
      <c r="I27" s="2">
        <v>4</v>
      </c>
      <c r="J27" s="74" t="s">
        <v>16</v>
      </c>
    </row>
    <row r="28" spans="1:10" ht="15.8" customHeight="1" x14ac:dyDescent="0.2">
      <c r="A28" s="138" t="s">
        <v>17</v>
      </c>
      <c r="B28" s="2" t="s">
        <v>24</v>
      </c>
      <c r="C28" s="592"/>
      <c r="D28" s="9">
        <v>44953</v>
      </c>
      <c r="E28" s="2" t="s">
        <v>94</v>
      </c>
      <c r="F28" s="2" t="s">
        <v>95</v>
      </c>
      <c r="G28" s="1" t="s">
        <v>95</v>
      </c>
      <c r="H28" s="2" t="s">
        <v>28</v>
      </c>
      <c r="I28" s="2">
        <v>1</v>
      </c>
      <c r="J28" s="74" t="s">
        <v>78</v>
      </c>
    </row>
    <row r="29" spans="1:10" ht="15.8" customHeight="1" x14ac:dyDescent="0.2">
      <c r="A29" s="138" t="s">
        <v>35</v>
      </c>
      <c r="B29" s="2" t="s">
        <v>2164</v>
      </c>
      <c r="C29" s="592"/>
      <c r="D29" s="9">
        <v>44954</v>
      </c>
      <c r="E29" s="2" t="s">
        <v>91</v>
      </c>
      <c r="F29" s="2" t="s">
        <v>96</v>
      </c>
      <c r="G29" s="1" t="s">
        <v>97</v>
      </c>
      <c r="H29" s="2" t="s">
        <v>98</v>
      </c>
      <c r="I29" s="2">
        <v>7</v>
      </c>
      <c r="J29" s="74" t="s">
        <v>99</v>
      </c>
    </row>
    <row r="30" spans="1:10" ht="15.8" customHeight="1" x14ac:dyDescent="0.2">
      <c r="A30" s="138" t="s">
        <v>51</v>
      </c>
      <c r="B30" s="2" t="s">
        <v>52</v>
      </c>
      <c r="C30" s="592"/>
      <c r="D30" s="9">
        <v>44954</v>
      </c>
      <c r="E30" s="2" t="s">
        <v>72</v>
      </c>
      <c r="F30" s="2" t="s">
        <v>100</v>
      </c>
      <c r="G30" s="1" t="s">
        <v>100</v>
      </c>
      <c r="H30" s="2" t="s">
        <v>101</v>
      </c>
      <c r="I30" s="2">
        <v>9</v>
      </c>
      <c r="J30" s="74" t="s">
        <v>102</v>
      </c>
    </row>
    <row r="31" spans="1:10" ht="12.9" x14ac:dyDescent="0.2">
      <c r="A31" s="138" t="s">
        <v>51</v>
      </c>
      <c r="B31" s="2" t="s">
        <v>52</v>
      </c>
      <c r="C31" s="592"/>
      <c r="D31" s="9">
        <v>44954</v>
      </c>
      <c r="E31" s="2" t="s">
        <v>57</v>
      </c>
      <c r="F31" s="2" t="s">
        <v>100</v>
      </c>
      <c r="G31" s="1" t="s">
        <v>100</v>
      </c>
      <c r="H31" s="2" t="s">
        <v>103</v>
      </c>
      <c r="I31" s="2">
        <v>4</v>
      </c>
      <c r="J31" s="74" t="s">
        <v>16</v>
      </c>
    </row>
    <row r="32" spans="1:10" ht="12.9" x14ac:dyDescent="0.2">
      <c r="A32" s="138" t="s">
        <v>51</v>
      </c>
      <c r="B32" s="2" t="s">
        <v>52</v>
      </c>
      <c r="C32" s="592"/>
      <c r="D32" s="9">
        <v>44954</v>
      </c>
      <c r="E32" s="2" t="s">
        <v>104</v>
      </c>
      <c r="F32" s="2" t="s">
        <v>105</v>
      </c>
      <c r="G32" s="1" t="s">
        <v>106</v>
      </c>
      <c r="H32" s="2" t="s">
        <v>107</v>
      </c>
      <c r="I32" s="2">
        <v>4</v>
      </c>
      <c r="J32" s="74" t="s">
        <v>16</v>
      </c>
    </row>
    <row r="33" spans="1:10" ht="12.9" x14ac:dyDescent="0.2">
      <c r="A33" s="138" t="s">
        <v>10</v>
      </c>
      <c r="B33" s="2" t="s">
        <v>64</v>
      </c>
      <c r="C33" s="592"/>
      <c r="D33" s="9">
        <v>44955</v>
      </c>
      <c r="E33" s="2" t="s">
        <v>108</v>
      </c>
      <c r="F33" s="2" t="s">
        <v>109</v>
      </c>
      <c r="G33" s="1" t="s">
        <v>110</v>
      </c>
      <c r="H33" s="2" t="s">
        <v>111</v>
      </c>
      <c r="I33" s="2">
        <v>2</v>
      </c>
      <c r="J33" s="74" t="s">
        <v>34</v>
      </c>
    </row>
    <row r="34" spans="1:10" ht="12.9" x14ac:dyDescent="0.2">
      <c r="A34" s="138" t="s">
        <v>10</v>
      </c>
      <c r="B34" s="2" t="s">
        <v>11</v>
      </c>
      <c r="C34" s="592"/>
      <c r="D34" s="9">
        <v>44956</v>
      </c>
      <c r="E34" s="2" t="s">
        <v>112</v>
      </c>
      <c r="F34" s="2" t="s">
        <v>113</v>
      </c>
      <c r="G34" s="1" t="s">
        <v>95</v>
      </c>
      <c r="H34" s="2" t="s">
        <v>114</v>
      </c>
      <c r="I34" s="2">
        <v>4</v>
      </c>
      <c r="J34" s="74" t="s">
        <v>16</v>
      </c>
    </row>
    <row r="35" spans="1:10" ht="12.9" x14ac:dyDescent="0.2">
      <c r="A35" s="138" t="s">
        <v>10</v>
      </c>
      <c r="B35" s="2" t="s">
        <v>29</v>
      </c>
      <c r="C35" s="592"/>
      <c r="D35" s="9">
        <v>44956</v>
      </c>
      <c r="E35" s="2" t="s">
        <v>72</v>
      </c>
      <c r="F35" s="2" t="s">
        <v>115</v>
      </c>
      <c r="G35" s="1" t="s">
        <v>116</v>
      </c>
      <c r="H35" s="2" t="s">
        <v>117</v>
      </c>
      <c r="I35" s="2">
        <v>3</v>
      </c>
      <c r="J35" s="74" t="s">
        <v>50</v>
      </c>
    </row>
    <row r="36" spans="1:10" ht="12.9" x14ac:dyDescent="0.2">
      <c r="A36" s="138" t="s">
        <v>10</v>
      </c>
      <c r="B36" s="2" t="s">
        <v>29</v>
      </c>
      <c r="C36" s="592"/>
      <c r="D36" s="9">
        <v>44956</v>
      </c>
      <c r="E36" s="2" t="s">
        <v>118</v>
      </c>
      <c r="F36" s="2" t="s">
        <v>119</v>
      </c>
      <c r="G36" s="1" t="s">
        <v>85</v>
      </c>
      <c r="H36" s="2" t="s">
        <v>120</v>
      </c>
      <c r="I36" s="2">
        <v>3</v>
      </c>
      <c r="J36" s="74" t="s">
        <v>50</v>
      </c>
    </row>
    <row r="37" spans="1:10" ht="12.9" x14ac:dyDescent="0.2">
      <c r="A37" s="138" t="s">
        <v>10</v>
      </c>
      <c r="B37" s="2" t="s">
        <v>2162</v>
      </c>
      <c r="C37" s="592"/>
      <c r="D37" s="9">
        <v>44937</v>
      </c>
      <c r="E37" s="2" t="s">
        <v>122</v>
      </c>
      <c r="F37" s="2" t="s">
        <v>123</v>
      </c>
      <c r="G37" s="1" t="s">
        <v>124</v>
      </c>
      <c r="H37" s="2" t="s">
        <v>125</v>
      </c>
      <c r="I37" s="2">
        <v>4</v>
      </c>
      <c r="J37" s="74" t="s">
        <v>50</v>
      </c>
    </row>
    <row r="38" spans="1:10" ht="12.9" x14ac:dyDescent="0.2">
      <c r="A38" s="138" t="s">
        <v>10</v>
      </c>
      <c r="B38" s="2" t="s">
        <v>2162</v>
      </c>
      <c r="C38" s="592"/>
      <c r="D38" s="9">
        <v>44937</v>
      </c>
      <c r="E38" s="2" t="s">
        <v>126</v>
      </c>
      <c r="F38" s="2" t="s">
        <v>127</v>
      </c>
      <c r="G38" s="1" t="s">
        <v>128</v>
      </c>
      <c r="H38" s="2" t="s">
        <v>129</v>
      </c>
      <c r="I38" s="2">
        <v>4</v>
      </c>
      <c r="J38" s="74" t="s">
        <v>50</v>
      </c>
    </row>
    <row r="39" spans="1:10" ht="13.6" x14ac:dyDescent="0.2">
      <c r="A39" s="62" t="s">
        <v>130</v>
      </c>
      <c r="B39" s="10"/>
      <c r="C39" s="85"/>
      <c r="D39" s="11"/>
      <c r="E39" s="10"/>
      <c r="F39" s="10"/>
      <c r="G39" s="12"/>
      <c r="H39" s="10"/>
      <c r="I39" s="10"/>
      <c r="J39" s="75"/>
    </row>
    <row r="40" spans="1:10" ht="12.9" x14ac:dyDescent="0.2">
      <c r="A40" s="138" t="s">
        <v>17</v>
      </c>
      <c r="B40" s="2" t="s">
        <v>24</v>
      </c>
      <c r="C40" s="592">
        <f>COUNTIF(B40:B99,$C$2)</f>
        <v>4</v>
      </c>
      <c r="D40" s="9">
        <v>44958</v>
      </c>
      <c r="E40" s="2" t="s">
        <v>131</v>
      </c>
      <c r="F40" s="2" t="s">
        <v>132</v>
      </c>
      <c r="G40" s="1" t="s">
        <v>110</v>
      </c>
      <c r="H40" s="2" t="s">
        <v>28</v>
      </c>
      <c r="I40" s="2">
        <v>1</v>
      </c>
      <c r="J40" s="74" t="s">
        <v>78</v>
      </c>
    </row>
    <row r="41" spans="1:10" ht="12.9" x14ac:dyDescent="0.2">
      <c r="A41" s="138" t="s">
        <v>10</v>
      </c>
      <c r="B41" s="2" t="s">
        <v>29</v>
      </c>
      <c r="C41" s="592"/>
      <c r="D41" s="9">
        <v>44959</v>
      </c>
      <c r="E41" s="2" t="s">
        <v>133</v>
      </c>
      <c r="F41" s="2" t="s">
        <v>134</v>
      </c>
      <c r="G41" s="1" t="s">
        <v>135</v>
      </c>
      <c r="H41" s="2" t="s">
        <v>136</v>
      </c>
      <c r="I41" s="2">
        <v>5</v>
      </c>
      <c r="J41" s="74" t="s">
        <v>50</v>
      </c>
    </row>
    <row r="42" spans="1:10" ht="12.9" x14ac:dyDescent="0.2">
      <c r="A42" s="139" t="s">
        <v>35</v>
      </c>
      <c r="B42" s="1" t="s">
        <v>137</v>
      </c>
      <c r="C42" s="592"/>
      <c r="D42" s="9">
        <v>44987</v>
      </c>
      <c r="E42" s="1" t="s">
        <v>138</v>
      </c>
      <c r="F42" s="1" t="s">
        <v>139</v>
      </c>
      <c r="G42" s="1" t="s">
        <v>139</v>
      </c>
      <c r="H42" s="1" t="s">
        <v>140</v>
      </c>
      <c r="I42" s="1">
        <v>3</v>
      </c>
      <c r="J42" s="74" t="s">
        <v>50</v>
      </c>
    </row>
    <row r="43" spans="1:10" ht="12.9" x14ac:dyDescent="0.2">
      <c r="A43" s="138" t="s">
        <v>10</v>
      </c>
      <c r="B43" s="2" t="s">
        <v>152</v>
      </c>
      <c r="C43" s="592"/>
      <c r="D43" s="9">
        <v>44960</v>
      </c>
      <c r="E43" s="2" t="s">
        <v>141</v>
      </c>
      <c r="F43" s="2" t="s">
        <v>142</v>
      </c>
      <c r="G43" s="1" t="s">
        <v>142</v>
      </c>
      <c r="H43" s="2" t="s">
        <v>143</v>
      </c>
      <c r="I43" s="2">
        <v>2</v>
      </c>
      <c r="J43" s="74" t="s">
        <v>50</v>
      </c>
    </row>
    <row r="44" spans="1:10" ht="12.9" x14ac:dyDescent="0.2">
      <c r="A44" s="138" t="s">
        <v>17</v>
      </c>
      <c r="B44" s="2" t="s">
        <v>24</v>
      </c>
      <c r="C44" s="592"/>
      <c r="D44" s="9">
        <v>44960</v>
      </c>
      <c r="E44" s="2" t="s">
        <v>57</v>
      </c>
      <c r="F44" s="2" t="s">
        <v>144</v>
      </c>
      <c r="G44" s="1" t="s">
        <v>27</v>
      </c>
      <c r="H44" s="2" t="s">
        <v>145</v>
      </c>
      <c r="I44" s="2">
        <v>1</v>
      </c>
      <c r="J44" s="74" t="s">
        <v>23</v>
      </c>
    </row>
    <row r="45" spans="1:10" ht="12.9" x14ac:dyDescent="0.2">
      <c r="A45" s="138" t="s">
        <v>146</v>
      </c>
      <c r="B45" s="2" t="s">
        <v>147</v>
      </c>
      <c r="C45" s="592"/>
      <c r="D45" s="9">
        <v>44960</v>
      </c>
      <c r="E45" s="2" t="s">
        <v>148</v>
      </c>
      <c r="F45" s="2" t="s">
        <v>149</v>
      </c>
      <c r="G45" s="1" t="s">
        <v>150</v>
      </c>
      <c r="H45" s="2" t="s">
        <v>147</v>
      </c>
      <c r="I45" s="2">
        <v>4</v>
      </c>
      <c r="J45" s="74" t="s">
        <v>16</v>
      </c>
    </row>
    <row r="46" spans="1:10" ht="12.9" x14ac:dyDescent="0.2">
      <c r="A46" s="138" t="s">
        <v>10</v>
      </c>
      <c r="B46" s="2" t="s">
        <v>29</v>
      </c>
      <c r="C46" s="592"/>
      <c r="D46" s="9">
        <v>44962</v>
      </c>
      <c r="E46" s="2">
        <v>1</v>
      </c>
      <c r="F46" s="2" t="s">
        <v>151</v>
      </c>
      <c r="G46" s="1"/>
      <c r="H46" s="2" t="s">
        <v>29</v>
      </c>
      <c r="I46" s="2">
        <v>3</v>
      </c>
      <c r="J46" s="74" t="s">
        <v>50</v>
      </c>
    </row>
    <row r="47" spans="1:10" ht="12.9" x14ac:dyDescent="0.2">
      <c r="A47" s="138" t="s">
        <v>10</v>
      </c>
      <c r="B47" s="2" t="s">
        <v>152</v>
      </c>
      <c r="C47" s="592"/>
      <c r="D47" s="9">
        <v>44963</v>
      </c>
      <c r="E47" s="2" t="s">
        <v>153</v>
      </c>
      <c r="F47" s="2" t="s">
        <v>154</v>
      </c>
      <c r="G47" s="1" t="s">
        <v>70</v>
      </c>
      <c r="H47" s="2" t="s">
        <v>155</v>
      </c>
      <c r="I47" s="2">
        <v>4</v>
      </c>
      <c r="J47" s="74" t="s">
        <v>50</v>
      </c>
    </row>
    <row r="48" spans="1:10" ht="12.9" x14ac:dyDescent="0.2">
      <c r="A48" s="138" t="s">
        <v>35</v>
      </c>
      <c r="B48" s="2" t="s">
        <v>137</v>
      </c>
      <c r="C48" s="592"/>
      <c r="D48" s="9">
        <v>44963</v>
      </c>
      <c r="E48" s="2" t="s">
        <v>94</v>
      </c>
      <c r="F48" s="2" t="s">
        <v>156</v>
      </c>
      <c r="G48" s="1" t="s">
        <v>157</v>
      </c>
      <c r="H48" s="2" t="s">
        <v>158</v>
      </c>
      <c r="I48" s="2">
        <v>3</v>
      </c>
      <c r="J48" s="74" t="s">
        <v>16</v>
      </c>
    </row>
    <row r="49" spans="1:10" ht="12.9" x14ac:dyDescent="0.2">
      <c r="A49" s="138" t="s">
        <v>159</v>
      </c>
      <c r="B49" s="2" t="s">
        <v>2164</v>
      </c>
      <c r="C49" s="592"/>
      <c r="D49" s="9">
        <v>44963</v>
      </c>
      <c r="E49" s="2" t="s">
        <v>160</v>
      </c>
      <c r="F49" s="2" t="s">
        <v>161</v>
      </c>
      <c r="G49" s="1" t="s">
        <v>139</v>
      </c>
      <c r="H49" s="2" t="s">
        <v>162</v>
      </c>
      <c r="I49" s="2">
        <v>7</v>
      </c>
      <c r="J49" s="74" t="s">
        <v>99</v>
      </c>
    </row>
    <row r="50" spans="1:10" ht="12.9" x14ac:dyDescent="0.2">
      <c r="A50" s="138" t="s">
        <v>10</v>
      </c>
      <c r="B50" s="2" t="s">
        <v>163</v>
      </c>
      <c r="C50" s="592"/>
      <c r="D50" s="9">
        <v>44963</v>
      </c>
      <c r="E50" s="2" t="s">
        <v>164</v>
      </c>
      <c r="F50" s="2" t="s">
        <v>165</v>
      </c>
      <c r="G50" s="1"/>
      <c r="H50" s="2" t="s">
        <v>166</v>
      </c>
      <c r="I50" s="2">
        <v>39</v>
      </c>
      <c r="J50" s="74" t="s">
        <v>167</v>
      </c>
    </row>
    <row r="51" spans="1:10" ht="12.9" x14ac:dyDescent="0.2">
      <c r="A51" s="139" t="s">
        <v>51</v>
      </c>
      <c r="B51" s="1" t="s">
        <v>52</v>
      </c>
      <c r="C51" s="592"/>
      <c r="D51" s="9">
        <v>44963</v>
      </c>
      <c r="E51" s="1" t="s">
        <v>168</v>
      </c>
      <c r="F51" s="1" t="s">
        <v>169</v>
      </c>
      <c r="G51" s="1" t="s">
        <v>95</v>
      </c>
      <c r="H51" s="1" t="s">
        <v>170</v>
      </c>
      <c r="I51" s="1">
        <v>4</v>
      </c>
      <c r="J51" s="74" t="s">
        <v>16</v>
      </c>
    </row>
    <row r="52" spans="1:10" ht="12.9" x14ac:dyDescent="0.2">
      <c r="A52" s="138" t="s">
        <v>10</v>
      </c>
      <c r="B52" s="2" t="s">
        <v>2162</v>
      </c>
      <c r="C52" s="592"/>
      <c r="D52" s="9">
        <v>44964</v>
      </c>
      <c r="E52" s="2" t="s">
        <v>171</v>
      </c>
      <c r="F52" s="2" t="s">
        <v>172</v>
      </c>
      <c r="G52" s="1" t="s">
        <v>173</v>
      </c>
      <c r="H52" s="2" t="s">
        <v>174</v>
      </c>
      <c r="I52" s="2">
        <v>3</v>
      </c>
      <c r="J52" s="74" t="s">
        <v>78</v>
      </c>
    </row>
    <row r="53" spans="1:10" ht="25.85" x14ac:dyDescent="0.2">
      <c r="A53" s="138" t="s">
        <v>175</v>
      </c>
      <c r="B53" s="2" t="s">
        <v>24</v>
      </c>
      <c r="C53" s="592"/>
      <c r="D53" s="9">
        <v>44964</v>
      </c>
      <c r="E53" s="2" t="s">
        <v>176</v>
      </c>
      <c r="F53" s="2" t="s">
        <v>177</v>
      </c>
      <c r="G53" s="1" t="s">
        <v>178</v>
      </c>
      <c r="H53" s="2" t="s">
        <v>179</v>
      </c>
      <c r="I53" s="2">
        <v>1</v>
      </c>
      <c r="J53" s="74" t="s">
        <v>78</v>
      </c>
    </row>
    <row r="54" spans="1:10" ht="12.9" x14ac:dyDescent="0.2">
      <c r="A54" s="138" t="s">
        <v>10</v>
      </c>
      <c r="B54" s="2" t="s">
        <v>2162</v>
      </c>
      <c r="C54" s="592"/>
      <c r="D54" s="9">
        <v>44964</v>
      </c>
      <c r="E54" s="2" t="s">
        <v>180</v>
      </c>
      <c r="F54" s="2" t="s">
        <v>181</v>
      </c>
      <c r="G54" s="1" t="s">
        <v>182</v>
      </c>
      <c r="H54" s="2" t="s">
        <v>183</v>
      </c>
      <c r="I54" s="2">
        <v>1</v>
      </c>
      <c r="J54" s="74" t="s">
        <v>23</v>
      </c>
    </row>
    <row r="55" spans="1:10" ht="12.9" x14ac:dyDescent="0.2">
      <c r="A55" s="138" t="s">
        <v>10</v>
      </c>
      <c r="B55" s="2" t="s">
        <v>163</v>
      </c>
      <c r="C55" s="592"/>
      <c r="D55" s="9">
        <v>44964</v>
      </c>
      <c r="E55" s="2" t="s">
        <v>184</v>
      </c>
      <c r="F55" s="2" t="s">
        <v>185</v>
      </c>
      <c r="G55" s="1"/>
      <c r="H55" s="2" t="s">
        <v>166</v>
      </c>
      <c r="I55" s="2">
        <v>39</v>
      </c>
      <c r="J55" s="74" t="s">
        <v>167</v>
      </c>
    </row>
    <row r="56" spans="1:10" ht="25.3" customHeight="1" x14ac:dyDescent="0.2">
      <c r="A56" s="138" t="s">
        <v>17</v>
      </c>
      <c r="B56" s="2" t="s">
        <v>24</v>
      </c>
      <c r="C56" s="592"/>
      <c r="D56" s="9">
        <v>44964</v>
      </c>
      <c r="E56" s="2" t="s">
        <v>94</v>
      </c>
      <c r="F56" s="2" t="s">
        <v>186</v>
      </c>
      <c r="G56" s="1"/>
      <c r="H56" s="2" t="s">
        <v>28</v>
      </c>
      <c r="I56" s="2">
        <v>1</v>
      </c>
      <c r="J56" s="74" t="s">
        <v>23</v>
      </c>
    </row>
    <row r="57" spans="1:10" ht="12.9" x14ac:dyDescent="0.2">
      <c r="A57" s="138" t="s">
        <v>17</v>
      </c>
      <c r="B57" s="2" t="s">
        <v>24</v>
      </c>
      <c r="C57" s="592"/>
      <c r="D57" s="9">
        <v>44964</v>
      </c>
      <c r="E57" s="2" t="s">
        <v>94</v>
      </c>
      <c r="F57" s="2" t="s">
        <v>187</v>
      </c>
      <c r="G57" s="1"/>
      <c r="H57" s="2" t="s">
        <v>28</v>
      </c>
      <c r="I57" s="2">
        <v>1</v>
      </c>
      <c r="J57" s="74" t="s">
        <v>167</v>
      </c>
    </row>
    <row r="58" spans="1:10" ht="12.9" x14ac:dyDescent="0.2">
      <c r="A58" s="138" t="s">
        <v>10</v>
      </c>
      <c r="B58" s="2" t="s">
        <v>188</v>
      </c>
      <c r="C58" s="592"/>
      <c r="D58" s="9">
        <v>44964</v>
      </c>
      <c r="E58" s="2" t="s">
        <v>57</v>
      </c>
      <c r="F58" s="2" t="s">
        <v>189</v>
      </c>
      <c r="G58" s="1" t="s">
        <v>190</v>
      </c>
      <c r="H58" s="2" t="s">
        <v>191</v>
      </c>
      <c r="I58" s="2">
        <v>2</v>
      </c>
      <c r="J58" s="74" t="s">
        <v>192</v>
      </c>
    </row>
    <row r="59" spans="1:10" ht="12.9" x14ac:dyDescent="0.2">
      <c r="A59" s="138" t="s">
        <v>10</v>
      </c>
      <c r="B59" s="2" t="s">
        <v>2162</v>
      </c>
      <c r="C59" s="592"/>
      <c r="D59" s="9">
        <v>44964</v>
      </c>
      <c r="E59" s="2" t="s">
        <v>164</v>
      </c>
      <c r="F59" s="2" t="s">
        <v>193</v>
      </c>
      <c r="G59" s="1"/>
      <c r="H59" s="2" t="s">
        <v>194</v>
      </c>
      <c r="I59" s="2">
        <v>2</v>
      </c>
      <c r="J59" s="74" t="s">
        <v>50</v>
      </c>
    </row>
    <row r="60" spans="1:10" ht="12.9" x14ac:dyDescent="0.2">
      <c r="A60" s="139" t="s">
        <v>17</v>
      </c>
      <c r="B60" s="1" t="s">
        <v>24</v>
      </c>
      <c r="C60" s="592"/>
      <c r="D60" s="9">
        <v>44965</v>
      </c>
      <c r="E60" s="1" t="s">
        <v>195</v>
      </c>
      <c r="F60" s="1" t="s">
        <v>196</v>
      </c>
      <c r="G60" s="1" t="s">
        <v>144</v>
      </c>
      <c r="H60" s="1" t="s">
        <v>197</v>
      </c>
      <c r="I60" s="1">
        <v>1</v>
      </c>
      <c r="J60" s="74" t="s">
        <v>23</v>
      </c>
    </row>
    <row r="61" spans="1:10" ht="12.9" x14ac:dyDescent="0.2">
      <c r="A61" s="139" t="s">
        <v>10</v>
      </c>
      <c r="B61" s="19" t="s">
        <v>2161</v>
      </c>
      <c r="C61" s="592"/>
      <c r="D61" s="9">
        <v>44966</v>
      </c>
      <c r="E61" s="1" t="s">
        <v>131</v>
      </c>
      <c r="F61" s="1" t="s">
        <v>198</v>
      </c>
      <c r="G61" s="1" t="s">
        <v>199</v>
      </c>
      <c r="H61" s="1" t="s">
        <v>200</v>
      </c>
      <c r="I61" s="1">
        <v>2</v>
      </c>
      <c r="J61" s="74" t="s">
        <v>78</v>
      </c>
    </row>
    <row r="62" spans="1:10" ht="12.9" x14ac:dyDescent="0.2">
      <c r="A62" s="139" t="s">
        <v>10</v>
      </c>
      <c r="B62" s="1" t="s">
        <v>2161</v>
      </c>
      <c r="C62" s="592"/>
      <c r="D62" s="9">
        <v>44966</v>
      </c>
      <c r="E62" s="1" t="s">
        <v>131</v>
      </c>
      <c r="F62" s="1" t="s">
        <v>201</v>
      </c>
      <c r="G62" s="1" t="s">
        <v>182</v>
      </c>
      <c r="H62" s="1" t="s">
        <v>202</v>
      </c>
      <c r="I62" s="1">
        <v>2</v>
      </c>
      <c r="J62" s="74" t="s">
        <v>78</v>
      </c>
    </row>
    <row r="63" spans="1:10" ht="12.9" x14ac:dyDescent="0.2">
      <c r="A63" s="139" t="s">
        <v>51</v>
      </c>
      <c r="B63" s="1" t="s">
        <v>52</v>
      </c>
      <c r="C63" s="592"/>
      <c r="D63" s="9">
        <v>44966</v>
      </c>
      <c r="E63" s="1" t="s">
        <v>203</v>
      </c>
      <c r="F63" s="1" t="s">
        <v>204</v>
      </c>
      <c r="G63" s="1" t="s">
        <v>205</v>
      </c>
      <c r="H63" s="1" t="s">
        <v>206</v>
      </c>
      <c r="I63" s="1">
        <v>4</v>
      </c>
      <c r="J63" s="74" t="s">
        <v>16</v>
      </c>
    </row>
    <row r="64" spans="1:10" ht="12.9" x14ac:dyDescent="0.2">
      <c r="A64" s="139" t="s">
        <v>10</v>
      </c>
      <c r="B64" s="1" t="s">
        <v>29</v>
      </c>
      <c r="C64" s="592"/>
      <c r="D64" s="9">
        <v>44966</v>
      </c>
      <c r="E64" s="1" t="s">
        <v>207</v>
      </c>
      <c r="F64" s="1" t="s">
        <v>208</v>
      </c>
      <c r="G64" s="1" t="s">
        <v>209</v>
      </c>
      <c r="H64" s="1" t="s">
        <v>210</v>
      </c>
      <c r="I64" s="1">
        <v>1</v>
      </c>
      <c r="J64" s="74" t="s">
        <v>10</v>
      </c>
    </row>
    <row r="65" spans="1:10" ht="12.9" x14ac:dyDescent="0.2">
      <c r="A65" s="139" t="s">
        <v>10</v>
      </c>
      <c r="B65" s="1" t="s">
        <v>29</v>
      </c>
      <c r="C65" s="592"/>
      <c r="D65" s="9">
        <v>44967</v>
      </c>
      <c r="E65" s="1" t="s">
        <v>211</v>
      </c>
      <c r="F65" s="1" t="s">
        <v>212</v>
      </c>
      <c r="G65" s="1" t="s">
        <v>213</v>
      </c>
      <c r="H65" s="1" t="s">
        <v>214</v>
      </c>
      <c r="I65" s="1">
        <v>1</v>
      </c>
      <c r="J65" s="74" t="s">
        <v>23</v>
      </c>
    </row>
    <row r="66" spans="1:10" ht="12.9" x14ac:dyDescent="0.2">
      <c r="A66" s="139" t="s">
        <v>51</v>
      </c>
      <c r="B66" s="1" t="s">
        <v>52</v>
      </c>
      <c r="C66" s="592"/>
      <c r="D66" s="9">
        <v>44967</v>
      </c>
      <c r="E66" s="1" t="s">
        <v>215</v>
      </c>
      <c r="F66" s="1" t="s">
        <v>216</v>
      </c>
      <c r="G66" s="1" t="s">
        <v>217</v>
      </c>
      <c r="H66" s="1" t="s">
        <v>218</v>
      </c>
      <c r="I66" s="1">
        <v>12</v>
      </c>
      <c r="J66" s="74" t="s">
        <v>219</v>
      </c>
    </row>
    <row r="67" spans="1:10" ht="12.9" x14ac:dyDescent="0.2">
      <c r="A67" s="139" t="s">
        <v>51</v>
      </c>
      <c r="B67" s="1" t="s">
        <v>52</v>
      </c>
      <c r="C67" s="592"/>
      <c r="D67" s="9">
        <v>44968</v>
      </c>
      <c r="E67" s="1" t="s">
        <v>220</v>
      </c>
      <c r="F67" s="1" t="s">
        <v>221</v>
      </c>
      <c r="G67" s="1" t="s">
        <v>222</v>
      </c>
      <c r="H67" s="1" t="s">
        <v>223</v>
      </c>
      <c r="I67" s="1">
        <v>8</v>
      </c>
      <c r="J67" s="74" t="s">
        <v>56</v>
      </c>
    </row>
    <row r="68" spans="1:10" ht="12.9" x14ac:dyDescent="0.2">
      <c r="A68" s="138" t="s">
        <v>10</v>
      </c>
      <c r="B68" s="2" t="s">
        <v>29</v>
      </c>
      <c r="C68" s="592"/>
      <c r="D68" s="9" t="s">
        <v>224</v>
      </c>
      <c r="E68" s="2" t="s">
        <v>153</v>
      </c>
      <c r="F68" s="2" t="s">
        <v>225</v>
      </c>
      <c r="G68" s="1" t="s">
        <v>226</v>
      </c>
      <c r="H68" s="2" t="s">
        <v>227</v>
      </c>
      <c r="I68" s="2">
        <v>2</v>
      </c>
      <c r="J68" s="74" t="s">
        <v>50</v>
      </c>
    </row>
    <row r="69" spans="1:10" ht="12.9" x14ac:dyDescent="0.2">
      <c r="A69" s="139" t="s">
        <v>10</v>
      </c>
      <c r="B69" s="1" t="s">
        <v>152</v>
      </c>
      <c r="C69" s="592"/>
      <c r="D69" s="9">
        <v>44970</v>
      </c>
      <c r="E69" s="1" t="s">
        <v>94</v>
      </c>
      <c r="F69" s="1" t="s">
        <v>228</v>
      </c>
      <c r="G69" s="1"/>
      <c r="H69" s="1" t="s">
        <v>229</v>
      </c>
      <c r="I69" s="1">
        <v>4</v>
      </c>
      <c r="J69" s="74" t="s">
        <v>50</v>
      </c>
    </row>
    <row r="70" spans="1:10" ht="12.9" x14ac:dyDescent="0.2">
      <c r="A70" s="139" t="s">
        <v>17</v>
      </c>
      <c r="B70" s="1" t="s">
        <v>24</v>
      </c>
      <c r="C70" s="592"/>
      <c r="D70" s="9">
        <v>44970</v>
      </c>
      <c r="E70" s="1" t="s">
        <v>37</v>
      </c>
      <c r="F70" s="1" t="s">
        <v>230</v>
      </c>
      <c r="G70" s="1" t="s">
        <v>27</v>
      </c>
      <c r="H70" s="1" t="s">
        <v>231</v>
      </c>
      <c r="I70" s="1">
        <v>1</v>
      </c>
      <c r="J70" s="74" t="s">
        <v>23</v>
      </c>
    </row>
    <row r="71" spans="1:10" ht="12.9" x14ac:dyDescent="0.2">
      <c r="A71" s="139" t="s">
        <v>10</v>
      </c>
      <c r="B71" s="1" t="s">
        <v>163</v>
      </c>
      <c r="C71" s="592"/>
      <c r="D71" s="9">
        <v>44970</v>
      </c>
      <c r="E71" s="1" t="s">
        <v>232</v>
      </c>
      <c r="F71" s="1" t="s">
        <v>233</v>
      </c>
      <c r="G71" s="1" t="s">
        <v>234</v>
      </c>
      <c r="H71" s="1" t="s">
        <v>235</v>
      </c>
      <c r="I71" s="1">
        <v>35</v>
      </c>
      <c r="J71" s="74" t="s">
        <v>10</v>
      </c>
    </row>
    <row r="72" spans="1:10" ht="12.9" x14ac:dyDescent="0.2">
      <c r="A72" s="139" t="s">
        <v>10</v>
      </c>
      <c r="B72" s="1" t="s">
        <v>29</v>
      </c>
      <c r="C72" s="592"/>
      <c r="D72" s="9">
        <v>44971</v>
      </c>
      <c r="E72" s="1" t="s">
        <v>236</v>
      </c>
      <c r="F72" s="1" t="s">
        <v>237</v>
      </c>
      <c r="G72" s="1" t="s">
        <v>238</v>
      </c>
      <c r="H72" s="1" t="s">
        <v>239</v>
      </c>
      <c r="I72" s="1">
        <v>4</v>
      </c>
      <c r="J72" s="74" t="s">
        <v>34</v>
      </c>
    </row>
    <row r="73" spans="1:10" ht="12.9" x14ac:dyDescent="0.2">
      <c r="A73" s="139" t="s">
        <v>10</v>
      </c>
      <c r="B73" s="1" t="s">
        <v>11</v>
      </c>
      <c r="C73" s="592"/>
      <c r="D73" s="9">
        <v>44972</v>
      </c>
      <c r="E73" s="1" t="s">
        <v>240</v>
      </c>
      <c r="F73" s="1" t="s">
        <v>241</v>
      </c>
      <c r="G73" s="1" t="s">
        <v>242</v>
      </c>
      <c r="H73" s="1" t="s">
        <v>243</v>
      </c>
      <c r="I73" s="1">
        <v>6</v>
      </c>
      <c r="J73" s="74" t="s">
        <v>56</v>
      </c>
    </row>
    <row r="74" spans="1:10" ht="12.9" x14ac:dyDescent="0.2">
      <c r="A74" s="139" t="s">
        <v>10</v>
      </c>
      <c r="B74" s="1" t="s">
        <v>244</v>
      </c>
      <c r="C74" s="592"/>
      <c r="D74" s="9">
        <v>44972</v>
      </c>
      <c r="E74" s="1" t="s">
        <v>240</v>
      </c>
      <c r="F74" s="1" t="s">
        <v>245</v>
      </c>
      <c r="G74" s="1" t="s">
        <v>246</v>
      </c>
      <c r="H74" s="1" t="s">
        <v>247</v>
      </c>
      <c r="I74" s="1">
        <v>3</v>
      </c>
      <c r="J74" s="74" t="s">
        <v>16</v>
      </c>
    </row>
    <row r="75" spans="1:10" ht="12.9" x14ac:dyDescent="0.2">
      <c r="A75" s="139" t="s">
        <v>17</v>
      </c>
      <c r="B75" s="1" t="s">
        <v>24</v>
      </c>
      <c r="C75" s="592"/>
      <c r="D75" s="9">
        <v>44973</v>
      </c>
      <c r="E75" s="1" t="s">
        <v>240</v>
      </c>
      <c r="F75" s="1" t="s">
        <v>248</v>
      </c>
      <c r="G75" s="1" t="s">
        <v>249</v>
      </c>
      <c r="H75" s="1" t="s">
        <v>250</v>
      </c>
      <c r="I75" s="1">
        <v>1</v>
      </c>
      <c r="J75" s="74" t="s">
        <v>23</v>
      </c>
    </row>
    <row r="76" spans="1:10" ht="12.9" x14ac:dyDescent="0.2">
      <c r="A76" s="139" t="s">
        <v>17</v>
      </c>
      <c r="B76" s="1" t="s">
        <v>24</v>
      </c>
      <c r="C76" s="592"/>
      <c r="D76" s="9">
        <v>44973</v>
      </c>
      <c r="E76" s="1" t="s">
        <v>37</v>
      </c>
      <c r="F76" s="1" t="s">
        <v>251</v>
      </c>
      <c r="G76" s="1" t="s">
        <v>249</v>
      </c>
      <c r="H76" s="1" t="s">
        <v>252</v>
      </c>
      <c r="I76" s="1">
        <v>1</v>
      </c>
      <c r="J76" s="74" t="s">
        <v>23</v>
      </c>
    </row>
    <row r="77" spans="1:10" ht="12.9" x14ac:dyDescent="0.2">
      <c r="A77" s="139" t="s">
        <v>17</v>
      </c>
      <c r="B77" s="1" t="s">
        <v>24</v>
      </c>
      <c r="C77" s="592"/>
      <c r="D77" s="9">
        <v>44973</v>
      </c>
      <c r="E77" s="1" t="s">
        <v>240</v>
      </c>
      <c r="F77" s="1" t="s">
        <v>253</v>
      </c>
      <c r="G77" s="1" t="s">
        <v>249</v>
      </c>
      <c r="H77" s="1" t="s">
        <v>254</v>
      </c>
      <c r="I77" s="1">
        <v>1</v>
      </c>
      <c r="J77" s="74" t="s">
        <v>23</v>
      </c>
    </row>
    <row r="78" spans="1:10" ht="12.9" x14ac:dyDescent="0.2">
      <c r="A78" s="139" t="s">
        <v>17</v>
      </c>
      <c r="B78" s="1" t="s">
        <v>24</v>
      </c>
      <c r="C78" s="592"/>
      <c r="D78" s="9">
        <v>44973</v>
      </c>
      <c r="E78" s="1" t="s">
        <v>240</v>
      </c>
      <c r="F78" s="1" t="s">
        <v>255</v>
      </c>
      <c r="G78" s="1" t="s">
        <v>249</v>
      </c>
      <c r="H78" s="1" t="s">
        <v>256</v>
      </c>
      <c r="I78" s="1">
        <v>1</v>
      </c>
      <c r="J78" s="74" t="s">
        <v>23</v>
      </c>
    </row>
    <row r="79" spans="1:10" ht="12.9" x14ac:dyDescent="0.2">
      <c r="A79" s="139" t="s">
        <v>17</v>
      </c>
      <c r="B79" s="1" t="s">
        <v>24</v>
      </c>
      <c r="C79" s="592"/>
      <c r="D79" s="9">
        <v>44973</v>
      </c>
      <c r="E79" s="1" t="s">
        <v>37</v>
      </c>
      <c r="F79" s="1" t="s">
        <v>257</v>
      </c>
      <c r="G79" s="1" t="s">
        <v>249</v>
      </c>
      <c r="H79" s="1" t="s">
        <v>258</v>
      </c>
      <c r="I79" s="1">
        <v>1</v>
      </c>
      <c r="J79" s="74" t="s">
        <v>23</v>
      </c>
    </row>
    <row r="80" spans="1:10" ht="12.9" x14ac:dyDescent="0.2">
      <c r="A80" s="139" t="s">
        <v>17</v>
      </c>
      <c r="B80" s="1" t="s">
        <v>24</v>
      </c>
      <c r="C80" s="592"/>
      <c r="D80" s="9">
        <v>44973</v>
      </c>
      <c r="E80" s="1" t="s">
        <v>240</v>
      </c>
      <c r="F80" s="1" t="s">
        <v>259</v>
      </c>
      <c r="G80" s="1" t="s">
        <v>249</v>
      </c>
      <c r="H80" s="1" t="s">
        <v>260</v>
      </c>
      <c r="I80" s="1">
        <v>1</v>
      </c>
      <c r="J80" s="74" t="s">
        <v>23</v>
      </c>
    </row>
    <row r="81" spans="1:10" ht="12.9" x14ac:dyDescent="0.2">
      <c r="A81" s="139" t="s">
        <v>10</v>
      </c>
      <c r="B81" s="1" t="s">
        <v>2161</v>
      </c>
      <c r="C81" s="592"/>
      <c r="D81" s="9">
        <v>44974</v>
      </c>
      <c r="E81" s="1" t="s">
        <v>261</v>
      </c>
      <c r="F81" s="1" t="s">
        <v>262</v>
      </c>
      <c r="G81" s="1" t="s">
        <v>263</v>
      </c>
      <c r="H81" s="1" t="s">
        <v>264</v>
      </c>
      <c r="I81" s="1">
        <v>4</v>
      </c>
      <c r="J81" s="74" t="s">
        <v>34</v>
      </c>
    </row>
    <row r="82" spans="1:10" ht="12.9" x14ac:dyDescent="0.2">
      <c r="A82" s="139" t="s">
        <v>10</v>
      </c>
      <c r="B82" s="1" t="s">
        <v>29</v>
      </c>
      <c r="C82" s="592"/>
      <c r="D82" s="9">
        <v>44975</v>
      </c>
      <c r="E82" s="1" t="s">
        <v>37</v>
      </c>
      <c r="F82" s="1" t="s">
        <v>265</v>
      </c>
      <c r="G82" s="1" t="s">
        <v>266</v>
      </c>
      <c r="H82" s="1" t="s">
        <v>267</v>
      </c>
      <c r="I82" s="1">
        <v>3</v>
      </c>
      <c r="J82" s="74" t="s">
        <v>50</v>
      </c>
    </row>
    <row r="83" spans="1:10" ht="12.9" x14ac:dyDescent="0.2">
      <c r="A83" s="139" t="s">
        <v>10</v>
      </c>
      <c r="B83" s="1" t="s">
        <v>2161</v>
      </c>
      <c r="C83" s="592"/>
      <c r="D83" s="9">
        <v>44977</v>
      </c>
      <c r="E83" s="1" t="s">
        <v>108</v>
      </c>
      <c r="F83" s="1" t="s">
        <v>274</v>
      </c>
      <c r="G83" s="1" t="s">
        <v>217</v>
      </c>
      <c r="H83" s="1" t="s">
        <v>275</v>
      </c>
      <c r="I83" s="1">
        <v>2</v>
      </c>
      <c r="J83" s="74" t="s">
        <v>34</v>
      </c>
    </row>
    <row r="84" spans="1:10" ht="12.9" x14ac:dyDescent="0.2">
      <c r="A84" s="139" t="s">
        <v>10</v>
      </c>
      <c r="B84" s="1" t="s">
        <v>163</v>
      </c>
      <c r="C84" s="592"/>
      <c r="D84" s="17" t="s">
        <v>2144</v>
      </c>
      <c r="E84" s="1" t="s">
        <v>72</v>
      </c>
      <c r="F84" s="1" t="s">
        <v>276</v>
      </c>
      <c r="G84" s="1" t="s">
        <v>76</v>
      </c>
      <c r="H84" s="1" t="s">
        <v>277</v>
      </c>
      <c r="I84" s="1">
        <v>24</v>
      </c>
      <c r="J84" s="74" t="s">
        <v>10</v>
      </c>
    </row>
    <row r="85" spans="1:10" ht="12.9" x14ac:dyDescent="0.2">
      <c r="A85" s="139" t="s">
        <v>10</v>
      </c>
      <c r="B85" s="1" t="s">
        <v>2162</v>
      </c>
      <c r="C85" s="592"/>
      <c r="D85" s="9">
        <v>44978</v>
      </c>
      <c r="E85" s="1" t="s">
        <v>240</v>
      </c>
      <c r="F85" s="1" t="s">
        <v>280</v>
      </c>
      <c r="G85" s="1" t="s">
        <v>281</v>
      </c>
      <c r="H85" s="1" t="s">
        <v>282</v>
      </c>
      <c r="I85" s="1">
        <v>2</v>
      </c>
      <c r="J85" s="74" t="s">
        <v>78</v>
      </c>
    </row>
    <row r="86" spans="1:10" ht="12.9" x14ac:dyDescent="0.2">
      <c r="A86" s="139" t="s">
        <v>10</v>
      </c>
      <c r="B86" s="1" t="s">
        <v>2162</v>
      </c>
      <c r="C86" s="592"/>
      <c r="D86" s="9">
        <v>44978</v>
      </c>
      <c r="E86" s="1" t="s">
        <v>240</v>
      </c>
      <c r="F86" s="1" t="s">
        <v>283</v>
      </c>
      <c r="G86" s="1" t="s">
        <v>284</v>
      </c>
      <c r="H86" s="1" t="s">
        <v>285</v>
      </c>
      <c r="I86" s="1">
        <v>2</v>
      </c>
      <c r="J86" s="74" t="s">
        <v>78</v>
      </c>
    </row>
    <row r="87" spans="1:10" ht="12.9" x14ac:dyDescent="0.2">
      <c r="A87" s="139" t="s">
        <v>10</v>
      </c>
      <c r="B87" s="1" t="s">
        <v>163</v>
      </c>
      <c r="C87" s="592"/>
      <c r="D87" s="9">
        <v>44978</v>
      </c>
      <c r="E87" s="1" t="s">
        <v>286</v>
      </c>
      <c r="F87" s="1" t="s">
        <v>287</v>
      </c>
      <c r="G87" s="1" t="s">
        <v>76</v>
      </c>
      <c r="H87" s="1" t="s">
        <v>288</v>
      </c>
      <c r="I87" s="1">
        <v>49</v>
      </c>
      <c r="J87" s="74" t="s">
        <v>10</v>
      </c>
    </row>
    <row r="88" spans="1:10" ht="12.9" x14ac:dyDescent="0.2">
      <c r="A88" s="139" t="s">
        <v>17</v>
      </c>
      <c r="B88" s="1" t="s">
        <v>24</v>
      </c>
      <c r="C88" s="592"/>
      <c r="D88" s="9">
        <v>44978</v>
      </c>
      <c r="E88" s="1" t="s">
        <v>176</v>
      </c>
      <c r="F88" s="1" t="s">
        <v>289</v>
      </c>
      <c r="G88" s="1" t="s">
        <v>110</v>
      </c>
      <c r="H88" s="1" t="s">
        <v>290</v>
      </c>
      <c r="I88" s="1">
        <v>1</v>
      </c>
      <c r="J88" s="74" t="s">
        <v>23</v>
      </c>
    </row>
    <row r="89" spans="1:10" ht="12.9" x14ac:dyDescent="0.2">
      <c r="A89" s="139" t="s">
        <v>10</v>
      </c>
      <c r="B89" s="1" t="s">
        <v>29</v>
      </c>
      <c r="C89" s="592"/>
      <c r="D89" s="9">
        <v>44978</v>
      </c>
      <c r="E89" s="1" t="s">
        <v>291</v>
      </c>
      <c r="F89" s="1" t="s">
        <v>292</v>
      </c>
      <c r="G89" s="1" t="s">
        <v>27</v>
      </c>
      <c r="H89" s="1" t="s">
        <v>293</v>
      </c>
      <c r="I89" s="1">
        <v>1</v>
      </c>
      <c r="J89" s="74" t="s">
        <v>23</v>
      </c>
    </row>
    <row r="90" spans="1:10" ht="12.9" x14ac:dyDescent="0.2">
      <c r="A90" s="139" t="s">
        <v>10</v>
      </c>
      <c r="B90" s="1" t="s">
        <v>29</v>
      </c>
      <c r="C90" s="592"/>
      <c r="D90" s="9">
        <v>44979</v>
      </c>
      <c r="E90" s="1" t="s">
        <v>294</v>
      </c>
      <c r="F90" s="1" t="s">
        <v>295</v>
      </c>
      <c r="G90" s="1" t="s">
        <v>296</v>
      </c>
      <c r="H90" s="1" t="s">
        <v>297</v>
      </c>
      <c r="I90" s="1">
        <v>3</v>
      </c>
      <c r="J90" s="74" t="s">
        <v>78</v>
      </c>
    </row>
    <row r="91" spans="1:10" ht="12.9" x14ac:dyDescent="0.2">
      <c r="A91" s="139" t="s">
        <v>10</v>
      </c>
      <c r="B91" s="1" t="s">
        <v>64</v>
      </c>
      <c r="C91" s="592"/>
      <c r="D91" s="9">
        <v>44980</v>
      </c>
      <c r="E91" s="1" t="s">
        <v>298</v>
      </c>
      <c r="F91" s="1" t="s">
        <v>299</v>
      </c>
      <c r="G91" s="1" t="s">
        <v>27</v>
      </c>
      <c r="H91" s="1" t="s">
        <v>300</v>
      </c>
      <c r="I91" s="1">
        <v>2</v>
      </c>
      <c r="J91" s="74" t="s">
        <v>50</v>
      </c>
    </row>
    <row r="92" spans="1:10" ht="12.9" x14ac:dyDescent="0.2">
      <c r="A92" s="139" t="s">
        <v>10</v>
      </c>
      <c r="B92" s="1" t="s">
        <v>29</v>
      </c>
      <c r="C92" s="592"/>
      <c r="D92" s="9">
        <v>44981</v>
      </c>
      <c r="E92" s="1" t="s">
        <v>301</v>
      </c>
      <c r="F92" s="1" t="s">
        <v>302</v>
      </c>
      <c r="G92" s="1" t="s">
        <v>303</v>
      </c>
      <c r="H92" s="1" t="s">
        <v>304</v>
      </c>
      <c r="I92" s="1">
        <v>6</v>
      </c>
      <c r="J92" s="74" t="s">
        <v>41</v>
      </c>
    </row>
    <row r="93" spans="1:10" ht="13.6" customHeight="1" x14ac:dyDescent="0.2">
      <c r="A93" s="139" t="s">
        <v>10</v>
      </c>
      <c r="B93" s="1" t="s">
        <v>29</v>
      </c>
      <c r="C93" s="592"/>
      <c r="D93" s="9">
        <v>44981</v>
      </c>
      <c r="E93" s="1" t="s">
        <v>305</v>
      </c>
      <c r="F93" s="1" t="s">
        <v>306</v>
      </c>
      <c r="G93" s="1" t="s">
        <v>307</v>
      </c>
      <c r="H93" s="1" t="s">
        <v>308</v>
      </c>
      <c r="I93" s="1">
        <v>3</v>
      </c>
      <c r="J93" s="74" t="s">
        <v>78</v>
      </c>
    </row>
    <row r="94" spans="1:10" ht="12.9" x14ac:dyDescent="0.2">
      <c r="A94" s="139" t="s">
        <v>10</v>
      </c>
      <c r="B94" s="1" t="s">
        <v>29</v>
      </c>
      <c r="C94" s="592"/>
      <c r="D94" s="9">
        <v>44981</v>
      </c>
      <c r="E94" s="1" t="s">
        <v>72</v>
      </c>
      <c r="F94" s="1" t="s">
        <v>309</v>
      </c>
      <c r="G94" s="1" t="s">
        <v>310</v>
      </c>
      <c r="H94" s="1" t="s">
        <v>311</v>
      </c>
      <c r="I94" s="1">
        <v>3</v>
      </c>
      <c r="J94" s="74" t="s">
        <v>78</v>
      </c>
    </row>
    <row r="95" spans="1:10" ht="12.9" x14ac:dyDescent="0.2">
      <c r="A95" s="139" t="s">
        <v>10</v>
      </c>
      <c r="B95" s="1" t="s">
        <v>312</v>
      </c>
      <c r="C95" s="592"/>
      <c r="D95" s="9">
        <v>44984</v>
      </c>
      <c r="E95" s="1" t="s">
        <v>131</v>
      </c>
      <c r="F95" s="1" t="s">
        <v>313</v>
      </c>
      <c r="G95" s="1" t="s">
        <v>85</v>
      </c>
      <c r="H95" s="1" t="s">
        <v>314</v>
      </c>
      <c r="I95" s="1">
        <v>1</v>
      </c>
      <c r="J95" s="74" t="s">
        <v>10</v>
      </c>
    </row>
    <row r="96" spans="1:10" ht="12.9" x14ac:dyDescent="0.2">
      <c r="A96" s="139" t="s">
        <v>10</v>
      </c>
      <c r="B96" s="1" t="s">
        <v>163</v>
      </c>
      <c r="C96" s="592"/>
      <c r="D96" s="9">
        <v>44984</v>
      </c>
      <c r="E96" s="1" t="s">
        <v>164</v>
      </c>
      <c r="F96" s="1" t="s">
        <v>165</v>
      </c>
      <c r="G96" s="1" t="s">
        <v>76</v>
      </c>
      <c r="H96" s="1" t="s">
        <v>315</v>
      </c>
      <c r="I96" s="1">
        <v>27</v>
      </c>
      <c r="J96" s="74" t="s">
        <v>167</v>
      </c>
    </row>
    <row r="97" spans="1:10" ht="12.9" x14ac:dyDescent="0.2">
      <c r="A97" s="139" t="s">
        <v>10</v>
      </c>
      <c r="B97" s="1" t="s">
        <v>188</v>
      </c>
      <c r="C97" s="592"/>
      <c r="D97" s="9">
        <v>44984</v>
      </c>
      <c r="E97" s="1" t="s">
        <v>57</v>
      </c>
      <c r="F97" s="1" t="s">
        <v>189</v>
      </c>
      <c r="G97" s="1"/>
      <c r="H97" s="1" t="s">
        <v>191</v>
      </c>
      <c r="I97" s="1">
        <v>2</v>
      </c>
      <c r="J97" s="74" t="s">
        <v>192</v>
      </c>
    </row>
    <row r="98" spans="1:10" ht="12.9" x14ac:dyDescent="0.2">
      <c r="A98" s="139" t="s">
        <v>10</v>
      </c>
      <c r="B98" s="1" t="s">
        <v>2161</v>
      </c>
      <c r="C98" s="592"/>
      <c r="D98" s="9">
        <v>44985</v>
      </c>
      <c r="E98" s="1" t="s">
        <v>316</v>
      </c>
      <c r="F98" s="1" t="s">
        <v>317</v>
      </c>
      <c r="G98" s="1" t="s">
        <v>76</v>
      </c>
      <c r="H98" s="1" t="s">
        <v>318</v>
      </c>
      <c r="I98" s="1">
        <v>2</v>
      </c>
      <c r="J98" s="74" t="s">
        <v>192</v>
      </c>
    </row>
    <row r="99" spans="1:10" ht="12.9" x14ac:dyDescent="0.2">
      <c r="A99" s="139" t="s">
        <v>10</v>
      </c>
      <c r="B99" s="1" t="s">
        <v>64</v>
      </c>
      <c r="C99" s="592"/>
      <c r="D99" s="9">
        <v>44985</v>
      </c>
      <c r="E99" s="1" t="s">
        <v>108</v>
      </c>
      <c r="F99" s="1" t="s">
        <v>319</v>
      </c>
      <c r="G99" s="1" t="s">
        <v>76</v>
      </c>
      <c r="H99" s="1" t="s">
        <v>320</v>
      </c>
      <c r="I99" s="1">
        <v>2</v>
      </c>
      <c r="J99" s="74" t="s">
        <v>50</v>
      </c>
    </row>
    <row r="100" spans="1:10" ht="13.6" x14ac:dyDescent="0.2">
      <c r="A100" s="62" t="s">
        <v>321</v>
      </c>
      <c r="B100" s="12"/>
      <c r="C100" s="85"/>
      <c r="D100" s="11"/>
      <c r="E100" s="12"/>
      <c r="F100" s="12"/>
      <c r="G100" s="12"/>
      <c r="H100" s="12"/>
      <c r="I100" s="12"/>
      <c r="J100" s="75"/>
    </row>
    <row r="101" spans="1:10" ht="12.9" x14ac:dyDescent="0.2">
      <c r="A101" s="139" t="s">
        <v>51</v>
      </c>
      <c r="B101" s="1" t="s">
        <v>52</v>
      </c>
      <c r="C101" s="592">
        <f>COUNTIF(B101:B133,$C$2)</f>
        <v>1</v>
      </c>
      <c r="D101" s="9">
        <v>44986</v>
      </c>
      <c r="E101" s="1" t="s">
        <v>176</v>
      </c>
      <c r="F101" s="1" t="s">
        <v>322</v>
      </c>
      <c r="G101" s="1" t="s">
        <v>217</v>
      </c>
      <c r="H101" s="1" t="s">
        <v>323</v>
      </c>
      <c r="I101" s="1">
        <v>5</v>
      </c>
      <c r="J101" s="74" t="s">
        <v>16</v>
      </c>
    </row>
    <row r="102" spans="1:10" ht="12.9" x14ac:dyDescent="0.2">
      <c r="A102" s="139" t="s">
        <v>10</v>
      </c>
      <c r="B102" s="1" t="s">
        <v>324</v>
      </c>
      <c r="C102" s="592"/>
      <c r="D102" s="9">
        <v>44986</v>
      </c>
      <c r="E102" s="1" t="s">
        <v>325</v>
      </c>
      <c r="F102" s="1" t="s">
        <v>326</v>
      </c>
      <c r="G102" s="1" t="s">
        <v>85</v>
      </c>
      <c r="H102" s="1" t="s">
        <v>327</v>
      </c>
      <c r="I102" s="1">
        <v>3</v>
      </c>
      <c r="J102" s="74" t="s">
        <v>16</v>
      </c>
    </row>
    <row r="103" spans="1:10" ht="12.9" x14ac:dyDescent="0.2">
      <c r="A103" s="139" t="s">
        <v>35</v>
      </c>
      <c r="B103" s="1" t="s">
        <v>137</v>
      </c>
      <c r="C103" s="592"/>
      <c r="D103" s="9">
        <v>44987</v>
      </c>
      <c r="E103" s="1" t="s">
        <v>328</v>
      </c>
      <c r="F103" s="1" t="s">
        <v>139</v>
      </c>
      <c r="G103" s="1" t="s">
        <v>139</v>
      </c>
      <c r="H103" s="1" t="s">
        <v>329</v>
      </c>
      <c r="I103" s="1">
        <v>3</v>
      </c>
      <c r="J103" s="74" t="s">
        <v>50</v>
      </c>
    </row>
    <row r="104" spans="1:10" ht="12.9" x14ac:dyDescent="0.2">
      <c r="A104" s="139" t="s">
        <v>35</v>
      </c>
      <c r="B104" s="1" t="s">
        <v>137</v>
      </c>
      <c r="C104" s="592"/>
      <c r="D104" s="9">
        <v>44989</v>
      </c>
      <c r="E104" s="1" t="s">
        <v>164</v>
      </c>
      <c r="F104" s="1" t="s">
        <v>330</v>
      </c>
      <c r="G104" s="1"/>
      <c r="H104" s="1" t="s">
        <v>331</v>
      </c>
      <c r="I104" s="1">
        <v>5</v>
      </c>
      <c r="J104" s="74" t="s">
        <v>34</v>
      </c>
    </row>
    <row r="105" spans="1:10" ht="12.9" x14ac:dyDescent="0.2">
      <c r="A105" s="139" t="s">
        <v>10</v>
      </c>
      <c r="B105" s="1" t="s">
        <v>244</v>
      </c>
      <c r="C105" s="592"/>
      <c r="D105" s="9">
        <v>44990</v>
      </c>
      <c r="E105" s="1" t="s">
        <v>91</v>
      </c>
      <c r="F105" s="1" t="s">
        <v>332</v>
      </c>
      <c r="G105" s="1" t="s">
        <v>76</v>
      </c>
      <c r="H105" s="1" t="s">
        <v>333</v>
      </c>
      <c r="I105" s="1">
        <v>2</v>
      </c>
      <c r="J105" s="74" t="s">
        <v>167</v>
      </c>
    </row>
    <row r="106" spans="1:10" ht="12.9" x14ac:dyDescent="0.2">
      <c r="A106" s="139" t="s">
        <v>146</v>
      </c>
      <c r="B106" s="1" t="s">
        <v>2163</v>
      </c>
      <c r="C106" s="592"/>
      <c r="D106" s="9">
        <v>44990</v>
      </c>
      <c r="E106" s="1" t="s">
        <v>57</v>
      </c>
      <c r="F106" s="1" t="s">
        <v>335</v>
      </c>
      <c r="G106" s="1"/>
      <c r="H106" s="1" t="s">
        <v>336</v>
      </c>
      <c r="I106" s="1">
        <v>7</v>
      </c>
      <c r="J106" s="74" t="s">
        <v>56</v>
      </c>
    </row>
    <row r="107" spans="1:10" ht="12.9" x14ac:dyDescent="0.2">
      <c r="A107" s="139" t="s">
        <v>10</v>
      </c>
      <c r="B107" s="1" t="s">
        <v>163</v>
      </c>
      <c r="C107" s="592"/>
      <c r="D107" s="9">
        <v>44991</v>
      </c>
      <c r="E107" s="1" t="s">
        <v>337</v>
      </c>
      <c r="F107" s="1" t="s">
        <v>338</v>
      </c>
      <c r="G107" s="1" t="s">
        <v>234</v>
      </c>
      <c r="H107" s="1" t="s">
        <v>339</v>
      </c>
      <c r="I107" s="1">
        <v>34</v>
      </c>
      <c r="J107" s="74" t="s">
        <v>167</v>
      </c>
    </row>
    <row r="108" spans="1:10" ht="12.9" x14ac:dyDescent="0.2">
      <c r="A108" s="139" t="s">
        <v>10</v>
      </c>
      <c r="B108" s="1" t="s">
        <v>244</v>
      </c>
      <c r="C108" s="592"/>
      <c r="D108" s="9">
        <v>44964</v>
      </c>
      <c r="E108" s="1" t="s">
        <v>340</v>
      </c>
      <c r="F108" s="1" t="s">
        <v>341</v>
      </c>
      <c r="G108" s="1" t="s">
        <v>85</v>
      </c>
      <c r="H108" s="1" t="s">
        <v>342</v>
      </c>
      <c r="I108" s="1">
        <v>3</v>
      </c>
      <c r="J108" s="74" t="s">
        <v>16</v>
      </c>
    </row>
    <row r="109" spans="1:10" ht="12.9" x14ac:dyDescent="0.2">
      <c r="A109" s="139" t="s">
        <v>10</v>
      </c>
      <c r="B109" s="1" t="s">
        <v>29</v>
      </c>
      <c r="C109" s="592"/>
      <c r="D109" s="9">
        <v>44991</v>
      </c>
      <c r="E109" s="1" t="s">
        <v>343</v>
      </c>
      <c r="F109" s="1" t="s">
        <v>344</v>
      </c>
      <c r="G109" s="1" t="s">
        <v>345</v>
      </c>
      <c r="H109" s="1" t="s">
        <v>346</v>
      </c>
      <c r="I109" s="1">
        <v>3</v>
      </c>
      <c r="J109" s="74" t="s">
        <v>192</v>
      </c>
    </row>
    <row r="110" spans="1:10" ht="12.9" x14ac:dyDescent="0.2">
      <c r="A110" s="139" t="s">
        <v>10</v>
      </c>
      <c r="B110" s="1" t="s">
        <v>11</v>
      </c>
      <c r="C110" s="592"/>
      <c r="D110" s="9">
        <v>44992</v>
      </c>
      <c r="E110" s="1" t="s">
        <v>91</v>
      </c>
      <c r="F110" s="1" t="s">
        <v>347</v>
      </c>
      <c r="G110" s="1" t="s">
        <v>348</v>
      </c>
      <c r="H110" s="1" t="s">
        <v>349</v>
      </c>
      <c r="I110" s="1">
        <v>5</v>
      </c>
      <c r="J110" s="74" t="s">
        <v>16</v>
      </c>
    </row>
    <row r="111" spans="1:10" ht="12.9" x14ac:dyDescent="0.2">
      <c r="A111" s="139" t="s">
        <v>10</v>
      </c>
      <c r="B111" s="1" t="s">
        <v>163</v>
      </c>
      <c r="C111" s="592"/>
      <c r="D111" s="9">
        <v>44992</v>
      </c>
      <c r="E111" s="1" t="s">
        <v>164</v>
      </c>
      <c r="F111" s="1" t="s">
        <v>165</v>
      </c>
      <c r="G111" s="1" t="s">
        <v>76</v>
      </c>
      <c r="H111" s="1" t="s">
        <v>350</v>
      </c>
      <c r="I111" s="1">
        <v>40</v>
      </c>
      <c r="J111" s="74" t="s">
        <v>167</v>
      </c>
    </row>
    <row r="112" spans="1:10" ht="12.9" x14ac:dyDescent="0.2">
      <c r="A112" s="139" t="s">
        <v>10</v>
      </c>
      <c r="B112" s="1" t="s">
        <v>2161</v>
      </c>
      <c r="C112" s="592"/>
      <c r="D112" s="9">
        <v>44993</v>
      </c>
      <c r="E112" s="1" t="s">
        <v>351</v>
      </c>
      <c r="F112" s="1" t="s">
        <v>352</v>
      </c>
      <c r="G112" s="1" t="s">
        <v>154</v>
      </c>
      <c r="H112" s="1" t="s">
        <v>353</v>
      </c>
      <c r="I112" s="1">
        <v>2</v>
      </c>
      <c r="J112" s="74" t="s">
        <v>50</v>
      </c>
    </row>
    <row r="113" spans="1:10" ht="12.9" x14ac:dyDescent="0.2">
      <c r="A113" s="139" t="s">
        <v>17</v>
      </c>
      <c r="B113" s="1" t="s">
        <v>24</v>
      </c>
      <c r="C113" s="592"/>
      <c r="D113" s="9">
        <v>44994</v>
      </c>
      <c r="E113" s="1" t="s">
        <v>57</v>
      </c>
      <c r="F113" s="1" t="s">
        <v>354</v>
      </c>
      <c r="G113" s="1" t="s">
        <v>355</v>
      </c>
      <c r="H113" s="1" t="s">
        <v>28</v>
      </c>
      <c r="I113" s="1">
        <v>1</v>
      </c>
      <c r="J113" s="74" t="s">
        <v>23</v>
      </c>
    </row>
    <row r="114" spans="1:10" ht="12.9" x14ac:dyDescent="0.2">
      <c r="A114" s="139" t="s">
        <v>17</v>
      </c>
      <c r="B114" s="1" t="s">
        <v>24</v>
      </c>
      <c r="C114" s="592"/>
      <c r="D114" s="9">
        <v>44994</v>
      </c>
      <c r="E114" s="1" t="s">
        <v>57</v>
      </c>
      <c r="F114" s="1" t="s">
        <v>356</v>
      </c>
      <c r="G114" s="1" t="s">
        <v>85</v>
      </c>
      <c r="H114" s="1" t="s">
        <v>28</v>
      </c>
      <c r="I114" s="1">
        <v>1</v>
      </c>
      <c r="J114" s="74" t="s">
        <v>23</v>
      </c>
    </row>
    <row r="115" spans="1:10" ht="12.9" x14ac:dyDescent="0.2">
      <c r="A115" s="139" t="s">
        <v>17</v>
      </c>
      <c r="B115" s="1" t="s">
        <v>24</v>
      </c>
      <c r="C115" s="592"/>
      <c r="D115" s="9">
        <v>44994</v>
      </c>
      <c r="E115" s="1" t="s">
        <v>57</v>
      </c>
      <c r="F115" s="1" t="s">
        <v>357</v>
      </c>
      <c r="G115" s="1"/>
      <c r="H115" s="1" t="s">
        <v>57</v>
      </c>
      <c r="I115" s="1">
        <v>1</v>
      </c>
      <c r="J115" s="74" t="s">
        <v>23</v>
      </c>
    </row>
    <row r="116" spans="1:10" ht="12.9" x14ac:dyDescent="0.2">
      <c r="A116" s="139" t="s">
        <v>10</v>
      </c>
      <c r="B116" s="1" t="s">
        <v>2161</v>
      </c>
      <c r="C116" s="592"/>
      <c r="D116" s="9">
        <v>44996</v>
      </c>
      <c r="E116" s="1" t="s">
        <v>215</v>
      </c>
      <c r="F116" s="1" t="s">
        <v>358</v>
      </c>
      <c r="G116" s="1" t="s">
        <v>128</v>
      </c>
      <c r="H116" s="1" t="s">
        <v>359</v>
      </c>
      <c r="I116" s="1">
        <v>2</v>
      </c>
      <c r="J116" s="74" t="s">
        <v>192</v>
      </c>
    </row>
    <row r="117" spans="1:10" ht="12.9" x14ac:dyDescent="0.2">
      <c r="A117" s="139" t="s">
        <v>10</v>
      </c>
      <c r="B117" s="1" t="s">
        <v>29</v>
      </c>
      <c r="C117" s="592"/>
      <c r="D117" s="9">
        <v>44998</v>
      </c>
      <c r="E117" s="1" t="s">
        <v>240</v>
      </c>
      <c r="F117" s="1" t="s">
        <v>360</v>
      </c>
      <c r="G117" s="1" t="s">
        <v>150</v>
      </c>
      <c r="H117" s="1" t="s">
        <v>361</v>
      </c>
      <c r="I117" s="1">
        <v>2</v>
      </c>
      <c r="J117" s="74" t="s">
        <v>50</v>
      </c>
    </row>
    <row r="118" spans="1:10" ht="12.9" x14ac:dyDescent="0.2">
      <c r="A118" s="139" t="s">
        <v>10</v>
      </c>
      <c r="B118" s="1" t="s">
        <v>11</v>
      </c>
      <c r="C118" s="592"/>
      <c r="D118" s="9">
        <v>44971</v>
      </c>
      <c r="E118" s="1" t="s">
        <v>57</v>
      </c>
      <c r="F118" s="1" t="s">
        <v>362</v>
      </c>
      <c r="G118" s="1" t="s">
        <v>116</v>
      </c>
      <c r="H118" s="1" t="s">
        <v>363</v>
      </c>
      <c r="I118" s="1">
        <v>3</v>
      </c>
      <c r="J118" s="74" t="s">
        <v>16</v>
      </c>
    </row>
    <row r="119" spans="1:10" ht="12.9" x14ac:dyDescent="0.2">
      <c r="A119" s="139" t="s">
        <v>10</v>
      </c>
      <c r="B119" s="1" t="s">
        <v>163</v>
      </c>
      <c r="C119" s="592"/>
      <c r="D119" s="9">
        <v>44971</v>
      </c>
      <c r="E119" s="1" t="s">
        <v>164</v>
      </c>
      <c r="F119" s="1" t="s">
        <v>364</v>
      </c>
      <c r="G119" s="1" t="s">
        <v>76</v>
      </c>
      <c r="H119" s="1" t="s">
        <v>365</v>
      </c>
      <c r="I119" s="1">
        <v>50</v>
      </c>
      <c r="J119" s="74" t="s">
        <v>10</v>
      </c>
    </row>
    <row r="120" spans="1:10" ht="12.9" x14ac:dyDescent="0.2">
      <c r="A120" s="139" t="s">
        <v>10</v>
      </c>
      <c r="B120" s="1" t="s">
        <v>2161</v>
      </c>
      <c r="C120" s="592"/>
      <c r="D120" s="9">
        <v>44999</v>
      </c>
      <c r="E120" s="1" t="s">
        <v>72</v>
      </c>
      <c r="F120" s="1" t="s">
        <v>366</v>
      </c>
      <c r="G120" s="1"/>
      <c r="H120" s="1" t="s">
        <v>367</v>
      </c>
      <c r="I120" s="1">
        <v>5</v>
      </c>
      <c r="J120" s="74" t="s">
        <v>34</v>
      </c>
    </row>
    <row r="121" spans="1:10" ht="12.9" x14ac:dyDescent="0.2">
      <c r="A121" s="139" t="s">
        <v>10</v>
      </c>
      <c r="B121" s="1" t="s">
        <v>29</v>
      </c>
      <c r="C121" s="592"/>
      <c r="D121" s="9">
        <v>45000</v>
      </c>
      <c r="E121" s="1" t="s">
        <v>368</v>
      </c>
      <c r="F121" s="1" t="s">
        <v>369</v>
      </c>
      <c r="G121" s="1" t="s">
        <v>370</v>
      </c>
      <c r="H121" s="1" t="s">
        <v>371</v>
      </c>
      <c r="I121" s="1">
        <v>3</v>
      </c>
      <c r="J121" s="74" t="s">
        <v>34</v>
      </c>
    </row>
    <row r="122" spans="1:10" ht="12.9" x14ac:dyDescent="0.2">
      <c r="A122" s="139" t="s">
        <v>10</v>
      </c>
      <c r="B122" s="1" t="s">
        <v>11</v>
      </c>
      <c r="C122" s="592"/>
      <c r="D122" s="9">
        <v>45004</v>
      </c>
      <c r="E122" s="1" t="s">
        <v>337</v>
      </c>
      <c r="F122" s="1" t="s">
        <v>372</v>
      </c>
      <c r="G122" s="1" t="s">
        <v>373</v>
      </c>
      <c r="H122" s="1" t="s">
        <v>374</v>
      </c>
      <c r="I122" s="1">
        <v>3</v>
      </c>
      <c r="J122" s="74" t="s">
        <v>16</v>
      </c>
    </row>
    <row r="123" spans="1:10" ht="12.9" x14ac:dyDescent="0.2">
      <c r="A123" s="139" t="s">
        <v>35</v>
      </c>
      <c r="B123" s="1" t="s">
        <v>137</v>
      </c>
      <c r="C123" s="592"/>
      <c r="D123" s="9">
        <v>45005</v>
      </c>
      <c r="E123" s="1" t="s">
        <v>375</v>
      </c>
      <c r="F123" s="1" t="s">
        <v>376</v>
      </c>
      <c r="G123" s="1" t="s">
        <v>377</v>
      </c>
      <c r="H123" s="1" t="s">
        <v>378</v>
      </c>
      <c r="I123" s="1">
        <v>2</v>
      </c>
      <c r="J123" s="74" t="s">
        <v>192</v>
      </c>
    </row>
    <row r="124" spans="1:10" ht="12.9" x14ac:dyDescent="0.2">
      <c r="A124" s="139" t="s">
        <v>10</v>
      </c>
      <c r="B124" s="1" t="s">
        <v>137</v>
      </c>
      <c r="C124" s="592"/>
      <c r="D124" s="9">
        <v>45005</v>
      </c>
      <c r="E124" s="1" t="s">
        <v>215</v>
      </c>
      <c r="F124" s="1" t="s">
        <v>379</v>
      </c>
      <c r="G124" s="1" t="s">
        <v>85</v>
      </c>
      <c r="H124" s="1" t="s">
        <v>380</v>
      </c>
      <c r="I124" s="1">
        <v>2</v>
      </c>
      <c r="J124" s="74" t="s">
        <v>192</v>
      </c>
    </row>
    <row r="125" spans="1:10" ht="12.9" x14ac:dyDescent="0.2">
      <c r="A125" s="139" t="s">
        <v>10</v>
      </c>
      <c r="B125" s="1" t="s">
        <v>2162</v>
      </c>
      <c r="C125" s="592"/>
      <c r="D125" s="9">
        <v>45005</v>
      </c>
      <c r="E125" s="1" t="s">
        <v>72</v>
      </c>
      <c r="F125" s="1" t="s">
        <v>381</v>
      </c>
      <c r="G125" s="1"/>
      <c r="H125" s="1" t="s">
        <v>382</v>
      </c>
      <c r="I125" s="1">
        <v>3</v>
      </c>
      <c r="J125" s="74" t="s">
        <v>16</v>
      </c>
    </row>
    <row r="126" spans="1:10" ht="12.9" x14ac:dyDescent="0.2">
      <c r="A126" s="139" t="s">
        <v>10</v>
      </c>
      <c r="B126" s="1" t="s">
        <v>137</v>
      </c>
      <c r="C126" s="592"/>
      <c r="D126" s="9">
        <v>45006</v>
      </c>
      <c r="E126" s="1" t="s">
        <v>108</v>
      </c>
      <c r="F126" s="1" t="s">
        <v>383</v>
      </c>
      <c r="G126" s="1" t="s">
        <v>110</v>
      </c>
      <c r="H126" s="1" t="s">
        <v>384</v>
      </c>
      <c r="I126" s="1">
        <v>2</v>
      </c>
      <c r="J126" s="74" t="s">
        <v>192</v>
      </c>
    </row>
    <row r="127" spans="1:10" ht="12.9" x14ac:dyDescent="0.2">
      <c r="A127" s="139" t="s">
        <v>17</v>
      </c>
      <c r="B127" s="1" t="s">
        <v>24</v>
      </c>
      <c r="C127" s="592"/>
      <c r="D127" s="9">
        <v>45010</v>
      </c>
      <c r="E127" s="1" t="s">
        <v>368</v>
      </c>
      <c r="F127" s="1" t="s">
        <v>385</v>
      </c>
      <c r="G127" s="1" t="s">
        <v>234</v>
      </c>
      <c r="H127" s="1" t="s">
        <v>386</v>
      </c>
      <c r="I127" s="1">
        <v>2</v>
      </c>
      <c r="J127" s="74" t="s">
        <v>10</v>
      </c>
    </row>
    <row r="128" spans="1:10" ht="12.9" x14ac:dyDescent="0.2">
      <c r="A128" s="139" t="s">
        <v>387</v>
      </c>
      <c r="B128" s="1" t="s">
        <v>11</v>
      </c>
      <c r="C128" s="592"/>
      <c r="D128" s="9">
        <v>45011</v>
      </c>
      <c r="E128" s="1" t="s">
        <v>388</v>
      </c>
      <c r="F128" s="1" t="s">
        <v>389</v>
      </c>
      <c r="G128" s="1" t="s">
        <v>390</v>
      </c>
      <c r="H128" s="1" t="s">
        <v>391</v>
      </c>
      <c r="I128" s="1">
        <v>3</v>
      </c>
      <c r="J128" s="74" t="s">
        <v>16</v>
      </c>
    </row>
    <row r="129" spans="1:10" ht="12.9" x14ac:dyDescent="0.2">
      <c r="A129" s="139" t="s">
        <v>10</v>
      </c>
      <c r="B129" s="1" t="s">
        <v>11</v>
      </c>
      <c r="C129" s="592"/>
      <c r="D129" s="9">
        <v>45012</v>
      </c>
      <c r="E129" s="1" t="s">
        <v>240</v>
      </c>
      <c r="F129" s="1" t="s">
        <v>392</v>
      </c>
      <c r="G129" s="1" t="s">
        <v>281</v>
      </c>
      <c r="H129" s="1" t="s">
        <v>393</v>
      </c>
      <c r="I129" s="1">
        <v>3</v>
      </c>
      <c r="J129" s="74" t="s">
        <v>16</v>
      </c>
    </row>
    <row r="130" spans="1:10" ht="12.9" x14ac:dyDescent="0.2">
      <c r="A130" s="139" t="s">
        <v>10</v>
      </c>
      <c r="B130" s="1" t="s">
        <v>163</v>
      </c>
      <c r="C130" s="592"/>
      <c r="D130" s="9">
        <v>45012</v>
      </c>
      <c r="E130" s="1" t="s">
        <v>337</v>
      </c>
      <c r="F130" s="1" t="s">
        <v>394</v>
      </c>
      <c r="G130" s="1" t="s">
        <v>234</v>
      </c>
      <c r="H130" s="1" t="s">
        <v>395</v>
      </c>
      <c r="I130" s="1">
        <v>42</v>
      </c>
      <c r="J130" s="74" t="s">
        <v>167</v>
      </c>
    </row>
    <row r="131" spans="1:10" ht="12.9" x14ac:dyDescent="0.2">
      <c r="A131" s="139" t="s">
        <v>10</v>
      </c>
      <c r="B131" s="1" t="s">
        <v>163</v>
      </c>
      <c r="C131" s="592"/>
      <c r="D131" s="9">
        <v>45013</v>
      </c>
      <c r="E131" s="1" t="s">
        <v>337</v>
      </c>
      <c r="F131" s="1" t="s">
        <v>394</v>
      </c>
      <c r="G131" s="1" t="s">
        <v>234</v>
      </c>
      <c r="H131" s="1" t="s">
        <v>396</v>
      </c>
      <c r="I131" s="1">
        <v>50</v>
      </c>
      <c r="J131" s="74" t="s">
        <v>167</v>
      </c>
    </row>
    <row r="132" spans="1:10" ht="12.9" x14ac:dyDescent="0.2">
      <c r="A132" s="139" t="s">
        <v>51</v>
      </c>
      <c r="B132" s="1" t="s">
        <v>397</v>
      </c>
      <c r="C132" s="592"/>
      <c r="D132" s="9">
        <v>45013</v>
      </c>
      <c r="E132" s="1" t="s">
        <v>388</v>
      </c>
      <c r="F132" s="1" t="s">
        <v>398</v>
      </c>
      <c r="G132" s="1" t="s">
        <v>234</v>
      </c>
      <c r="H132" s="1" t="s">
        <v>399</v>
      </c>
      <c r="I132" s="1">
        <v>5</v>
      </c>
      <c r="J132" s="74" t="s">
        <v>16</v>
      </c>
    </row>
    <row r="133" spans="1:10" ht="12.9" x14ac:dyDescent="0.2">
      <c r="A133" s="139" t="s">
        <v>10</v>
      </c>
      <c r="B133" s="1" t="s">
        <v>2161</v>
      </c>
      <c r="C133" s="592"/>
      <c r="D133" s="9">
        <v>45014</v>
      </c>
      <c r="E133" s="1" t="s">
        <v>400</v>
      </c>
      <c r="F133" s="1" t="s">
        <v>401</v>
      </c>
      <c r="G133" s="1" t="s">
        <v>366</v>
      </c>
      <c r="H133" s="1" t="s">
        <v>402</v>
      </c>
      <c r="I133" s="1">
        <v>3</v>
      </c>
      <c r="J133" s="74" t="s">
        <v>16</v>
      </c>
    </row>
    <row r="134" spans="1:10" ht="13.6" x14ac:dyDescent="0.2">
      <c r="A134" s="62" t="s">
        <v>403</v>
      </c>
      <c r="B134" s="12"/>
      <c r="C134" s="85"/>
      <c r="D134" s="11"/>
      <c r="E134" s="12"/>
      <c r="F134" s="12"/>
      <c r="G134" s="12"/>
      <c r="H134" s="12"/>
      <c r="I134" s="12"/>
      <c r="J134" s="75"/>
    </row>
    <row r="135" spans="1:10" ht="12.9" x14ac:dyDescent="0.2">
      <c r="A135" s="139" t="s">
        <v>10</v>
      </c>
      <c r="B135" s="1" t="s">
        <v>137</v>
      </c>
      <c r="C135" s="592">
        <f>COUNTIF(B135:B177,$C$2)</f>
        <v>1</v>
      </c>
      <c r="D135" s="9">
        <v>45018</v>
      </c>
      <c r="E135" s="1" t="s">
        <v>404</v>
      </c>
      <c r="F135" s="1" t="s">
        <v>405</v>
      </c>
      <c r="G135" s="1" t="s">
        <v>76</v>
      </c>
      <c r="H135" s="1" t="s">
        <v>406</v>
      </c>
      <c r="I135" s="1">
        <v>4</v>
      </c>
      <c r="J135" s="74" t="s">
        <v>192</v>
      </c>
    </row>
    <row r="136" spans="1:10" ht="12.9" x14ac:dyDescent="0.2">
      <c r="A136" s="139" t="s">
        <v>10</v>
      </c>
      <c r="B136" s="1" t="s">
        <v>24</v>
      </c>
      <c r="C136" s="592"/>
      <c r="D136" s="9">
        <v>45019</v>
      </c>
      <c r="E136" s="1" t="s">
        <v>118</v>
      </c>
      <c r="F136" s="1" t="s">
        <v>407</v>
      </c>
      <c r="G136" s="1" t="s">
        <v>76</v>
      </c>
      <c r="H136" s="1" t="s">
        <v>408</v>
      </c>
      <c r="I136" s="1">
        <v>2</v>
      </c>
      <c r="J136" s="74" t="s">
        <v>78</v>
      </c>
    </row>
    <row r="137" spans="1:10" ht="12.9" x14ac:dyDescent="0.2">
      <c r="A137" s="139" t="s">
        <v>10</v>
      </c>
      <c r="B137" s="1" t="s">
        <v>24</v>
      </c>
      <c r="C137" s="592"/>
      <c r="D137" s="9">
        <v>45019</v>
      </c>
      <c r="E137" s="1" t="s">
        <v>409</v>
      </c>
      <c r="F137" s="1" t="s">
        <v>410</v>
      </c>
      <c r="G137" s="1" t="s">
        <v>76</v>
      </c>
      <c r="H137" s="1" t="s">
        <v>411</v>
      </c>
      <c r="I137" s="1">
        <v>2</v>
      </c>
      <c r="J137" s="74" t="s">
        <v>78</v>
      </c>
    </row>
    <row r="138" spans="1:10" ht="12.9" x14ac:dyDescent="0.2">
      <c r="A138" s="139" t="s">
        <v>17</v>
      </c>
      <c r="B138" s="1" t="s">
        <v>24</v>
      </c>
      <c r="C138" s="592"/>
      <c r="D138" s="9">
        <v>45019</v>
      </c>
      <c r="E138" s="1" t="s">
        <v>180</v>
      </c>
      <c r="F138" s="1" t="s">
        <v>412</v>
      </c>
      <c r="G138" s="1" t="s">
        <v>413</v>
      </c>
      <c r="H138" s="1" t="s">
        <v>414</v>
      </c>
      <c r="I138" s="1">
        <v>2</v>
      </c>
      <c r="J138" s="74" t="s">
        <v>78</v>
      </c>
    </row>
    <row r="139" spans="1:10" ht="12.9" x14ac:dyDescent="0.2">
      <c r="A139" s="139" t="s">
        <v>10</v>
      </c>
      <c r="B139" s="1" t="s">
        <v>163</v>
      </c>
      <c r="C139" s="592"/>
      <c r="D139" s="9">
        <v>45020</v>
      </c>
      <c r="E139" s="1" t="s">
        <v>72</v>
      </c>
      <c r="F139" s="1" t="s">
        <v>415</v>
      </c>
      <c r="G139" s="1" t="s">
        <v>76</v>
      </c>
      <c r="H139" s="1" t="s">
        <v>416</v>
      </c>
      <c r="I139" s="1">
        <v>47</v>
      </c>
      <c r="J139" s="74" t="s">
        <v>10</v>
      </c>
    </row>
    <row r="140" spans="1:10" ht="12.9" x14ac:dyDescent="0.2">
      <c r="A140" s="139" t="s">
        <v>10</v>
      </c>
      <c r="B140" s="1" t="s">
        <v>152</v>
      </c>
      <c r="C140" s="592"/>
      <c r="D140" s="9">
        <v>45020</v>
      </c>
      <c r="E140" s="1" t="s">
        <v>417</v>
      </c>
      <c r="F140" s="1" t="s">
        <v>418</v>
      </c>
      <c r="G140" s="1" t="s">
        <v>139</v>
      </c>
      <c r="H140" s="1" t="s">
        <v>419</v>
      </c>
      <c r="I140" s="1">
        <v>4</v>
      </c>
      <c r="J140" s="74" t="s">
        <v>420</v>
      </c>
    </row>
    <row r="141" spans="1:10" ht="12.9" x14ac:dyDescent="0.2">
      <c r="A141" s="139" t="s">
        <v>10</v>
      </c>
      <c r="B141" s="1" t="s">
        <v>2162</v>
      </c>
      <c r="C141" s="592"/>
      <c r="D141" s="9">
        <v>45021</v>
      </c>
      <c r="E141" s="1" t="s">
        <v>421</v>
      </c>
      <c r="F141" s="1" t="s">
        <v>422</v>
      </c>
      <c r="G141" s="1" t="s">
        <v>246</v>
      </c>
      <c r="H141" s="1" t="s">
        <v>423</v>
      </c>
      <c r="I141" s="1">
        <v>3</v>
      </c>
      <c r="J141" s="74" t="s">
        <v>424</v>
      </c>
    </row>
    <row r="142" spans="1:10" ht="12.9" x14ac:dyDescent="0.2">
      <c r="A142" s="139" t="s">
        <v>10</v>
      </c>
      <c r="B142" s="1" t="s">
        <v>29</v>
      </c>
      <c r="C142" s="592"/>
      <c r="D142" s="9">
        <v>45021</v>
      </c>
      <c r="E142" s="1" t="s">
        <v>425</v>
      </c>
      <c r="F142" s="1" t="s">
        <v>426</v>
      </c>
      <c r="G142" s="1" t="s">
        <v>21</v>
      </c>
      <c r="H142" s="1" t="s">
        <v>427</v>
      </c>
      <c r="I142" s="1">
        <v>2</v>
      </c>
      <c r="J142" s="74" t="s">
        <v>16</v>
      </c>
    </row>
    <row r="143" spans="1:10" ht="12.9" x14ac:dyDescent="0.2">
      <c r="A143" s="139" t="s">
        <v>10</v>
      </c>
      <c r="B143" s="1" t="s">
        <v>2162</v>
      </c>
      <c r="C143" s="592"/>
      <c r="D143" s="9">
        <v>45022</v>
      </c>
      <c r="E143" s="1" t="s">
        <v>428</v>
      </c>
      <c r="F143" s="1" t="s">
        <v>429</v>
      </c>
      <c r="G143" s="1"/>
      <c r="H143" s="1" t="s">
        <v>430</v>
      </c>
      <c r="I143" s="1">
        <v>2</v>
      </c>
      <c r="J143" s="74" t="s">
        <v>50</v>
      </c>
    </row>
    <row r="144" spans="1:10" ht="12.9" x14ac:dyDescent="0.2">
      <c r="A144" s="139" t="s">
        <v>10</v>
      </c>
      <c r="B144" s="1" t="s">
        <v>2162</v>
      </c>
      <c r="C144" s="592"/>
      <c r="D144" s="9">
        <v>45023</v>
      </c>
      <c r="E144" s="1" t="s">
        <v>431</v>
      </c>
      <c r="F144" s="1" t="s">
        <v>432</v>
      </c>
      <c r="G144" s="1" t="s">
        <v>433</v>
      </c>
      <c r="H144" s="1" t="s">
        <v>434</v>
      </c>
      <c r="I144" s="1">
        <v>16</v>
      </c>
      <c r="J144" s="74" t="s">
        <v>56</v>
      </c>
    </row>
    <row r="145" spans="1:10" ht="12.9" x14ac:dyDescent="0.2">
      <c r="A145" s="139" t="s">
        <v>10</v>
      </c>
      <c r="B145" s="1" t="s">
        <v>29</v>
      </c>
      <c r="C145" s="592"/>
      <c r="D145" s="9">
        <v>45024</v>
      </c>
      <c r="E145" s="1" t="s">
        <v>240</v>
      </c>
      <c r="F145" s="1" t="s">
        <v>435</v>
      </c>
      <c r="G145" s="1" t="s">
        <v>436</v>
      </c>
      <c r="H145" s="1" t="s">
        <v>437</v>
      </c>
      <c r="I145" s="1">
        <v>2</v>
      </c>
      <c r="J145" s="74" t="s">
        <v>78</v>
      </c>
    </row>
    <row r="146" spans="1:10" ht="12.9" x14ac:dyDescent="0.2">
      <c r="A146" s="139" t="s">
        <v>10</v>
      </c>
      <c r="B146" s="1" t="s">
        <v>2161</v>
      </c>
      <c r="C146" s="592"/>
      <c r="D146" s="9">
        <v>45026</v>
      </c>
      <c r="E146" s="1" t="s">
        <v>94</v>
      </c>
      <c r="F146" s="1" t="s">
        <v>438</v>
      </c>
      <c r="G146" s="1"/>
      <c r="H146" s="1" t="s">
        <v>439</v>
      </c>
      <c r="I146" s="1">
        <v>2</v>
      </c>
      <c r="J146" s="74" t="s">
        <v>78</v>
      </c>
    </row>
    <row r="147" spans="1:10" ht="12.9" x14ac:dyDescent="0.2">
      <c r="A147" s="139" t="s">
        <v>10</v>
      </c>
      <c r="B147" s="1" t="s">
        <v>188</v>
      </c>
      <c r="C147" s="592"/>
      <c r="D147" s="9">
        <v>45026</v>
      </c>
      <c r="E147" s="1" t="s">
        <v>57</v>
      </c>
      <c r="F147" s="1" t="s">
        <v>440</v>
      </c>
      <c r="G147" s="1" t="s">
        <v>441</v>
      </c>
      <c r="H147" s="1" t="s">
        <v>442</v>
      </c>
      <c r="I147" s="1">
        <v>2</v>
      </c>
      <c r="J147" s="74" t="s">
        <v>424</v>
      </c>
    </row>
    <row r="148" spans="1:10" ht="12.9" x14ac:dyDescent="0.2">
      <c r="A148" s="139" t="s">
        <v>10</v>
      </c>
      <c r="B148" s="1" t="s">
        <v>163</v>
      </c>
      <c r="C148" s="592"/>
      <c r="D148" s="9">
        <v>45027</v>
      </c>
      <c r="E148" s="1" t="s">
        <v>164</v>
      </c>
      <c r="F148" s="1" t="s">
        <v>443</v>
      </c>
      <c r="G148" s="14"/>
      <c r="H148" s="1" t="s">
        <v>444</v>
      </c>
      <c r="I148" s="1">
        <v>39</v>
      </c>
      <c r="J148" s="74" t="s">
        <v>167</v>
      </c>
    </row>
    <row r="149" spans="1:10" ht="12.9" x14ac:dyDescent="0.2">
      <c r="A149" s="139" t="s">
        <v>10</v>
      </c>
      <c r="B149" s="1" t="s">
        <v>29</v>
      </c>
      <c r="C149" s="592"/>
      <c r="D149" s="9">
        <v>45027</v>
      </c>
      <c r="E149" s="1" t="s">
        <v>445</v>
      </c>
      <c r="F149" s="1" t="s">
        <v>446</v>
      </c>
      <c r="G149" s="14"/>
      <c r="H149" s="1" t="s">
        <v>29</v>
      </c>
      <c r="I149" s="1">
        <v>2</v>
      </c>
      <c r="J149" s="74" t="s">
        <v>34</v>
      </c>
    </row>
    <row r="150" spans="1:10" ht="12.9" x14ac:dyDescent="0.2">
      <c r="A150" s="139" t="s">
        <v>387</v>
      </c>
      <c r="B150" s="1" t="s">
        <v>11</v>
      </c>
      <c r="C150" s="592"/>
      <c r="D150" s="9">
        <v>45031</v>
      </c>
      <c r="E150" s="1" t="s">
        <v>108</v>
      </c>
      <c r="F150" s="1" t="s">
        <v>447</v>
      </c>
      <c r="G150" s="1" t="s">
        <v>355</v>
      </c>
      <c r="H150" s="1" t="s">
        <v>448</v>
      </c>
      <c r="I150" s="1">
        <v>2</v>
      </c>
      <c r="J150" s="74" t="s">
        <v>78</v>
      </c>
    </row>
    <row r="151" spans="1:10" ht="12.9" x14ac:dyDescent="0.2">
      <c r="A151" s="139" t="s">
        <v>51</v>
      </c>
      <c r="B151" s="1" t="s">
        <v>52</v>
      </c>
      <c r="C151" s="592"/>
      <c r="D151" s="9">
        <v>45031</v>
      </c>
      <c r="E151" s="1" t="s">
        <v>57</v>
      </c>
      <c r="F151" s="1" t="s">
        <v>449</v>
      </c>
      <c r="G151" s="14"/>
      <c r="H151" s="1" t="s">
        <v>450</v>
      </c>
      <c r="I151" s="1">
        <v>8</v>
      </c>
      <c r="J151" s="74" t="s">
        <v>99</v>
      </c>
    </row>
    <row r="152" spans="1:10" ht="12.9" x14ac:dyDescent="0.2">
      <c r="A152" s="139" t="s">
        <v>10</v>
      </c>
      <c r="B152" s="1" t="s">
        <v>451</v>
      </c>
      <c r="C152" s="592"/>
      <c r="D152" s="9">
        <v>45035</v>
      </c>
      <c r="E152" s="1" t="s">
        <v>57</v>
      </c>
      <c r="F152" s="1" t="s">
        <v>452</v>
      </c>
      <c r="G152" s="1" t="s">
        <v>452</v>
      </c>
      <c r="H152" s="1" t="s">
        <v>453</v>
      </c>
      <c r="I152" s="1">
        <v>2</v>
      </c>
      <c r="J152" s="74" t="s">
        <v>16</v>
      </c>
    </row>
    <row r="153" spans="1:10" ht="12.9" x14ac:dyDescent="0.2">
      <c r="A153" s="139" t="s">
        <v>10</v>
      </c>
      <c r="B153" s="1" t="s">
        <v>163</v>
      </c>
      <c r="C153" s="592"/>
      <c r="D153" s="9">
        <v>45036</v>
      </c>
      <c r="E153" s="1" t="s">
        <v>343</v>
      </c>
      <c r="F153" s="1" t="s">
        <v>95</v>
      </c>
      <c r="G153" s="1" t="s">
        <v>95</v>
      </c>
      <c r="H153" s="1" t="s">
        <v>454</v>
      </c>
      <c r="I153" s="1">
        <v>6</v>
      </c>
      <c r="J153" s="74" t="s">
        <v>455</v>
      </c>
    </row>
    <row r="154" spans="1:10" ht="12.9" x14ac:dyDescent="0.2">
      <c r="A154" s="139" t="s">
        <v>10</v>
      </c>
      <c r="B154" s="1" t="s">
        <v>2162</v>
      </c>
      <c r="C154" s="592"/>
      <c r="D154" s="9">
        <v>45036</v>
      </c>
      <c r="E154" s="1" t="s">
        <v>368</v>
      </c>
      <c r="F154" s="1" t="s">
        <v>456</v>
      </c>
      <c r="G154" s="1" t="s">
        <v>234</v>
      </c>
      <c r="H154" s="1" t="s">
        <v>457</v>
      </c>
      <c r="I154" s="1">
        <v>3</v>
      </c>
      <c r="J154" s="74" t="s">
        <v>16</v>
      </c>
    </row>
    <row r="155" spans="1:10" ht="12.9" x14ac:dyDescent="0.2">
      <c r="A155" s="139" t="s">
        <v>10</v>
      </c>
      <c r="B155" s="1" t="s">
        <v>324</v>
      </c>
      <c r="C155" s="592"/>
      <c r="D155" s="9">
        <v>45039</v>
      </c>
      <c r="E155" s="1" t="s">
        <v>458</v>
      </c>
      <c r="F155" s="1" t="s">
        <v>459</v>
      </c>
      <c r="G155" s="1" t="s">
        <v>128</v>
      </c>
      <c r="H155" s="1" t="s">
        <v>460</v>
      </c>
      <c r="I155" s="1">
        <v>5</v>
      </c>
      <c r="J155" s="74" t="s">
        <v>34</v>
      </c>
    </row>
    <row r="156" spans="1:10" ht="12.9" x14ac:dyDescent="0.2">
      <c r="A156" s="139" t="s">
        <v>10</v>
      </c>
      <c r="B156" s="1" t="s">
        <v>324</v>
      </c>
      <c r="C156" s="592"/>
      <c r="D156" s="9">
        <v>45039</v>
      </c>
      <c r="E156" s="1" t="s">
        <v>126</v>
      </c>
      <c r="F156" s="1" t="s">
        <v>461</v>
      </c>
      <c r="G156" s="1" t="s">
        <v>128</v>
      </c>
      <c r="H156" s="1" t="s">
        <v>462</v>
      </c>
      <c r="I156" s="1">
        <v>5</v>
      </c>
      <c r="J156" s="74" t="s">
        <v>34</v>
      </c>
    </row>
    <row r="157" spans="1:10" ht="12.9" x14ac:dyDescent="0.2">
      <c r="A157" s="139" t="s">
        <v>10</v>
      </c>
      <c r="B157" s="1" t="s">
        <v>2162</v>
      </c>
      <c r="C157" s="592"/>
      <c r="D157" s="9">
        <v>45039</v>
      </c>
      <c r="E157" s="1" t="s">
        <v>463</v>
      </c>
      <c r="F157" s="1" t="s">
        <v>464</v>
      </c>
      <c r="G157" s="1" t="s">
        <v>95</v>
      </c>
      <c r="H157" s="1" t="s">
        <v>465</v>
      </c>
      <c r="I157" s="1">
        <v>1</v>
      </c>
      <c r="J157" s="74" t="s">
        <v>78</v>
      </c>
    </row>
    <row r="158" spans="1:10" ht="12.9" x14ac:dyDescent="0.2">
      <c r="A158" s="139" t="s">
        <v>10</v>
      </c>
      <c r="B158" s="1" t="s">
        <v>29</v>
      </c>
      <c r="C158" s="592"/>
      <c r="D158" s="9">
        <v>45039</v>
      </c>
      <c r="E158" s="1" t="s">
        <v>466</v>
      </c>
      <c r="F158" s="1" t="s">
        <v>467</v>
      </c>
      <c r="G158" s="1" t="s">
        <v>468</v>
      </c>
      <c r="H158" s="1" t="s">
        <v>469</v>
      </c>
      <c r="I158" s="1">
        <v>3</v>
      </c>
      <c r="J158" s="74" t="s">
        <v>34</v>
      </c>
    </row>
    <row r="159" spans="1:10" ht="12.9" x14ac:dyDescent="0.2">
      <c r="A159" s="139" t="s">
        <v>10</v>
      </c>
      <c r="B159" s="1" t="s">
        <v>29</v>
      </c>
      <c r="C159" s="592"/>
      <c r="D159" s="9">
        <v>45039</v>
      </c>
      <c r="E159" s="1" t="s">
        <v>118</v>
      </c>
      <c r="F159" s="1" t="s">
        <v>470</v>
      </c>
      <c r="G159" s="1" t="s">
        <v>471</v>
      </c>
      <c r="H159" s="1" t="s">
        <v>472</v>
      </c>
      <c r="I159" s="1">
        <v>2</v>
      </c>
      <c r="J159" s="74" t="s">
        <v>78</v>
      </c>
    </row>
    <row r="160" spans="1:10" ht="12.9" x14ac:dyDescent="0.2">
      <c r="A160" s="139" t="s">
        <v>51</v>
      </c>
      <c r="B160" s="1" t="s">
        <v>244</v>
      </c>
      <c r="C160" s="592"/>
      <c r="D160" s="9">
        <v>45040</v>
      </c>
      <c r="E160" s="1" t="s">
        <v>112</v>
      </c>
      <c r="F160" s="1" t="s">
        <v>473</v>
      </c>
      <c r="G160" s="1" t="s">
        <v>27</v>
      </c>
      <c r="H160" s="1" t="s">
        <v>474</v>
      </c>
      <c r="I160" s="1">
        <v>9</v>
      </c>
      <c r="J160" s="74" t="s">
        <v>102</v>
      </c>
    </row>
    <row r="161" spans="1:10" ht="12.9" x14ac:dyDescent="0.2">
      <c r="A161" s="139" t="s">
        <v>10</v>
      </c>
      <c r="B161" s="1" t="s">
        <v>163</v>
      </c>
      <c r="C161" s="592"/>
      <c r="D161" s="9">
        <v>45040</v>
      </c>
      <c r="E161" s="1" t="s">
        <v>164</v>
      </c>
      <c r="F161" s="1" t="s">
        <v>475</v>
      </c>
      <c r="G161" s="1" t="s">
        <v>76</v>
      </c>
      <c r="H161" s="1" t="s">
        <v>476</v>
      </c>
      <c r="I161" s="1">
        <v>32</v>
      </c>
      <c r="J161" s="74" t="s">
        <v>10</v>
      </c>
    </row>
    <row r="162" spans="1:10" ht="12.9" x14ac:dyDescent="0.2">
      <c r="A162" s="139" t="s">
        <v>10</v>
      </c>
      <c r="B162" s="1" t="s">
        <v>2161</v>
      </c>
      <c r="C162" s="592"/>
      <c r="D162" s="9">
        <v>45040</v>
      </c>
      <c r="E162" s="1" t="s">
        <v>477</v>
      </c>
      <c r="F162" s="1" t="s">
        <v>478</v>
      </c>
      <c r="G162" s="1" t="s">
        <v>479</v>
      </c>
      <c r="H162" s="1" t="s">
        <v>480</v>
      </c>
      <c r="I162" s="1">
        <v>2</v>
      </c>
      <c r="J162" s="74" t="s">
        <v>192</v>
      </c>
    </row>
    <row r="163" spans="1:10" ht="12.9" x14ac:dyDescent="0.2">
      <c r="A163" s="139" t="s">
        <v>10</v>
      </c>
      <c r="B163" s="1" t="s">
        <v>163</v>
      </c>
      <c r="C163" s="592"/>
      <c r="D163" s="9">
        <v>45041</v>
      </c>
      <c r="E163" s="1" t="s">
        <v>72</v>
      </c>
      <c r="F163" s="1" t="s">
        <v>364</v>
      </c>
      <c r="G163" s="1" t="s">
        <v>76</v>
      </c>
      <c r="H163" s="1" t="s">
        <v>365</v>
      </c>
      <c r="I163" s="1">
        <v>43</v>
      </c>
      <c r="J163" s="74" t="s">
        <v>10</v>
      </c>
    </row>
    <row r="164" spans="1:10" ht="15.8" customHeight="1" x14ac:dyDescent="0.2">
      <c r="A164" s="140" t="s">
        <v>10</v>
      </c>
      <c r="B164" s="44" t="s">
        <v>29</v>
      </c>
      <c r="C164" s="592"/>
      <c r="D164" s="45">
        <v>45043</v>
      </c>
      <c r="E164" s="44" t="s">
        <v>180</v>
      </c>
      <c r="F164" s="44" t="s">
        <v>2170</v>
      </c>
      <c r="G164" s="44" t="s">
        <v>76</v>
      </c>
      <c r="H164" s="44" t="s">
        <v>2171</v>
      </c>
      <c r="I164" s="44">
        <v>5</v>
      </c>
      <c r="J164" s="81" t="s">
        <v>34</v>
      </c>
    </row>
    <row r="165" spans="1:10" ht="15.8" customHeight="1" x14ac:dyDescent="0.2">
      <c r="A165" s="140" t="s">
        <v>17</v>
      </c>
      <c r="B165" s="44" t="s">
        <v>24</v>
      </c>
      <c r="C165" s="592"/>
      <c r="D165" s="45">
        <v>45042</v>
      </c>
      <c r="E165" s="44" t="s">
        <v>1216</v>
      </c>
      <c r="F165" s="44" t="s">
        <v>2172</v>
      </c>
      <c r="G165" s="44" t="s">
        <v>144</v>
      </c>
      <c r="H165" s="44" t="s">
        <v>2173</v>
      </c>
      <c r="I165" s="44">
        <v>1</v>
      </c>
      <c r="J165" s="81" t="s">
        <v>23</v>
      </c>
    </row>
    <row r="166" spans="1:10" ht="15.8" customHeight="1" x14ac:dyDescent="0.2">
      <c r="A166" s="140" t="s">
        <v>10</v>
      </c>
      <c r="B166" s="44" t="s">
        <v>324</v>
      </c>
      <c r="C166" s="592"/>
      <c r="D166" s="45">
        <v>45046</v>
      </c>
      <c r="E166" s="44" t="s">
        <v>2174</v>
      </c>
      <c r="F166" s="44" t="s">
        <v>2175</v>
      </c>
      <c r="G166" s="44" t="s">
        <v>2176</v>
      </c>
      <c r="H166" s="44" t="s">
        <v>2177</v>
      </c>
      <c r="I166" s="44">
        <v>6</v>
      </c>
      <c r="J166" s="81" t="s">
        <v>41</v>
      </c>
    </row>
    <row r="167" spans="1:10" ht="15.8" customHeight="1" x14ac:dyDescent="0.2">
      <c r="A167" s="140" t="s">
        <v>10</v>
      </c>
      <c r="B167" s="44" t="s">
        <v>324</v>
      </c>
      <c r="C167" s="592"/>
      <c r="D167" s="45">
        <v>45046</v>
      </c>
      <c r="E167" s="44" t="s">
        <v>2174</v>
      </c>
      <c r="F167" s="44" t="s">
        <v>2178</v>
      </c>
      <c r="G167" s="44" t="s">
        <v>2179</v>
      </c>
      <c r="H167" s="44" t="s">
        <v>2180</v>
      </c>
      <c r="I167" s="44">
        <v>8</v>
      </c>
      <c r="J167" s="81" t="s">
        <v>2181</v>
      </c>
    </row>
    <row r="168" spans="1:10" ht="15.8" customHeight="1" x14ac:dyDescent="0.2">
      <c r="A168" s="140" t="s">
        <v>10</v>
      </c>
      <c r="B168" s="44" t="s">
        <v>324</v>
      </c>
      <c r="C168" s="592"/>
      <c r="D168" s="45">
        <v>45046</v>
      </c>
      <c r="E168" s="44" t="s">
        <v>1042</v>
      </c>
      <c r="F168" s="44" t="s">
        <v>139</v>
      </c>
      <c r="G168" s="44" t="s">
        <v>139</v>
      </c>
      <c r="H168" s="44" t="s">
        <v>2182</v>
      </c>
      <c r="I168" s="44">
        <v>10</v>
      </c>
      <c r="J168" s="81" t="s">
        <v>16</v>
      </c>
    </row>
    <row r="169" spans="1:10" ht="15.8" customHeight="1" x14ac:dyDescent="0.2">
      <c r="A169" s="140" t="s">
        <v>10</v>
      </c>
      <c r="B169" s="44" t="s">
        <v>324</v>
      </c>
      <c r="C169" s="592"/>
      <c r="D169" s="45">
        <v>45046</v>
      </c>
      <c r="E169" s="44" t="s">
        <v>2183</v>
      </c>
      <c r="F169" s="44" t="s">
        <v>2184</v>
      </c>
      <c r="G169" s="44" t="s">
        <v>95</v>
      </c>
      <c r="H169" s="44" t="s">
        <v>2185</v>
      </c>
      <c r="I169" s="44">
        <v>15</v>
      </c>
      <c r="J169" s="81" t="s">
        <v>2186</v>
      </c>
    </row>
    <row r="170" spans="1:10" ht="15.8" customHeight="1" x14ac:dyDescent="0.2">
      <c r="A170" s="140" t="s">
        <v>10</v>
      </c>
      <c r="B170" s="44" t="s">
        <v>324</v>
      </c>
      <c r="C170" s="592"/>
      <c r="D170" s="45">
        <v>45046</v>
      </c>
      <c r="E170" s="44" t="s">
        <v>800</v>
      </c>
      <c r="F170" s="44" t="s">
        <v>2187</v>
      </c>
      <c r="G170" s="44" t="s">
        <v>1417</v>
      </c>
      <c r="H170" s="44" t="s">
        <v>2188</v>
      </c>
      <c r="I170" s="44">
        <v>5</v>
      </c>
      <c r="J170" s="81" t="s">
        <v>424</v>
      </c>
    </row>
    <row r="171" spans="1:10" ht="15.8" customHeight="1" x14ac:dyDescent="0.2">
      <c r="A171" s="140" t="s">
        <v>10</v>
      </c>
      <c r="B171" s="44" t="s">
        <v>324</v>
      </c>
      <c r="C171" s="592"/>
      <c r="D171" s="45">
        <v>45046</v>
      </c>
      <c r="E171" s="44" t="s">
        <v>57</v>
      </c>
      <c r="F171" s="44" t="s">
        <v>2189</v>
      </c>
      <c r="G171" s="44" t="s">
        <v>128</v>
      </c>
      <c r="H171" s="44" t="s">
        <v>667</v>
      </c>
      <c r="I171" s="44">
        <v>3</v>
      </c>
      <c r="J171" s="81" t="s">
        <v>50</v>
      </c>
    </row>
    <row r="172" spans="1:10" ht="15.8" customHeight="1" x14ac:dyDescent="0.2">
      <c r="A172" s="140" t="s">
        <v>10</v>
      </c>
      <c r="B172" s="44" t="s">
        <v>324</v>
      </c>
      <c r="C172" s="592"/>
      <c r="D172" s="45">
        <v>45046</v>
      </c>
      <c r="E172" s="44" t="s">
        <v>1042</v>
      </c>
      <c r="F172" s="44" t="s">
        <v>2190</v>
      </c>
      <c r="G172" s="44" t="s">
        <v>2190</v>
      </c>
      <c r="H172" s="44" t="s">
        <v>2191</v>
      </c>
      <c r="I172" s="44">
        <v>13</v>
      </c>
      <c r="J172" s="81" t="s">
        <v>2192</v>
      </c>
    </row>
    <row r="173" spans="1:10" ht="15.8" customHeight="1" x14ac:dyDescent="0.2">
      <c r="A173" s="140" t="s">
        <v>10</v>
      </c>
      <c r="B173" s="44" t="s">
        <v>324</v>
      </c>
      <c r="C173" s="592"/>
      <c r="D173" s="45">
        <v>45046</v>
      </c>
      <c r="E173" s="44" t="s">
        <v>800</v>
      </c>
      <c r="F173" s="44" t="s">
        <v>1610</v>
      </c>
      <c r="G173" s="44" t="s">
        <v>1610</v>
      </c>
      <c r="H173" s="44" t="s">
        <v>2193</v>
      </c>
      <c r="I173" s="44">
        <v>7</v>
      </c>
      <c r="J173" s="81" t="s">
        <v>1109</v>
      </c>
    </row>
    <row r="174" spans="1:10" ht="15.8" customHeight="1" x14ac:dyDescent="0.2">
      <c r="A174" s="140" t="s">
        <v>10</v>
      </c>
      <c r="B174" s="44" t="s">
        <v>324</v>
      </c>
      <c r="C174" s="592"/>
      <c r="D174" s="45">
        <v>45046</v>
      </c>
      <c r="E174" s="44" t="s">
        <v>57</v>
      </c>
      <c r="F174" s="44" t="s">
        <v>2194</v>
      </c>
      <c r="G174" s="44" t="s">
        <v>2194</v>
      </c>
      <c r="H174" s="44" t="s">
        <v>2195</v>
      </c>
      <c r="I174" s="44">
        <v>3</v>
      </c>
      <c r="J174" s="81" t="s">
        <v>78</v>
      </c>
    </row>
    <row r="175" spans="1:10" ht="15.8" customHeight="1" x14ac:dyDescent="0.2">
      <c r="A175" s="140" t="s">
        <v>10</v>
      </c>
      <c r="B175" s="44" t="s">
        <v>324</v>
      </c>
      <c r="C175" s="592"/>
      <c r="D175" s="45">
        <v>45046</v>
      </c>
      <c r="E175" s="44" t="s">
        <v>118</v>
      </c>
      <c r="F175" s="44" t="s">
        <v>446</v>
      </c>
      <c r="G175" s="44" t="s">
        <v>446</v>
      </c>
      <c r="H175" s="44" t="s">
        <v>2196</v>
      </c>
      <c r="I175" s="44">
        <v>7</v>
      </c>
      <c r="J175" s="81" t="s">
        <v>10</v>
      </c>
    </row>
    <row r="176" spans="1:10" ht="15.8" customHeight="1" x14ac:dyDescent="0.2">
      <c r="A176" s="140" t="s">
        <v>10</v>
      </c>
      <c r="B176" s="44" t="s">
        <v>324</v>
      </c>
      <c r="C176" s="592"/>
      <c r="D176" s="45">
        <v>45046</v>
      </c>
      <c r="E176" s="44" t="s">
        <v>72</v>
      </c>
      <c r="F176" s="44" t="s">
        <v>95</v>
      </c>
      <c r="G176" s="44" t="s">
        <v>95</v>
      </c>
      <c r="H176" s="44" t="s">
        <v>2197</v>
      </c>
      <c r="I176" s="44">
        <v>7</v>
      </c>
      <c r="J176" s="81" t="s">
        <v>10</v>
      </c>
    </row>
    <row r="177" spans="1:20" ht="15.8" customHeight="1" x14ac:dyDescent="0.2">
      <c r="A177" s="140" t="s">
        <v>10</v>
      </c>
      <c r="B177" s="44" t="s">
        <v>324</v>
      </c>
      <c r="C177" s="592"/>
      <c r="D177" s="45">
        <v>45046</v>
      </c>
      <c r="E177" s="44" t="s">
        <v>57</v>
      </c>
      <c r="F177" s="44" t="s">
        <v>2198</v>
      </c>
      <c r="G177" s="44" t="s">
        <v>2176</v>
      </c>
      <c r="H177" s="44" t="s">
        <v>2199</v>
      </c>
      <c r="I177" s="44">
        <v>8</v>
      </c>
      <c r="J177" s="81" t="s">
        <v>2200</v>
      </c>
    </row>
    <row r="178" spans="1:20" s="59" customFormat="1" ht="13.6" x14ac:dyDescent="0.2">
      <c r="A178" s="63" t="s">
        <v>2145</v>
      </c>
      <c r="B178" s="47"/>
      <c r="C178" s="86"/>
      <c r="D178" s="48"/>
      <c r="E178" s="47"/>
      <c r="F178" s="47"/>
      <c r="G178" s="47"/>
      <c r="H178" s="47"/>
      <c r="I178" s="47"/>
      <c r="J178" s="76"/>
      <c r="K178"/>
      <c r="L178"/>
      <c r="M178"/>
      <c r="N178"/>
      <c r="O178"/>
      <c r="P178"/>
      <c r="Q178"/>
      <c r="R178"/>
      <c r="S178"/>
      <c r="T178"/>
    </row>
    <row r="179" spans="1:20" s="59" customFormat="1" ht="12.9" x14ac:dyDescent="0.2">
      <c r="A179" s="141" t="s">
        <v>10</v>
      </c>
      <c r="B179" s="50" t="s">
        <v>2162</v>
      </c>
      <c r="C179" s="598">
        <f>COUNTIF(B179:B202,$C$2)</f>
        <v>1</v>
      </c>
      <c r="D179" s="51">
        <v>45047</v>
      </c>
      <c r="E179" s="50" t="s">
        <v>2183</v>
      </c>
      <c r="F179" s="50" t="s">
        <v>2201</v>
      </c>
      <c r="G179" s="50" t="s">
        <v>178</v>
      </c>
      <c r="H179" s="50" t="s">
        <v>2202</v>
      </c>
      <c r="I179" s="50">
        <v>11</v>
      </c>
      <c r="J179" s="77" t="s">
        <v>2203</v>
      </c>
      <c r="K179"/>
      <c r="L179"/>
      <c r="M179"/>
      <c r="N179"/>
      <c r="O179"/>
      <c r="P179"/>
      <c r="Q179"/>
      <c r="R179"/>
      <c r="S179"/>
      <c r="T179"/>
    </row>
    <row r="180" spans="1:20" s="59" customFormat="1" ht="12.9" x14ac:dyDescent="0.2">
      <c r="A180" s="141" t="s">
        <v>10</v>
      </c>
      <c r="B180" s="50" t="s">
        <v>481</v>
      </c>
      <c r="C180" s="598"/>
      <c r="D180" s="51">
        <v>45047</v>
      </c>
      <c r="E180" s="50" t="s">
        <v>112</v>
      </c>
      <c r="F180" s="50" t="s">
        <v>2204</v>
      </c>
      <c r="G180" s="50" t="s">
        <v>189</v>
      </c>
      <c r="H180" s="50" t="s">
        <v>2205</v>
      </c>
      <c r="I180" s="50">
        <v>9</v>
      </c>
      <c r="J180" s="77" t="s">
        <v>60</v>
      </c>
      <c r="K180"/>
      <c r="L180"/>
      <c r="M180"/>
      <c r="N180"/>
      <c r="O180"/>
      <c r="P180"/>
      <c r="Q180"/>
      <c r="R180"/>
      <c r="S180"/>
      <c r="T180"/>
    </row>
    <row r="181" spans="1:20" s="59" customFormat="1" ht="12.9" x14ac:dyDescent="0.2">
      <c r="A181" s="141" t="s">
        <v>10</v>
      </c>
      <c r="B181" s="50" t="s">
        <v>2162</v>
      </c>
      <c r="C181" s="598"/>
      <c r="D181" s="51">
        <v>45048</v>
      </c>
      <c r="E181" s="50" t="s">
        <v>337</v>
      </c>
      <c r="F181" s="50" t="s">
        <v>242</v>
      </c>
      <c r="G181" s="50" t="s">
        <v>242</v>
      </c>
      <c r="H181" s="50" t="s">
        <v>502</v>
      </c>
      <c r="I181" s="50">
        <v>3</v>
      </c>
      <c r="J181" s="77" t="s">
        <v>78</v>
      </c>
      <c r="K181"/>
      <c r="L181"/>
      <c r="M181"/>
      <c r="N181"/>
      <c r="O181"/>
      <c r="P181"/>
      <c r="Q181"/>
      <c r="R181"/>
      <c r="S181"/>
      <c r="T181"/>
    </row>
    <row r="182" spans="1:20" s="59" customFormat="1" ht="12.9" x14ac:dyDescent="0.2">
      <c r="A182" s="141" t="s">
        <v>10</v>
      </c>
      <c r="B182" s="50" t="s">
        <v>2161</v>
      </c>
      <c r="C182" s="598"/>
      <c r="D182" s="51">
        <v>45049</v>
      </c>
      <c r="E182" s="50" t="s">
        <v>118</v>
      </c>
      <c r="F182" s="50" t="s">
        <v>2206</v>
      </c>
      <c r="G182" s="50" t="s">
        <v>70</v>
      </c>
      <c r="H182" s="50" t="s">
        <v>2207</v>
      </c>
      <c r="I182" s="50">
        <v>5</v>
      </c>
      <c r="J182" s="77" t="s">
        <v>78</v>
      </c>
      <c r="K182"/>
      <c r="L182"/>
      <c r="M182"/>
      <c r="N182"/>
      <c r="O182"/>
      <c r="P182"/>
      <c r="Q182"/>
      <c r="R182"/>
      <c r="S182"/>
      <c r="T182"/>
    </row>
    <row r="183" spans="1:20" s="59" customFormat="1" ht="12.9" x14ac:dyDescent="0.2">
      <c r="A183" s="141" t="s">
        <v>35</v>
      </c>
      <c r="B183" s="50" t="s">
        <v>152</v>
      </c>
      <c r="C183" s="598"/>
      <c r="D183" s="51">
        <v>45051</v>
      </c>
      <c r="E183" s="50" t="s">
        <v>126</v>
      </c>
      <c r="F183" s="50" t="s">
        <v>2208</v>
      </c>
      <c r="G183" s="50" t="s">
        <v>110</v>
      </c>
      <c r="H183" s="50" t="s">
        <v>2209</v>
      </c>
      <c r="I183" s="50">
        <v>4</v>
      </c>
      <c r="J183" s="77" t="s">
        <v>50</v>
      </c>
      <c r="K183"/>
      <c r="L183"/>
      <c r="M183"/>
      <c r="N183"/>
      <c r="O183"/>
      <c r="P183"/>
      <c r="Q183"/>
      <c r="R183"/>
      <c r="S183"/>
      <c r="T183"/>
    </row>
    <row r="184" spans="1:20" s="59" customFormat="1" ht="12.9" x14ac:dyDescent="0.2">
      <c r="A184" s="141" t="s">
        <v>17</v>
      </c>
      <c r="B184" s="50" t="s">
        <v>24</v>
      </c>
      <c r="C184" s="598"/>
      <c r="D184" s="51">
        <v>45051</v>
      </c>
      <c r="E184" s="50" t="s">
        <v>240</v>
      </c>
      <c r="F184" s="50" t="s">
        <v>2210</v>
      </c>
      <c r="G184" s="50" t="s">
        <v>2211</v>
      </c>
      <c r="H184" s="50" t="s">
        <v>2212</v>
      </c>
      <c r="I184" s="50">
        <v>1</v>
      </c>
      <c r="J184" s="77" t="s">
        <v>50</v>
      </c>
      <c r="K184"/>
      <c r="L184"/>
      <c r="M184"/>
      <c r="N184"/>
      <c r="O184"/>
      <c r="P184"/>
      <c r="Q184"/>
      <c r="R184"/>
      <c r="S184"/>
      <c r="T184"/>
    </row>
    <row r="185" spans="1:20" s="59" customFormat="1" ht="12.9" x14ac:dyDescent="0.2">
      <c r="A185" s="141" t="s">
        <v>17</v>
      </c>
      <c r="B185" s="50" t="s">
        <v>24</v>
      </c>
      <c r="C185" s="598"/>
      <c r="D185" s="51">
        <v>45052</v>
      </c>
      <c r="E185" s="50" t="s">
        <v>240</v>
      </c>
      <c r="F185" s="50" t="s">
        <v>2213</v>
      </c>
      <c r="G185" s="50" t="s">
        <v>2213</v>
      </c>
      <c r="H185" s="50" t="s">
        <v>2214</v>
      </c>
      <c r="I185" s="50">
        <v>1</v>
      </c>
      <c r="J185" s="77" t="s">
        <v>78</v>
      </c>
      <c r="K185"/>
      <c r="L185"/>
      <c r="M185"/>
      <c r="N185"/>
      <c r="O185"/>
      <c r="P185"/>
      <c r="Q185"/>
      <c r="R185"/>
      <c r="S185"/>
      <c r="T185"/>
    </row>
    <row r="186" spans="1:20" s="59" customFormat="1" ht="12.9" x14ac:dyDescent="0.2">
      <c r="A186" s="141" t="s">
        <v>17</v>
      </c>
      <c r="B186" s="50" t="s">
        <v>24</v>
      </c>
      <c r="C186" s="598"/>
      <c r="D186" s="51">
        <v>45052</v>
      </c>
      <c r="E186" s="50" t="s">
        <v>240</v>
      </c>
      <c r="F186" s="50" t="s">
        <v>555</v>
      </c>
      <c r="G186" s="50" t="s">
        <v>281</v>
      </c>
      <c r="H186" s="50" t="s">
        <v>2215</v>
      </c>
      <c r="I186" s="50">
        <v>1</v>
      </c>
      <c r="J186" s="77" t="s">
        <v>78</v>
      </c>
      <c r="K186"/>
      <c r="L186"/>
      <c r="M186"/>
      <c r="N186"/>
      <c r="O186"/>
      <c r="P186"/>
      <c r="Q186"/>
      <c r="R186"/>
      <c r="S186"/>
      <c r="T186"/>
    </row>
    <row r="187" spans="1:20" s="59" customFormat="1" ht="12.9" x14ac:dyDescent="0.2">
      <c r="A187" s="141" t="s">
        <v>10</v>
      </c>
      <c r="B187" s="50" t="s">
        <v>163</v>
      </c>
      <c r="C187" s="598"/>
      <c r="D187" s="51">
        <v>45054</v>
      </c>
      <c r="E187" s="50" t="s">
        <v>337</v>
      </c>
      <c r="F187" s="50" t="s">
        <v>2216</v>
      </c>
      <c r="G187" s="50" t="s">
        <v>234</v>
      </c>
      <c r="H187" s="50" t="s">
        <v>350</v>
      </c>
      <c r="I187" s="50">
        <v>42</v>
      </c>
      <c r="J187" s="77" t="s">
        <v>167</v>
      </c>
      <c r="K187"/>
      <c r="L187"/>
      <c r="M187"/>
      <c r="N187"/>
      <c r="O187"/>
      <c r="P187"/>
      <c r="Q187"/>
      <c r="R187"/>
      <c r="S187"/>
      <c r="T187"/>
    </row>
    <row r="188" spans="1:20" s="59" customFormat="1" ht="12.9" x14ac:dyDescent="0.2">
      <c r="A188" s="141" t="s">
        <v>10</v>
      </c>
      <c r="B188" s="50" t="s">
        <v>137</v>
      </c>
      <c r="C188" s="598"/>
      <c r="D188" s="51">
        <v>45054</v>
      </c>
      <c r="E188" s="50" t="s">
        <v>2217</v>
      </c>
      <c r="F188" s="50" t="s">
        <v>2218</v>
      </c>
      <c r="G188" s="50" t="s">
        <v>1324</v>
      </c>
      <c r="H188" s="50" t="s">
        <v>2219</v>
      </c>
      <c r="I188" s="50">
        <v>2</v>
      </c>
      <c r="J188" s="77" t="s">
        <v>50</v>
      </c>
      <c r="K188"/>
      <c r="L188"/>
      <c r="M188"/>
      <c r="N188"/>
      <c r="O188"/>
      <c r="P188"/>
      <c r="Q188"/>
      <c r="R188"/>
      <c r="S188"/>
      <c r="T188"/>
    </row>
    <row r="189" spans="1:20" s="59" customFormat="1" ht="12.9" x14ac:dyDescent="0.2">
      <c r="A189" s="141" t="s">
        <v>10</v>
      </c>
      <c r="B189" s="50" t="s">
        <v>2162</v>
      </c>
      <c r="C189" s="598"/>
      <c r="D189" s="51">
        <v>45056</v>
      </c>
      <c r="E189" s="50" t="s">
        <v>388</v>
      </c>
      <c r="F189" s="50" t="s">
        <v>2220</v>
      </c>
      <c r="G189" s="50" t="s">
        <v>21</v>
      </c>
      <c r="H189" s="50" t="s">
        <v>2221</v>
      </c>
      <c r="I189" s="50">
        <v>1</v>
      </c>
      <c r="J189" s="77" t="s">
        <v>10</v>
      </c>
      <c r="K189"/>
      <c r="L189"/>
      <c r="M189"/>
      <c r="N189"/>
      <c r="O189"/>
      <c r="P189"/>
      <c r="Q189"/>
      <c r="R189"/>
      <c r="S189"/>
      <c r="T189"/>
    </row>
    <row r="190" spans="1:20" s="59" customFormat="1" ht="12.9" x14ac:dyDescent="0.2">
      <c r="A190" s="141" t="s">
        <v>10</v>
      </c>
      <c r="B190" s="50" t="s">
        <v>2161</v>
      </c>
      <c r="C190" s="598"/>
      <c r="D190" s="51">
        <v>45059</v>
      </c>
      <c r="E190" s="50" t="s">
        <v>493</v>
      </c>
      <c r="F190" s="50" t="s">
        <v>987</v>
      </c>
      <c r="G190" s="50" t="s">
        <v>2222</v>
      </c>
      <c r="H190" s="50" t="s">
        <v>2223</v>
      </c>
      <c r="I190" s="50">
        <v>6</v>
      </c>
      <c r="J190" s="77" t="s">
        <v>34</v>
      </c>
      <c r="K190"/>
      <c r="L190"/>
      <c r="M190"/>
      <c r="N190"/>
      <c r="O190"/>
      <c r="P190"/>
      <c r="Q190"/>
      <c r="R190"/>
      <c r="S190"/>
      <c r="T190"/>
    </row>
    <row r="191" spans="1:20" s="59" customFormat="1" ht="12.9" x14ac:dyDescent="0.2">
      <c r="A191" s="141" t="s">
        <v>10</v>
      </c>
      <c r="B191" s="50" t="s">
        <v>137</v>
      </c>
      <c r="C191" s="598"/>
      <c r="D191" s="51">
        <v>45060</v>
      </c>
      <c r="E191" s="50" t="s">
        <v>104</v>
      </c>
      <c r="F191" s="50" t="s">
        <v>2224</v>
      </c>
      <c r="G191" s="50" t="s">
        <v>139</v>
      </c>
      <c r="H191" s="50" t="s">
        <v>2225</v>
      </c>
      <c r="I191" s="50">
        <v>4</v>
      </c>
      <c r="J191" s="77" t="s">
        <v>34</v>
      </c>
      <c r="K191"/>
      <c r="L191"/>
      <c r="M191"/>
      <c r="N191"/>
      <c r="O191"/>
      <c r="P191"/>
      <c r="Q191"/>
      <c r="R191"/>
      <c r="S191"/>
      <c r="T191"/>
    </row>
    <row r="192" spans="1:20" s="59" customFormat="1" ht="12.9" x14ac:dyDescent="0.2">
      <c r="A192" s="141" t="s">
        <v>35</v>
      </c>
      <c r="B192" s="50" t="s">
        <v>137</v>
      </c>
      <c r="C192" s="598"/>
      <c r="D192" s="51">
        <v>45061</v>
      </c>
      <c r="E192" s="50" t="s">
        <v>2226</v>
      </c>
      <c r="F192" s="50" t="s">
        <v>1343</v>
      </c>
      <c r="G192" s="50"/>
      <c r="H192" s="50" t="s">
        <v>2227</v>
      </c>
      <c r="I192" s="50">
        <v>3</v>
      </c>
      <c r="J192" s="77" t="s">
        <v>16</v>
      </c>
      <c r="K192"/>
      <c r="L192"/>
      <c r="M192"/>
      <c r="N192"/>
      <c r="O192"/>
      <c r="P192"/>
      <c r="Q192"/>
      <c r="R192"/>
      <c r="S192"/>
      <c r="T192"/>
    </row>
    <row r="193" spans="1:20" s="59" customFormat="1" ht="12.9" x14ac:dyDescent="0.2">
      <c r="A193" s="141" t="s">
        <v>10</v>
      </c>
      <c r="B193" s="50" t="s">
        <v>163</v>
      </c>
      <c r="C193" s="598"/>
      <c r="D193" s="51">
        <v>45061</v>
      </c>
      <c r="E193" s="50" t="s">
        <v>2228</v>
      </c>
      <c r="F193" s="50" t="s">
        <v>1402</v>
      </c>
      <c r="G193" s="50" t="s">
        <v>76</v>
      </c>
      <c r="H193" s="50" t="s">
        <v>2229</v>
      </c>
      <c r="I193" s="50">
        <v>27</v>
      </c>
      <c r="J193" s="77" t="s">
        <v>10</v>
      </c>
      <c r="K193"/>
      <c r="L193"/>
      <c r="M193"/>
      <c r="N193"/>
      <c r="O193"/>
      <c r="P193"/>
      <c r="Q193"/>
      <c r="R193"/>
      <c r="S193"/>
      <c r="T193"/>
    </row>
    <row r="194" spans="1:20" s="59" customFormat="1" ht="12.9" x14ac:dyDescent="0.2">
      <c r="A194" s="141" t="s">
        <v>10</v>
      </c>
      <c r="B194" s="50" t="s">
        <v>152</v>
      </c>
      <c r="C194" s="598"/>
      <c r="D194" s="51">
        <v>45063</v>
      </c>
      <c r="E194" s="50" t="s">
        <v>2230</v>
      </c>
      <c r="F194" s="50" t="s">
        <v>2231</v>
      </c>
      <c r="G194" s="50" t="s">
        <v>95</v>
      </c>
      <c r="H194" s="50" t="s">
        <v>2232</v>
      </c>
      <c r="I194" s="50">
        <v>7</v>
      </c>
      <c r="J194" s="77" t="s">
        <v>41</v>
      </c>
      <c r="K194"/>
      <c r="L194"/>
      <c r="M194"/>
      <c r="N194"/>
      <c r="O194"/>
      <c r="P194"/>
      <c r="Q194"/>
      <c r="R194"/>
      <c r="S194"/>
      <c r="T194"/>
    </row>
    <row r="195" spans="1:20" s="59" customFormat="1" ht="12.9" x14ac:dyDescent="0.2">
      <c r="A195" s="141" t="s">
        <v>10</v>
      </c>
      <c r="B195" s="50" t="s">
        <v>163</v>
      </c>
      <c r="C195" s="598"/>
      <c r="D195" s="51">
        <v>45064</v>
      </c>
      <c r="E195" s="50" t="s">
        <v>164</v>
      </c>
      <c r="F195" s="50" t="s">
        <v>2233</v>
      </c>
      <c r="G195" s="50" t="s">
        <v>76</v>
      </c>
      <c r="H195" s="50" t="s">
        <v>2234</v>
      </c>
      <c r="I195" s="50">
        <v>35</v>
      </c>
      <c r="J195" s="77" t="s">
        <v>10</v>
      </c>
      <c r="K195"/>
      <c r="L195"/>
      <c r="M195"/>
      <c r="N195"/>
      <c r="O195"/>
      <c r="P195"/>
      <c r="Q195"/>
      <c r="R195"/>
      <c r="S195"/>
      <c r="T195"/>
    </row>
    <row r="196" spans="1:20" s="59" customFormat="1" ht="12.9" x14ac:dyDescent="0.2">
      <c r="A196" s="141" t="s">
        <v>51</v>
      </c>
      <c r="B196" s="50" t="s">
        <v>52</v>
      </c>
      <c r="C196" s="598"/>
      <c r="D196" s="51">
        <v>45064</v>
      </c>
      <c r="E196" s="50" t="s">
        <v>2226</v>
      </c>
      <c r="F196" s="50" t="s">
        <v>2235</v>
      </c>
      <c r="G196" s="50"/>
      <c r="H196" s="50" t="s">
        <v>2236</v>
      </c>
      <c r="I196" s="50">
        <v>2</v>
      </c>
      <c r="J196" s="77" t="s">
        <v>16</v>
      </c>
      <c r="K196"/>
      <c r="L196"/>
      <c r="M196"/>
      <c r="N196"/>
      <c r="O196"/>
      <c r="P196"/>
      <c r="Q196"/>
      <c r="R196"/>
      <c r="S196"/>
      <c r="T196"/>
    </row>
    <row r="197" spans="1:20" s="59" customFormat="1" ht="12.9" x14ac:dyDescent="0.2">
      <c r="A197" s="141" t="s">
        <v>10</v>
      </c>
      <c r="B197" s="50" t="s">
        <v>11</v>
      </c>
      <c r="C197" s="598"/>
      <c r="D197" s="51">
        <v>45064</v>
      </c>
      <c r="E197" s="50" t="s">
        <v>112</v>
      </c>
      <c r="F197" s="50" t="s">
        <v>2237</v>
      </c>
      <c r="G197" s="50" t="s">
        <v>85</v>
      </c>
      <c r="H197" s="50" t="s">
        <v>2238</v>
      </c>
      <c r="I197" s="50">
        <v>3</v>
      </c>
      <c r="J197" s="77" t="s">
        <v>16</v>
      </c>
      <c r="K197"/>
      <c r="L197"/>
      <c r="M197"/>
      <c r="N197"/>
      <c r="O197"/>
      <c r="P197"/>
      <c r="Q197"/>
      <c r="R197"/>
      <c r="S197"/>
      <c r="T197"/>
    </row>
    <row r="198" spans="1:20" s="59" customFormat="1" ht="12.9" x14ac:dyDescent="0.2">
      <c r="A198" s="141" t="s">
        <v>10</v>
      </c>
      <c r="B198" s="50" t="s">
        <v>147</v>
      </c>
      <c r="C198" s="598"/>
      <c r="D198" s="51">
        <v>45068</v>
      </c>
      <c r="E198" s="50" t="s">
        <v>207</v>
      </c>
      <c r="F198" s="50" t="s">
        <v>2239</v>
      </c>
      <c r="G198" s="50" t="s">
        <v>85</v>
      </c>
      <c r="H198" s="50" t="s">
        <v>2240</v>
      </c>
      <c r="I198" s="50">
        <v>5</v>
      </c>
      <c r="J198" s="77" t="s">
        <v>16</v>
      </c>
      <c r="K198"/>
      <c r="L198"/>
      <c r="M198"/>
      <c r="N198"/>
      <c r="O198"/>
      <c r="P198"/>
      <c r="Q198"/>
      <c r="R198"/>
      <c r="S198"/>
      <c r="T198"/>
    </row>
    <row r="199" spans="1:20" s="59" customFormat="1" ht="12.9" x14ac:dyDescent="0.2">
      <c r="A199" s="141" t="s">
        <v>10</v>
      </c>
      <c r="B199" s="50" t="s">
        <v>163</v>
      </c>
      <c r="C199" s="598"/>
      <c r="D199" s="51">
        <v>45071</v>
      </c>
      <c r="E199" s="50" t="s">
        <v>337</v>
      </c>
      <c r="F199" s="50" t="s">
        <v>2241</v>
      </c>
      <c r="G199" s="50" t="s">
        <v>234</v>
      </c>
      <c r="H199" s="50" t="s">
        <v>2242</v>
      </c>
      <c r="I199" s="50">
        <v>42</v>
      </c>
      <c r="J199" s="77" t="s">
        <v>167</v>
      </c>
      <c r="K199"/>
      <c r="L199"/>
      <c r="M199"/>
      <c r="N199"/>
      <c r="O199"/>
      <c r="P199"/>
      <c r="Q199"/>
      <c r="R199"/>
      <c r="S199"/>
      <c r="T199"/>
    </row>
    <row r="200" spans="1:20" s="59" customFormat="1" ht="12.9" x14ac:dyDescent="0.2">
      <c r="A200" s="141" t="s">
        <v>10</v>
      </c>
      <c r="B200" s="50" t="s">
        <v>2162</v>
      </c>
      <c r="C200" s="598"/>
      <c r="D200" s="51">
        <v>45072</v>
      </c>
      <c r="E200" s="50" t="s">
        <v>69</v>
      </c>
      <c r="F200" s="50" t="s">
        <v>2243</v>
      </c>
      <c r="G200" s="50" t="s">
        <v>281</v>
      </c>
      <c r="H200" s="50" t="s">
        <v>2244</v>
      </c>
      <c r="I200" s="50">
        <v>9</v>
      </c>
      <c r="J200" s="77" t="s">
        <v>34</v>
      </c>
      <c r="K200"/>
      <c r="L200"/>
      <c r="M200"/>
      <c r="N200"/>
      <c r="O200"/>
      <c r="P200"/>
      <c r="Q200"/>
      <c r="R200"/>
      <c r="S200"/>
      <c r="T200"/>
    </row>
    <row r="201" spans="1:20" s="59" customFormat="1" ht="12.9" x14ac:dyDescent="0.2">
      <c r="A201" s="141" t="s">
        <v>10</v>
      </c>
      <c r="B201" s="50" t="s">
        <v>11</v>
      </c>
      <c r="C201" s="598"/>
      <c r="D201" s="51">
        <v>45073</v>
      </c>
      <c r="E201" s="50" t="s">
        <v>118</v>
      </c>
      <c r="F201" s="50" t="s">
        <v>2245</v>
      </c>
      <c r="G201" s="50" t="s">
        <v>182</v>
      </c>
      <c r="H201" s="50" t="s">
        <v>11</v>
      </c>
      <c r="I201" s="50">
        <v>4</v>
      </c>
      <c r="J201" s="77" t="s">
        <v>16</v>
      </c>
      <c r="K201"/>
      <c r="L201"/>
      <c r="M201"/>
      <c r="N201"/>
      <c r="O201"/>
      <c r="P201"/>
      <c r="Q201"/>
      <c r="R201"/>
      <c r="S201"/>
      <c r="T201"/>
    </row>
    <row r="202" spans="1:20" s="59" customFormat="1" ht="12.9" x14ac:dyDescent="0.2">
      <c r="A202" s="141" t="s">
        <v>10</v>
      </c>
      <c r="B202" s="50" t="s">
        <v>163</v>
      </c>
      <c r="C202" s="598"/>
      <c r="D202" s="51">
        <v>45075</v>
      </c>
      <c r="E202" s="50" t="s">
        <v>337</v>
      </c>
      <c r="F202" s="50" t="s">
        <v>885</v>
      </c>
      <c r="G202" s="50" t="s">
        <v>234</v>
      </c>
      <c r="H202" s="50" t="s">
        <v>2246</v>
      </c>
      <c r="I202" s="50">
        <v>38</v>
      </c>
      <c r="J202" s="77" t="s">
        <v>167</v>
      </c>
      <c r="K202"/>
      <c r="L202"/>
      <c r="M202"/>
      <c r="N202"/>
      <c r="O202"/>
      <c r="P202"/>
      <c r="Q202"/>
      <c r="R202"/>
      <c r="S202"/>
      <c r="T202"/>
    </row>
    <row r="203" spans="1:20" s="59" customFormat="1" ht="13.6" x14ac:dyDescent="0.2">
      <c r="A203" s="63" t="s">
        <v>835</v>
      </c>
      <c r="B203" s="47"/>
      <c r="C203" s="86"/>
      <c r="D203" s="48"/>
      <c r="E203" s="47"/>
      <c r="F203" s="47"/>
      <c r="G203" s="47"/>
      <c r="H203" s="47"/>
      <c r="I203" s="47"/>
      <c r="J203" s="76"/>
      <c r="K203"/>
      <c r="L203"/>
      <c r="M203"/>
      <c r="N203"/>
      <c r="O203"/>
      <c r="P203"/>
      <c r="Q203"/>
      <c r="R203"/>
      <c r="S203"/>
      <c r="T203"/>
    </row>
    <row r="204" spans="1:20" s="59" customFormat="1" ht="12.9" x14ac:dyDescent="0.2">
      <c r="A204" s="141" t="s">
        <v>10</v>
      </c>
      <c r="B204" s="50" t="s">
        <v>163</v>
      </c>
      <c r="C204" s="598">
        <f>COUNTIF(B204:B225,$C$2)</f>
        <v>6</v>
      </c>
      <c r="D204" s="51">
        <v>45078</v>
      </c>
      <c r="E204" s="50" t="s">
        <v>72</v>
      </c>
      <c r="F204" s="50" t="s">
        <v>443</v>
      </c>
      <c r="G204" s="50"/>
      <c r="H204" s="50" t="s">
        <v>166</v>
      </c>
      <c r="I204" s="50">
        <v>42</v>
      </c>
      <c r="J204" s="77" t="s">
        <v>167</v>
      </c>
      <c r="K204"/>
      <c r="L204"/>
      <c r="M204"/>
      <c r="N204"/>
      <c r="O204"/>
      <c r="P204"/>
      <c r="Q204"/>
      <c r="R204"/>
      <c r="S204"/>
      <c r="T204"/>
    </row>
    <row r="205" spans="1:20" s="59" customFormat="1" ht="12.9" x14ac:dyDescent="0.2">
      <c r="A205" s="141" t="s">
        <v>35</v>
      </c>
      <c r="B205" s="50" t="s">
        <v>2164</v>
      </c>
      <c r="C205" s="598"/>
      <c r="D205" s="51">
        <v>45079</v>
      </c>
      <c r="E205" s="50" t="s">
        <v>57</v>
      </c>
      <c r="F205" s="50" t="s">
        <v>2247</v>
      </c>
      <c r="G205" s="50"/>
      <c r="H205" s="50" t="s">
        <v>2248</v>
      </c>
      <c r="I205" s="50">
        <v>4</v>
      </c>
      <c r="J205" s="77" t="s">
        <v>16</v>
      </c>
      <c r="K205"/>
      <c r="L205"/>
      <c r="M205"/>
      <c r="N205"/>
      <c r="O205"/>
      <c r="P205"/>
      <c r="Q205"/>
      <c r="R205"/>
      <c r="S205"/>
      <c r="T205"/>
    </row>
    <row r="206" spans="1:20" s="59" customFormat="1" ht="12.9" x14ac:dyDescent="0.2">
      <c r="A206" s="141" t="s">
        <v>10</v>
      </c>
      <c r="B206" s="50" t="s">
        <v>163</v>
      </c>
      <c r="C206" s="598"/>
      <c r="D206" s="51">
        <v>45082</v>
      </c>
      <c r="E206" s="50" t="s">
        <v>164</v>
      </c>
      <c r="F206" s="50" t="s">
        <v>443</v>
      </c>
      <c r="G206" s="50"/>
      <c r="H206" s="50" t="s">
        <v>166</v>
      </c>
      <c r="I206" s="50">
        <v>36</v>
      </c>
      <c r="J206" s="77" t="s">
        <v>167</v>
      </c>
      <c r="K206"/>
      <c r="L206"/>
      <c r="M206"/>
      <c r="N206"/>
      <c r="O206"/>
      <c r="P206"/>
      <c r="Q206"/>
      <c r="R206"/>
      <c r="S206"/>
      <c r="T206"/>
    </row>
    <row r="207" spans="1:20" s="59" customFormat="1" ht="12.9" x14ac:dyDescent="0.2">
      <c r="A207" s="141" t="s">
        <v>51</v>
      </c>
      <c r="B207" s="50" t="s">
        <v>481</v>
      </c>
      <c r="C207" s="598"/>
      <c r="D207" s="51">
        <v>45085</v>
      </c>
      <c r="E207" s="50" t="s">
        <v>2249</v>
      </c>
      <c r="F207" s="50" t="s">
        <v>2250</v>
      </c>
      <c r="G207" s="50" t="s">
        <v>85</v>
      </c>
      <c r="H207" s="50" t="s">
        <v>2251</v>
      </c>
      <c r="I207" s="50">
        <v>8</v>
      </c>
      <c r="J207" s="77" t="s">
        <v>60</v>
      </c>
      <c r="K207"/>
      <c r="L207"/>
      <c r="M207"/>
      <c r="N207"/>
      <c r="O207"/>
      <c r="P207"/>
      <c r="Q207"/>
      <c r="R207"/>
      <c r="S207"/>
      <c r="T207"/>
    </row>
    <row r="208" spans="1:20" s="59" customFormat="1" ht="12.9" x14ac:dyDescent="0.2">
      <c r="A208" s="141" t="s">
        <v>146</v>
      </c>
      <c r="B208" s="50" t="s">
        <v>11</v>
      </c>
      <c r="C208" s="598"/>
      <c r="D208" s="51">
        <v>45087</v>
      </c>
      <c r="E208" s="50" t="s">
        <v>91</v>
      </c>
      <c r="F208" s="50" t="s">
        <v>2252</v>
      </c>
      <c r="G208" s="50"/>
      <c r="H208" s="50" t="s">
        <v>2253</v>
      </c>
      <c r="I208" s="50">
        <v>2</v>
      </c>
      <c r="J208" s="77" t="s">
        <v>16</v>
      </c>
      <c r="K208"/>
      <c r="L208"/>
      <c r="M208"/>
      <c r="N208"/>
      <c r="O208"/>
      <c r="P208"/>
      <c r="Q208"/>
      <c r="R208"/>
      <c r="S208"/>
      <c r="T208"/>
    </row>
    <row r="209" spans="1:20" s="59" customFormat="1" ht="12.9" x14ac:dyDescent="0.2">
      <c r="A209" s="141" t="s">
        <v>17</v>
      </c>
      <c r="B209" s="50" t="s">
        <v>24</v>
      </c>
      <c r="C209" s="598"/>
      <c r="D209" s="51">
        <v>45090</v>
      </c>
      <c r="E209" s="50">
        <v>1.4</v>
      </c>
      <c r="F209" s="50" t="s">
        <v>2254</v>
      </c>
      <c r="G209" s="50" t="s">
        <v>85</v>
      </c>
      <c r="H209" s="50" t="s">
        <v>1809</v>
      </c>
      <c r="I209" s="50">
        <v>1</v>
      </c>
      <c r="J209" s="77" t="s">
        <v>23</v>
      </c>
      <c r="K209"/>
      <c r="L209"/>
      <c r="M209"/>
      <c r="N209"/>
      <c r="O209"/>
      <c r="P209"/>
      <c r="Q209"/>
      <c r="R209"/>
      <c r="S209"/>
      <c r="T209"/>
    </row>
    <row r="210" spans="1:20" s="59" customFormat="1" ht="12.9" x14ac:dyDescent="0.2">
      <c r="A210" s="141" t="s">
        <v>51</v>
      </c>
      <c r="B210" s="50" t="s">
        <v>52</v>
      </c>
      <c r="C210" s="598"/>
      <c r="D210" s="51">
        <v>45090</v>
      </c>
      <c r="E210" s="50" t="s">
        <v>72</v>
      </c>
      <c r="F210" s="50" t="s">
        <v>2255</v>
      </c>
      <c r="G210" s="50" t="s">
        <v>2256</v>
      </c>
      <c r="H210" s="50" t="s">
        <v>2257</v>
      </c>
      <c r="I210" s="50">
        <v>8</v>
      </c>
      <c r="J210" s="77" t="s">
        <v>1467</v>
      </c>
      <c r="K210"/>
      <c r="L210"/>
      <c r="M210"/>
      <c r="N210"/>
      <c r="O210"/>
      <c r="P210"/>
      <c r="Q210"/>
      <c r="R210"/>
      <c r="S210"/>
      <c r="T210"/>
    </row>
    <row r="211" spans="1:20" s="59" customFormat="1" ht="12.9" x14ac:dyDescent="0.2">
      <c r="A211" s="141" t="s">
        <v>10</v>
      </c>
      <c r="B211" s="50" t="s">
        <v>152</v>
      </c>
      <c r="C211" s="598"/>
      <c r="D211" s="51">
        <v>45091</v>
      </c>
      <c r="E211" s="50">
        <v>2.27</v>
      </c>
      <c r="F211" s="50" t="s">
        <v>2258</v>
      </c>
      <c r="G211" s="50" t="s">
        <v>1329</v>
      </c>
      <c r="H211" s="50" t="s">
        <v>2259</v>
      </c>
      <c r="I211" s="50">
        <v>5</v>
      </c>
      <c r="J211" s="77" t="s">
        <v>50</v>
      </c>
      <c r="K211"/>
      <c r="L211"/>
      <c r="M211"/>
      <c r="N211"/>
      <c r="O211"/>
      <c r="P211"/>
      <c r="Q211"/>
      <c r="R211"/>
      <c r="S211"/>
      <c r="T211"/>
    </row>
    <row r="212" spans="1:20" s="59" customFormat="1" ht="12.9" x14ac:dyDescent="0.2">
      <c r="A212" s="141" t="s">
        <v>10</v>
      </c>
      <c r="B212" s="50" t="s">
        <v>24</v>
      </c>
      <c r="C212" s="598"/>
      <c r="D212" s="51">
        <v>45090</v>
      </c>
      <c r="E212" s="50" t="s">
        <v>2260</v>
      </c>
      <c r="F212" s="50" t="s">
        <v>2261</v>
      </c>
      <c r="G212" s="50" t="s">
        <v>85</v>
      </c>
      <c r="H212" s="50" t="s">
        <v>2262</v>
      </c>
      <c r="I212" s="50">
        <v>1</v>
      </c>
      <c r="J212" s="77" t="s">
        <v>23</v>
      </c>
      <c r="K212"/>
      <c r="L212"/>
      <c r="M212"/>
      <c r="N212"/>
      <c r="O212"/>
      <c r="P212"/>
      <c r="Q212"/>
      <c r="R212"/>
      <c r="S212"/>
      <c r="T212"/>
    </row>
    <row r="213" spans="1:20" s="59" customFormat="1" ht="12.9" x14ac:dyDescent="0.2">
      <c r="A213" s="141" t="s">
        <v>10</v>
      </c>
      <c r="B213" s="50" t="s">
        <v>24</v>
      </c>
      <c r="C213" s="598"/>
      <c r="D213" s="51">
        <v>45093</v>
      </c>
      <c r="E213" s="50" t="s">
        <v>2263</v>
      </c>
      <c r="F213" s="50" t="s">
        <v>2264</v>
      </c>
      <c r="G213" s="50" t="s">
        <v>110</v>
      </c>
      <c r="H213" s="50" t="s">
        <v>2262</v>
      </c>
      <c r="I213" s="50">
        <v>1</v>
      </c>
      <c r="J213" s="77" t="s">
        <v>23</v>
      </c>
      <c r="K213"/>
      <c r="L213"/>
      <c r="M213"/>
      <c r="N213"/>
      <c r="O213"/>
      <c r="P213"/>
      <c r="Q213"/>
      <c r="R213"/>
      <c r="S213"/>
      <c r="T213"/>
    </row>
    <row r="214" spans="1:20" s="59" customFormat="1" ht="12.9" x14ac:dyDescent="0.2">
      <c r="A214" s="141" t="s">
        <v>10</v>
      </c>
      <c r="B214" s="50" t="s">
        <v>24</v>
      </c>
      <c r="C214" s="598"/>
      <c r="D214" s="51">
        <v>45094</v>
      </c>
      <c r="E214" s="50">
        <v>3.15</v>
      </c>
      <c r="F214" s="50" t="s">
        <v>2265</v>
      </c>
      <c r="G214" s="50" t="s">
        <v>2266</v>
      </c>
      <c r="H214" s="50" t="s">
        <v>2267</v>
      </c>
      <c r="I214" s="50">
        <v>1</v>
      </c>
      <c r="J214" s="77" t="s">
        <v>23</v>
      </c>
      <c r="K214"/>
      <c r="L214"/>
      <c r="M214"/>
      <c r="N214"/>
      <c r="O214"/>
      <c r="P214"/>
      <c r="Q214"/>
      <c r="R214"/>
      <c r="S214"/>
      <c r="T214"/>
    </row>
    <row r="215" spans="1:20" s="59" customFormat="1" ht="12.9" x14ac:dyDescent="0.2">
      <c r="A215" s="141" t="s">
        <v>51</v>
      </c>
      <c r="B215" s="50" t="s">
        <v>397</v>
      </c>
      <c r="C215" s="598"/>
      <c r="D215" s="51">
        <v>45095</v>
      </c>
      <c r="E215" s="50" t="s">
        <v>91</v>
      </c>
      <c r="F215" s="50" t="s">
        <v>2268</v>
      </c>
      <c r="G215" s="50" t="s">
        <v>355</v>
      </c>
      <c r="H215" s="50" t="s">
        <v>2269</v>
      </c>
      <c r="I215" s="50">
        <v>3</v>
      </c>
      <c r="J215" s="77" t="s">
        <v>16</v>
      </c>
      <c r="K215"/>
      <c r="L215"/>
      <c r="M215"/>
      <c r="N215"/>
      <c r="O215"/>
      <c r="P215"/>
      <c r="Q215"/>
      <c r="R215"/>
      <c r="S215"/>
      <c r="T215"/>
    </row>
    <row r="216" spans="1:20" s="59" customFormat="1" ht="12.9" x14ac:dyDescent="0.2">
      <c r="A216" s="141" t="s">
        <v>51</v>
      </c>
      <c r="B216" s="50" t="s">
        <v>52</v>
      </c>
      <c r="C216" s="598"/>
      <c r="D216" s="51">
        <v>45097</v>
      </c>
      <c r="E216" s="50" t="s">
        <v>879</v>
      </c>
      <c r="F216" s="50" t="s">
        <v>2270</v>
      </c>
      <c r="G216" s="50" t="s">
        <v>2271</v>
      </c>
      <c r="H216" s="50" t="s">
        <v>2272</v>
      </c>
      <c r="I216" s="50">
        <v>12</v>
      </c>
      <c r="J216" s="77" t="s">
        <v>2273</v>
      </c>
      <c r="K216"/>
      <c r="L216"/>
      <c r="M216"/>
      <c r="N216"/>
      <c r="O216"/>
      <c r="P216"/>
      <c r="Q216"/>
      <c r="R216"/>
      <c r="S216"/>
      <c r="T216"/>
    </row>
    <row r="217" spans="1:20" s="59" customFormat="1" ht="12.9" x14ac:dyDescent="0.2">
      <c r="A217" s="141" t="s">
        <v>17</v>
      </c>
      <c r="B217" s="50" t="s">
        <v>24</v>
      </c>
      <c r="C217" s="598"/>
      <c r="D217" s="51">
        <v>45098</v>
      </c>
      <c r="E217" s="52" t="s">
        <v>767</v>
      </c>
      <c r="F217" s="50" t="s">
        <v>2274</v>
      </c>
      <c r="G217" s="50"/>
      <c r="H217" s="50" t="s">
        <v>28</v>
      </c>
      <c r="I217" s="50">
        <v>1</v>
      </c>
      <c r="J217" s="77" t="s">
        <v>23</v>
      </c>
      <c r="K217"/>
      <c r="L217"/>
      <c r="M217"/>
      <c r="N217"/>
      <c r="O217"/>
      <c r="P217"/>
      <c r="Q217"/>
      <c r="R217"/>
      <c r="S217"/>
      <c r="T217"/>
    </row>
    <row r="218" spans="1:20" s="59" customFormat="1" ht="12.9" x14ac:dyDescent="0.2">
      <c r="A218" s="141" t="s">
        <v>17</v>
      </c>
      <c r="B218" s="50" t="s">
        <v>24</v>
      </c>
      <c r="C218" s="598"/>
      <c r="D218" s="51">
        <v>45098</v>
      </c>
      <c r="E218" s="52" t="s">
        <v>767</v>
      </c>
      <c r="F218" s="50" t="s">
        <v>2275</v>
      </c>
      <c r="G218" s="50" t="s">
        <v>85</v>
      </c>
      <c r="H218" s="50" t="s">
        <v>28</v>
      </c>
      <c r="I218" s="50">
        <v>1</v>
      </c>
      <c r="J218" s="77" t="s">
        <v>23</v>
      </c>
      <c r="K218"/>
      <c r="L218"/>
      <c r="M218"/>
      <c r="N218"/>
      <c r="O218"/>
      <c r="P218"/>
      <c r="Q218"/>
      <c r="R218"/>
      <c r="S218"/>
      <c r="T218"/>
    </row>
    <row r="219" spans="1:20" s="59" customFormat="1" ht="12.9" x14ac:dyDescent="0.2">
      <c r="A219" s="141" t="s">
        <v>51</v>
      </c>
      <c r="B219" s="50" t="s">
        <v>52</v>
      </c>
      <c r="C219" s="598"/>
      <c r="D219" s="51">
        <v>45098</v>
      </c>
      <c r="E219" s="50" t="s">
        <v>923</v>
      </c>
      <c r="F219" s="50" t="s">
        <v>2270</v>
      </c>
      <c r="G219" s="50" t="s">
        <v>2271</v>
      </c>
      <c r="H219" s="50" t="s">
        <v>2276</v>
      </c>
      <c r="I219" s="50">
        <v>10</v>
      </c>
      <c r="J219" s="77" t="s">
        <v>2277</v>
      </c>
      <c r="K219"/>
      <c r="L219"/>
      <c r="M219"/>
      <c r="N219"/>
      <c r="O219"/>
      <c r="P219"/>
      <c r="Q219"/>
      <c r="R219"/>
      <c r="S219"/>
      <c r="T219"/>
    </row>
    <row r="220" spans="1:20" s="59" customFormat="1" ht="12.9" x14ac:dyDescent="0.2">
      <c r="A220" s="141" t="s">
        <v>51</v>
      </c>
      <c r="B220" s="50" t="s">
        <v>52</v>
      </c>
      <c r="C220" s="598"/>
      <c r="D220" s="51">
        <v>45098</v>
      </c>
      <c r="E220" s="50">
        <v>17</v>
      </c>
      <c r="F220" s="50" t="s">
        <v>2278</v>
      </c>
      <c r="G220" s="50" t="s">
        <v>110</v>
      </c>
      <c r="H220" s="50" t="s">
        <v>2279</v>
      </c>
      <c r="I220" s="50">
        <v>2</v>
      </c>
      <c r="J220" s="77" t="s">
        <v>16</v>
      </c>
      <c r="K220"/>
      <c r="L220"/>
      <c r="M220"/>
      <c r="N220"/>
      <c r="O220"/>
      <c r="P220"/>
      <c r="Q220"/>
      <c r="R220"/>
      <c r="S220"/>
      <c r="T220"/>
    </row>
    <row r="221" spans="1:20" s="59" customFormat="1" ht="12.9" x14ac:dyDescent="0.2">
      <c r="A221" s="141" t="s">
        <v>51</v>
      </c>
      <c r="B221" s="50" t="s">
        <v>52</v>
      </c>
      <c r="C221" s="598"/>
      <c r="D221" s="51">
        <v>45104</v>
      </c>
      <c r="E221" s="50">
        <v>5.3</v>
      </c>
      <c r="F221" s="50" t="s">
        <v>2280</v>
      </c>
      <c r="G221" s="50" t="s">
        <v>1866</v>
      </c>
      <c r="H221" s="50" t="s">
        <v>2281</v>
      </c>
      <c r="I221" s="50">
        <v>25</v>
      </c>
      <c r="J221" s="77" t="s">
        <v>2200</v>
      </c>
      <c r="K221"/>
      <c r="L221"/>
      <c r="M221"/>
      <c r="N221"/>
      <c r="O221"/>
      <c r="P221"/>
      <c r="Q221"/>
      <c r="R221"/>
      <c r="S221"/>
      <c r="T221"/>
    </row>
    <row r="222" spans="1:20" s="59" customFormat="1" ht="12.9" x14ac:dyDescent="0.2">
      <c r="A222" s="141" t="s">
        <v>10</v>
      </c>
      <c r="B222" s="50" t="s">
        <v>2162</v>
      </c>
      <c r="C222" s="598"/>
      <c r="D222" s="51">
        <v>45105</v>
      </c>
      <c r="E222" s="50" t="s">
        <v>2282</v>
      </c>
      <c r="F222" s="50" t="s">
        <v>2283</v>
      </c>
      <c r="G222" s="50" t="s">
        <v>2284</v>
      </c>
      <c r="H222" s="50" t="s">
        <v>2285</v>
      </c>
      <c r="I222" s="50">
        <v>3</v>
      </c>
      <c r="J222" s="77" t="s">
        <v>78</v>
      </c>
      <c r="K222"/>
      <c r="L222"/>
      <c r="M222"/>
      <c r="N222"/>
      <c r="O222"/>
      <c r="P222"/>
      <c r="Q222"/>
      <c r="R222"/>
      <c r="S222"/>
      <c r="T222"/>
    </row>
    <row r="223" spans="1:20" s="59" customFormat="1" ht="12.9" x14ac:dyDescent="0.2">
      <c r="A223" s="141" t="s">
        <v>10</v>
      </c>
      <c r="B223" s="50" t="s">
        <v>152</v>
      </c>
      <c r="C223" s="598"/>
      <c r="D223" s="51">
        <v>45105</v>
      </c>
      <c r="E223" s="50" t="s">
        <v>2286</v>
      </c>
      <c r="F223" s="50" t="s">
        <v>2287</v>
      </c>
      <c r="G223" s="50" t="s">
        <v>234</v>
      </c>
      <c r="H223" s="50" t="s">
        <v>2288</v>
      </c>
      <c r="I223" s="50">
        <v>3</v>
      </c>
      <c r="J223" s="77" t="s">
        <v>167</v>
      </c>
      <c r="K223"/>
      <c r="L223"/>
      <c r="M223"/>
      <c r="N223"/>
      <c r="O223"/>
      <c r="P223"/>
      <c r="Q223"/>
      <c r="R223"/>
      <c r="S223"/>
      <c r="T223"/>
    </row>
    <row r="224" spans="1:20" s="59" customFormat="1" ht="12.9" x14ac:dyDescent="0.2">
      <c r="A224" s="141" t="s">
        <v>10</v>
      </c>
      <c r="B224" s="50" t="s">
        <v>2162</v>
      </c>
      <c r="C224" s="598"/>
      <c r="D224" s="51">
        <v>45105</v>
      </c>
      <c r="E224" s="50" t="s">
        <v>368</v>
      </c>
      <c r="F224" s="50" t="s">
        <v>1281</v>
      </c>
      <c r="G224" s="50" t="s">
        <v>95</v>
      </c>
      <c r="H224" s="50" t="s">
        <v>2289</v>
      </c>
      <c r="I224" s="50">
        <v>3</v>
      </c>
      <c r="J224" s="77" t="s">
        <v>16</v>
      </c>
      <c r="K224"/>
      <c r="L224"/>
      <c r="M224"/>
      <c r="N224"/>
      <c r="O224"/>
      <c r="P224"/>
      <c r="Q224"/>
      <c r="R224"/>
      <c r="S224"/>
      <c r="T224"/>
    </row>
    <row r="225" spans="1:20" s="59" customFormat="1" ht="12.9" x14ac:dyDescent="0.2">
      <c r="A225" s="141" t="s">
        <v>51</v>
      </c>
      <c r="B225" s="50" t="s">
        <v>52</v>
      </c>
      <c r="C225" s="598"/>
      <c r="D225" s="51">
        <v>45106</v>
      </c>
      <c r="E225" s="50" t="s">
        <v>368</v>
      </c>
      <c r="F225" s="50" t="s">
        <v>2290</v>
      </c>
      <c r="G225" s="50" t="s">
        <v>2290</v>
      </c>
      <c r="H225" s="50" t="s">
        <v>2291</v>
      </c>
      <c r="I225" s="50">
        <v>9</v>
      </c>
      <c r="J225" s="77" t="s">
        <v>2277</v>
      </c>
      <c r="K225"/>
      <c r="L225"/>
      <c r="M225"/>
      <c r="N225"/>
      <c r="O225"/>
      <c r="P225"/>
      <c r="Q225"/>
      <c r="R225"/>
      <c r="S225"/>
      <c r="T225"/>
    </row>
    <row r="226" spans="1:20" s="59" customFormat="1" ht="13.6" x14ac:dyDescent="0.2">
      <c r="A226" s="63" t="s">
        <v>2146</v>
      </c>
      <c r="B226" s="46"/>
      <c r="C226" s="87"/>
      <c r="D226" s="47"/>
      <c r="E226" s="46"/>
      <c r="F226" s="46"/>
      <c r="G226" s="47"/>
      <c r="H226" s="46"/>
      <c r="I226" s="46"/>
      <c r="J226" s="76"/>
      <c r="K226"/>
      <c r="L226"/>
      <c r="M226"/>
      <c r="N226"/>
      <c r="O226"/>
      <c r="P226"/>
      <c r="Q226"/>
      <c r="R226"/>
      <c r="S226"/>
      <c r="T226"/>
    </row>
    <row r="227" spans="1:20" s="59" customFormat="1" ht="12.9" x14ac:dyDescent="0.2">
      <c r="A227" s="141" t="s">
        <v>51</v>
      </c>
      <c r="B227" s="50" t="s">
        <v>52</v>
      </c>
      <c r="C227" s="598">
        <f>COUNTIF(B227:B255,$C$2)</f>
        <v>8</v>
      </c>
      <c r="D227" s="51">
        <v>45108</v>
      </c>
      <c r="E227" s="50" t="s">
        <v>2292</v>
      </c>
      <c r="F227" s="50" t="s">
        <v>2293</v>
      </c>
      <c r="G227" s="50" t="s">
        <v>366</v>
      </c>
      <c r="H227" s="50" t="s">
        <v>2294</v>
      </c>
      <c r="I227" s="50">
        <v>6</v>
      </c>
      <c r="J227" s="77" t="s">
        <v>16</v>
      </c>
      <c r="K227"/>
      <c r="L227"/>
      <c r="M227"/>
      <c r="N227"/>
      <c r="O227"/>
      <c r="P227"/>
      <c r="Q227"/>
      <c r="R227"/>
      <c r="S227"/>
      <c r="T227"/>
    </row>
    <row r="228" spans="1:20" s="59" customFormat="1" ht="12.9" x14ac:dyDescent="0.2">
      <c r="A228" s="141" t="s">
        <v>17</v>
      </c>
      <c r="B228" s="50" t="s">
        <v>24</v>
      </c>
      <c r="C228" s="598"/>
      <c r="D228" s="51">
        <v>45113</v>
      </c>
      <c r="E228" s="50" t="s">
        <v>57</v>
      </c>
      <c r="F228" s="50" t="s">
        <v>2295</v>
      </c>
      <c r="G228" s="50" t="s">
        <v>21</v>
      </c>
      <c r="H228" s="50" t="s">
        <v>28</v>
      </c>
      <c r="I228" s="50">
        <v>1</v>
      </c>
      <c r="J228" s="77" t="s">
        <v>23</v>
      </c>
      <c r="K228"/>
      <c r="L228"/>
      <c r="M228"/>
      <c r="N228"/>
      <c r="O228"/>
      <c r="P228"/>
      <c r="Q228"/>
      <c r="R228"/>
      <c r="S228"/>
      <c r="T228"/>
    </row>
    <row r="229" spans="1:20" s="59" customFormat="1" ht="12.9" x14ac:dyDescent="0.2">
      <c r="A229" s="141" t="s">
        <v>17</v>
      </c>
      <c r="B229" s="50" t="s">
        <v>24</v>
      </c>
      <c r="C229" s="598"/>
      <c r="D229" s="51">
        <v>45113</v>
      </c>
      <c r="E229" s="50" t="s">
        <v>57</v>
      </c>
      <c r="F229" s="50" t="s">
        <v>2296</v>
      </c>
      <c r="G229" s="50" t="s">
        <v>21</v>
      </c>
      <c r="H229" s="50" t="s">
        <v>28</v>
      </c>
      <c r="I229" s="50">
        <v>1</v>
      </c>
      <c r="J229" s="77" t="s">
        <v>23</v>
      </c>
      <c r="K229"/>
      <c r="L229"/>
      <c r="M229"/>
      <c r="N229"/>
      <c r="O229"/>
      <c r="P229"/>
      <c r="Q229"/>
      <c r="R229"/>
      <c r="S229"/>
      <c r="T229"/>
    </row>
    <row r="230" spans="1:20" s="59" customFormat="1" ht="12.9" x14ac:dyDescent="0.2">
      <c r="A230" s="141" t="s">
        <v>17</v>
      </c>
      <c r="B230" s="50" t="s">
        <v>24</v>
      </c>
      <c r="C230" s="598"/>
      <c r="D230" s="51">
        <v>45113</v>
      </c>
      <c r="E230" s="50" t="s">
        <v>57</v>
      </c>
      <c r="F230" s="50" t="s">
        <v>2297</v>
      </c>
      <c r="G230" s="50" t="s">
        <v>95</v>
      </c>
      <c r="H230" s="50" t="s">
        <v>28</v>
      </c>
      <c r="I230" s="50">
        <v>1</v>
      </c>
      <c r="J230" s="77" t="s">
        <v>23</v>
      </c>
      <c r="K230"/>
      <c r="L230"/>
      <c r="M230"/>
      <c r="N230"/>
      <c r="O230"/>
      <c r="P230"/>
      <c r="Q230"/>
      <c r="R230"/>
      <c r="S230"/>
      <c r="T230"/>
    </row>
    <row r="231" spans="1:20" s="59" customFormat="1" ht="12.9" x14ac:dyDescent="0.2">
      <c r="A231" s="141" t="s">
        <v>17</v>
      </c>
      <c r="B231" s="50" t="s">
        <v>24</v>
      </c>
      <c r="C231" s="598"/>
      <c r="D231" s="51">
        <v>45113</v>
      </c>
      <c r="E231" s="50" t="s">
        <v>57</v>
      </c>
      <c r="F231" s="50" t="s">
        <v>2298</v>
      </c>
      <c r="G231" s="50"/>
      <c r="H231" s="50" t="s">
        <v>28</v>
      </c>
      <c r="I231" s="50">
        <v>1</v>
      </c>
      <c r="J231" s="77" t="s">
        <v>23</v>
      </c>
      <c r="K231"/>
      <c r="L231"/>
      <c r="M231"/>
      <c r="N231"/>
      <c r="O231"/>
      <c r="P231"/>
      <c r="Q231"/>
      <c r="R231"/>
      <c r="S231"/>
      <c r="T231"/>
    </row>
    <row r="232" spans="1:20" s="59" customFormat="1" ht="12.9" x14ac:dyDescent="0.2">
      <c r="A232" s="141" t="s">
        <v>17</v>
      </c>
      <c r="B232" s="50" t="s">
        <v>2162</v>
      </c>
      <c r="C232" s="598"/>
      <c r="D232" s="51">
        <v>45113</v>
      </c>
      <c r="E232" s="50" t="s">
        <v>57</v>
      </c>
      <c r="F232" s="50" t="s">
        <v>2299</v>
      </c>
      <c r="G232" s="50"/>
      <c r="H232" s="50" t="s">
        <v>2300</v>
      </c>
      <c r="I232" s="50">
        <v>2</v>
      </c>
      <c r="J232" s="77" t="s">
        <v>16</v>
      </c>
      <c r="K232"/>
      <c r="L232"/>
      <c r="M232"/>
      <c r="N232"/>
      <c r="O232"/>
      <c r="P232"/>
      <c r="Q232"/>
      <c r="R232"/>
      <c r="S232"/>
      <c r="T232"/>
    </row>
    <row r="233" spans="1:20" s="59" customFormat="1" ht="12.9" x14ac:dyDescent="0.2">
      <c r="A233" s="141" t="s">
        <v>10</v>
      </c>
      <c r="B233" s="50" t="s">
        <v>2162</v>
      </c>
      <c r="C233" s="598"/>
      <c r="D233" s="51">
        <v>45114</v>
      </c>
      <c r="E233" s="50" t="s">
        <v>2301</v>
      </c>
      <c r="F233" s="50" t="s">
        <v>2302</v>
      </c>
      <c r="G233" s="50" t="s">
        <v>2303</v>
      </c>
      <c r="H233" s="50" t="s">
        <v>2304</v>
      </c>
      <c r="I233" s="50">
        <v>2</v>
      </c>
      <c r="J233" s="77" t="s">
        <v>78</v>
      </c>
      <c r="K233"/>
      <c r="L233"/>
      <c r="M233"/>
      <c r="N233"/>
      <c r="O233"/>
      <c r="P233"/>
      <c r="Q233"/>
      <c r="R233"/>
      <c r="S233"/>
      <c r="T233"/>
    </row>
    <row r="234" spans="1:20" s="59" customFormat="1" ht="12.9" x14ac:dyDescent="0.2">
      <c r="A234" s="141" t="s">
        <v>51</v>
      </c>
      <c r="B234" s="50" t="s">
        <v>481</v>
      </c>
      <c r="C234" s="598"/>
      <c r="D234" s="51">
        <v>45117</v>
      </c>
      <c r="E234" s="50" t="s">
        <v>94</v>
      </c>
      <c r="F234" s="50" t="s">
        <v>2305</v>
      </c>
      <c r="G234" s="50" t="s">
        <v>2176</v>
      </c>
      <c r="H234" s="50" t="s">
        <v>2306</v>
      </c>
      <c r="I234" s="50">
        <v>11</v>
      </c>
      <c r="J234" s="77" t="s">
        <v>2307</v>
      </c>
      <c r="K234"/>
      <c r="L234"/>
      <c r="M234"/>
      <c r="N234"/>
      <c r="O234"/>
      <c r="P234"/>
      <c r="Q234"/>
      <c r="R234"/>
      <c r="S234"/>
      <c r="T234"/>
    </row>
    <row r="235" spans="1:20" s="59" customFormat="1" ht="12.9" x14ac:dyDescent="0.2">
      <c r="A235" s="141" t="s">
        <v>10</v>
      </c>
      <c r="B235" s="50" t="s">
        <v>29</v>
      </c>
      <c r="C235" s="598"/>
      <c r="D235" s="51">
        <v>45119</v>
      </c>
      <c r="E235" s="50" t="s">
        <v>141</v>
      </c>
      <c r="F235" s="50" t="s">
        <v>2308</v>
      </c>
      <c r="G235" s="50" t="s">
        <v>2309</v>
      </c>
      <c r="H235" s="50" t="s">
        <v>2310</v>
      </c>
      <c r="I235" s="50">
        <v>2</v>
      </c>
      <c r="J235" s="77" t="s">
        <v>78</v>
      </c>
      <c r="K235"/>
      <c r="L235"/>
      <c r="M235"/>
      <c r="N235"/>
      <c r="O235"/>
      <c r="P235"/>
      <c r="Q235"/>
      <c r="R235"/>
      <c r="S235"/>
      <c r="T235"/>
    </row>
    <row r="236" spans="1:20" s="59" customFormat="1" ht="12.9" x14ac:dyDescent="0.2">
      <c r="A236" s="141" t="s">
        <v>51</v>
      </c>
      <c r="B236" s="50" t="s">
        <v>52</v>
      </c>
      <c r="C236" s="598"/>
      <c r="D236" s="51">
        <v>45120</v>
      </c>
      <c r="E236" s="50" t="s">
        <v>351</v>
      </c>
      <c r="F236" s="50" t="s">
        <v>2311</v>
      </c>
      <c r="G236" s="50" t="s">
        <v>1027</v>
      </c>
      <c r="H236" s="50" t="s">
        <v>2312</v>
      </c>
      <c r="I236" s="50">
        <v>6</v>
      </c>
      <c r="J236" s="77" t="s">
        <v>2313</v>
      </c>
      <c r="K236"/>
      <c r="L236"/>
      <c r="M236"/>
      <c r="N236"/>
      <c r="O236"/>
      <c r="P236"/>
      <c r="Q236"/>
      <c r="R236"/>
      <c r="S236"/>
      <c r="T236"/>
    </row>
    <row r="237" spans="1:20" s="59" customFormat="1" ht="12.9" x14ac:dyDescent="0.2">
      <c r="A237" s="141" t="s">
        <v>10</v>
      </c>
      <c r="B237" s="50" t="s">
        <v>188</v>
      </c>
      <c r="C237" s="598"/>
      <c r="D237" s="51">
        <v>45120</v>
      </c>
      <c r="E237" s="50" t="s">
        <v>2314</v>
      </c>
      <c r="F237" s="50" t="s">
        <v>1210</v>
      </c>
      <c r="G237" s="50" t="s">
        <v>1210</v>
      </c>
      <c r="H237" s="50" t="s">
        <v>2315</v>
      </c>
      <c r="I237" s="50">
        <v>2</v>
      </c>
      <c r="J237" s="77" t="s">
        <v>192</v>
      </c>
      <c r="K237"/>
      <c r="L237"/>
      <c r="M237"/>
      <c r="N237"/>
      <c r="O237"/>
      <c r="P237"/>
      <c r="Q237"/>
      <c r="R237"/>
      <c r="S237"/>
      <c r="T237"/>
    </row>
    <row r="238" spans="1:20" s="59" customFormat="1" ht="12.9" x14ac:dyDescent="0.2">
      <c r="A238" s="141" t="s">
        <v>10</v>
      </c>
      <c r="B238" s="50" t="s">
        <v>451</v>
      </c>
      <c r="C238" s="598"/>
      <c r="D238" s="51">
        <v>45122</v>
      </c>
      <c r="E238" s="50" t="s">
        <v>388</v>
      </c>
      <c r="F238" s="50" t="s">
        <v>2316</v>
      </c>
      <c r="G238" s="50" t="s">
        <v>246</v>
      </c>
      <c r="H238" s="50" t="s">
        <v>2317</v>
      </c>
      <c r="I238" s="50">
        <v>2</v>
      </c>
      <c r="J238" s="77" t="s">
        <v>16</v>
      </c>
      <c r="K238"/>
      <c r="L238"/>
      <c r="M238"/>
      <c r="N238"/>
      <c r="O238"/>
      <c r="P238"/>
      <c r="Q238"/>
      <c r="R238"/>
      <c r="S238"/>
      <c r="T238"/>
    </row>
    <row r="239" spans="1:20" s="59" customFormat="1" ht="12.9" x14ac:dyDescent="0.2">
      <c r="A239" s="141" t="s">
        <v>10</v>
      </c>
      <c r="B239" s="50" t="s">
        <v>2162</v>
      </c>
      <c r="C239" s="598"/>
      <c r="D239" s="51">
        <v>45122</v>
      </c>
      <c r="E239" s="50" t="s">
        <v>19</v>
      </c>
      <c r="F239" s="50" t="s">
        <v>2318</v>
      </c>
      <c r="G239" s="50" t="s">
        <v>1027</v>
      </c>
      <c r="H239" s="50" t="s">
        <v>2319</v>
      </c>
      <c r="I239" s="50">
        <v>2</v>
      </c>
      <c r="J239" s="77" t="s">
        <v>192</v>
      </c>
      <c r="K239"/>
      <c r="L239"/>
      <c r="M239"/>
      <c r="N239"/>
      <c r="O239"/>
      <c r="P239"/>
      <c r="Q239"/>
      <c r="R239"/>
      <c r="S239"/>
      <c r="T239"/>
    </row>
    <row r="240" spans="1:20" s="59" customFormat="1" ht="12.9" x14ac:dyDescent="0.2">
      <c r="A240" s="141" t="s">
        <v>10</v>
      </c>
      <c r="B240" s="50" t="s">
        <v>188</v>
      </c>
      <c r="C240" s="598"/>
      <c r="D240" s="51">
        <v>45124</v>
      </c>
      <c r="E240" s="50" t="s">
        <v>2320</v>
      </c>
      <c r="F240" s="50" t="s">
        <v>1210</v>
      </c>
      <c r="G240" s="50" t="s">
        <v>1210</v>
      </c>
      <c r="H240" s="50" t="s">
        <v>2321</v>
      </c>
      <c r="I240" s="50">
        <v>2</v>
      </c>
      <c r="J240" s="77" t="s">
        <v>192</v>
      </c>
      <c r="K240"/>
      <c r="L240"/>
      <c r="M240"/>
      <c r="N240"/>
      <c r="O240"/>
      <c r="P240"/>
      <c r="Q240"/>
      <c r="R240"/>
      <c r="S240"/>
      <c r="T240"/>
    </row>
    <row r="241" spans="1:20" s="59" customFormat="1" ht="12.9" x14ac:dyDescent="0.2">
      <c r="A241" s="141" t="s">
        <v>10</v>
      </c>
      <c r="B241" s="50" t="s">
        <v>2162</v>
      </c>
      <c r="C241" s="598"/>
      <c r="D241" s="51">
        <v>45127</v>
      </c>
      <c r="E241" s="50" t="s">
        <v>2322</v>
      </c>
      <c r="F241" s="50" t="s">
        <v>2323</v>
      </c>
      <c r="G241" s="50" t="s">
        <v>1281</v>
      </c>
      <c r="H241" s="50" t="s">
        <v>2324</v>
      </c>
      <c r="I241" s="50">
        <v>14</v>
      </c>
      <c r="J241" s="77" t="s">
        <v>1079</v>
      </c>
      <c r="K241"/>
      <c r="L241"/>
      <c r="M241"/>
      <c r="N241"/>
      <c r="O241"/>
      <c r="P241"/>
      <c r="Q241"/>
      <c r="R241"/>
      <c r="S241"/>
      <c r="T241"/>
    </row>
    <row r="242" spans="1:20" s="59" customFormat="1" ht="12.9" x14ac:dyDescent="0.2">
      <c r="A242" s="141" t="s">
        <v>35</v>
      </c>
      <c r="B242" s="50" t="s">
        <v>137</v>
      </c>
      <c r="C242" s="598"/>
      <c r="D242" s="51">
        <v>45127</v>
      </c>
      <c r="E242" s="50" t="s">
        <v>37</v>
      </c>
      <c r="F242" s="50" t="s">
        <v>2325</v>
      </c>
      <c r="G242" s="50" t="s">
        <v>1206</v>
      </c>
      <c r="H242" s="50" t="s">
        <v>2326</v>
      </c>
      <c r="I242" s="50">
        <v>3</v>
      </c>
      <c r="J242" s="77" t="s">
        <v>192</v>
      </c>
      <c r="K242"/>
      <c r="L242"/>
      <c r="M242"/>
      <c r="N242"/>
      <c r="O242"/>
      <c r="P242"/>
      <c r="Q242"/>
      <c r="R242"/>
      <c r="S242"/>
      <c r="T242"/>
    </row>
    <row r="243" spans="1:20" s="59" customFormat="1" ht="12.9" x14ac:dyDescent="0.2">
      <c r="A243" s="141" t="s">
        <v>51</v>
      </c>
      <c r="B243" s="50" t="s">
        <v>52</v>
      </c>
      <c r="C243" s="598"/>
      <c r="D243" s="51">
        <v>45128</v>
      </c>
      <c r="E243" s="50" t="s">
        <v>2327</v>
      </c>
      <c r="F243" s="50" t="s">
        <v>2328</v>
      </c>
      <c r="G243" s="50" t="s">
        <v>2329</v>
      </c>
      <c r="H243" s="50" t="s">
        <v>2330</v>
      </c>
      <c r="I243" s="50">
        <v>3</v>
      </c>
      <c r="J243" s="77" t="s">
        <v>16</v>
      </c>
      <c r="K243"/>
      <c r="L243"/>
      <c r="M243"/>
      <c r="N243"/>
      <c r="O243"/>
      <c r="P243"/>
      <c r="Q243"/>
      <c r="R243"/>
      <c r="S243"/>
      <c r="T243"/>
    </row>
    <row r="244" spans="1:20" s="59" customFormat="1" ht="12.9" x14ac:dyDescent="0.2">
      <c r="A244" s="141" t="s">
        <v>17</v>
      </c>
      <c r="B244" s="50" t="s">
        <v>24</v>
      </c>
      <c r="C244" s="598"/>
      <c r="D244" s="51">
        <v>45128</v>
      </c>
      <c r="E244" s="50" t="s">
        <v>48</v>
      </c>
      <c r="F244" s="50" t="s">
        <v>975</v>
      </c>
      <c r="G244" s="50" t="s">
        <v>21</v>
      </c>
      <c r="H244" s="50" t="s">
        <v>2331</v>
      </c>
      <c r="I244" s="50">
        <v>1</v>
      </c>
      <c r="J244" s="77" t="s">
        <v>78</v>
      </c>
      <c r="K244"/>
      <c r="L244"/>
      <c r="M244"/>
      <c r="N244"/>
      <c r="O244"/>
      <c r="P244"/>
      <c r="Q244"/>
      <c r="R244"/>
      <c r="S244"/>
      <c r="T244"/>
    </row>
    <row r="245" spans="1:20" s="59" customFormat="1" ht="12.9" x14ac:dyDescent="0.2">
      <c r="A245" s="141" t="s">
        <v>51</v>
      </c>
      <c r="B245" s="50" t="s">
        <v>52</v>
      </c>
      <c r="C245" s="598"/>
      <c r="D245" s="51">
        <v>45132</v>
      </c>
      <c r="E245" s="50" t="s">
        <v>2332</v>
      </c>
      <c r="F245" s="50" t="s">
        <v>2333</v>
      </c>
      <c r="G245" s="50" t="s">
        <v>2334</v>
      </c>
      <c r="H245" s="50" t="s">
        <v>2335</v>
      </c>
      <c r="I245" s="50">
        <v>4</v>
      </c>
      <c r="J245" s="77" t="s">
        <v>16</v>
      </c>
      <c r="K245"/>
      <c r="L245"/>
      <c r="M245"/>
      <c r="N245"/>
      <c r="O245"/>
      <c r="P245"/>
      <c r="Q245"/>
      <c r="R245"/>
      <c r="S245"/>
      <c r="T245"/>
    </row>
    <row r="246" spans="1:20" s="59" customFormat="1" ht="12.9" x14ac:dyDescent="0.2">
      <c r="A246" s="141" t="s">
        <v>51</v>
      </c>
      <c r="B246" s="50" t="s">
        <v>52</v>
      </c>
      <c r="C246" s="598"/>
      <c r="D246" s="51">
        <v>45132</v>
      </c>
      <c r="E246" s="50" t="s">
        <v>164</v>
      </c>
      <c r="F246" s="50" t="s">
        <v>2336</v>
      </c>
      <c r="G246" s="50" t="s">
        <v>441</v>
      </c>
      <c r="H246" s="50" t="s">
        <v>2337</v>
      </c>
      <c r="I246" s="50">
        <v>11</v>
      </c>
      <c r="J246" s="77" t="s">
        <v>102</v>
      </c>
      <c r="K246"/>
      <c r="L246"/>
      <c r="M246"/>
      <c r="N246"/>
      <c r="O246"/>
      <c r="P246"/>
      <c r="Q246"/>
      <c r="R246"/>
      <c r="S246"/>
      <c r="T246"/>
    </row>
    <row r="247" spans="1:20" s="59" customFormat="1" ht="12.9" x14ac:dyDescent="0.2">
      <c r="A247" s="141" t="s">
        <v>17</v>
      </c>
      <c r="B247" s="50" t="s">
        <v>24</v>
      </c>
      <c r="C247" s="598"/>
      <c r="D247" s="51">
        <v>45133</v>
      </c>
      <c r="E247" s="50" t="s">
        <v>91</v>
      </c>
      <c r="F247" s="50" t="s">
        <v>2338</v>
      </c>
      <c r="G247" s="50"/>
      <c r="H247" s="50" t="s">
        <v>28</v>
      </c>
      <c r="I247" s="50">
        <v>1</v>
      </c>
      <c r="J247" s="77" t="s">
        <v>23</v>
      </c>
      <c r="K247"/>
      <c r="L247"/>
      <c r="M247"/>
      <c r="N247"/>
      <c r="O247"/>
      <c r="P247"/>
      <c r="Q247"/>
      <c r="R247"/>
      <c r="S247"/>
      <c r="T247"/>
    </row>
    <row r="248" spans="1:20" s="59" customFormat="1" ht="12.9" x14ac:dyDescent="0.2">
      <c r="A248" s="141" t="s">
        <v>17</v>
      </c>
      <c r="B248" s="50" t="s">
        <v>24</v>
      </c>
      <c r="C248" s="598"/>
      <c r="D248" s="51">
        <v>45133</v>
      </c>
      <c r="E248" s="50" t="s">
        <v>91</v>
      </c>
      <c r="F248" s="50" t="s">
        <v>975</v>
      </c>
      <c r="G248" s="50"/>
      <c r="H248" s="50" t="s">
        <v>28</v>
      </c>
      <c r="I248" s="50">
        <v>1</v>
      </c>
      <c r="J248" s="77" t="s">
        <v>23</v>
      </c>
      <c r="K248"/>
      <c r="L248"/>
      <c r="M248"/>
      <c r="N248"/>
      <c r="O248"/>
      <c r="P248"/>
      <c r="Q248"/>
      <c r="R248"/>
      <c r="S248"/>
      <c r="T248"/>
    </row>
    <row r="249" spans="1:20" s="59" customFormat="1" ht="12.9" x14ac:dyDescent="0.2">
      <c r="A249" s="141" t="s">
        <v>51</v>
      </c>
      <c r="B249" s="50" t="s">
        <v>52</v>
      </c>
      <c r="C249" s="598"/>
      <c r="D249" s="51">
        <v>45134</v>
      </c>
      <c r="E249" s="50" t="s">
        <v>2339</v>
      </c>
      <c r="F249" s="50" t="s">
        <v>2340</v>
      </c>
      <c r="G249" s="50" t="s">
        <v>2341</v>
      </c>
      <c r="H249" s="50" t="s">
        <v>2342</v>
      </c>
      <c r="I249" s="50">
        <v>5</v>
      </c>
      <c r="J249" s="77" t="s">
        <v>50</v>
      </c>
      <c r="K249"/>
      <c r="L249"/>
      <c r="M249"/>
      <c r="N249"/>
      <c r="O249"/>
      <c r="P249"/>
      <c r="Q249"/>
      <c r="R249"/>
      <c r="S249"/>
      <c r="T249"/>
    </row>
    <row r="250" spans="1:20" s="59" customFormat="1" ht="12.9" x14ac:dyDescent="0.2">
      <c r="A250" s="141" t="s">
        <v>51</v>
      </c>
      <c r="B250" s="50" t="s">
        <v>52</v>
      </c>
      <c r="C250" s="598"/>
      <c r="D250" s="51">
        <v>45134</v>
      </c>
      <c r="E250" s="50" t="s">
        <v>2343</v>
      </c>
      <c r="F250" s="50" t="s">
        <v>1626</v>
      </c>
      <c r="G250" s="50" t="s">
        <v>1626</v>
      </c>
      <c r="H250" s="50" t="s">
        <v>52</v>
      </c>
      <c r="I250" s="50">
        <v>8</v>
      </c>
      <c r="J250" s="77" t="s">
        <v>1075</v>
      </c>
      <c r="K250"/>
      <c r="L250"/>
      <c r="M250"/>
      <c r="N250"/>
      <c r="O250"/>
      <c r="P250"/>
      <c r="Q250"/>
      <c r="R250"/>
      <c r="S250"/>
      <c r="T250"/>
    </row>
    <row r="251" spans="1:20" s="59" customFormat="1" ht="12.9" x14ac:dyDescent="0.2">
      <c r="A251" s="141" t="s">
        <v>17</v>
      </c>
      <c r="B251" s="50" t="s">
        <v>24</v>
      </c>
      <c r="C251" s="598"/>
      <c r="D251" s="51">
        <v>45135</v>
      </c>
      <c r="E251" s="50" t="s">
        <v>72</v>
      </c>
      <c r="F251" s="50" t="s">
        <v>2344</v>
      </c>
      <c r="G251" s="50" t="s">
        <v>27</v>
      </c>
      <c r="H251" s="50" t="s">
        <v>28</v>
      </c>
      <c r="I251" s="50">
        <v>1</v>
      </c>
      <c r="J251" s="77" t="s">
        <v>23</v>
      </c>
      <c r="K251"/>
      <c r="L251"/>
      <c r="M251"/>
      <c r="N251"/>
      <c r="O251"/>
      <c r="P251"/>
      <c r="Q251"/>
      <c r="R251"/>
      <c r="S251"/>
      <c r="T251"/>
    </row>
    <row r="252" spans="1:20" s="59" customFormat="1" ht="12.9" x14ac:dyDescent="0.2">
      <c r="A252" s="141" t="s">
        <v>10</v>
      </c>
      <c r="B252" s="50" t="s">
        <v>52</v>
      </c>
      <c r="C252" s="598"/>
      <c r="D252" s="51">
        <v>45136</v>
      </c>
      <c r="E252" s="50" t="s">
        <v>240</v>
      </c>
      <c r="F252" s="50" t="s">
        <v>2345</v>
      </c>
      <c r="G252" s="50" t="s">
        <v>2346</v>
      </c>
      <c r="H252" s="50" t="s">
        <v>2347</v>
      </c>
      <c r="I252" s="50">
        <v>10</v>
      </c>
      <c r="J252" s="77" t="s">
        <v>56</v>
      </c>
      <c r="K252"/>
      <c r="L252"/>
      <c r="M252"/>
      <c r="N252"/>
      <c r="O252"/>
      <c r="P252"/>
      <c r="Q252"/>
      <c r="R252"/>
      <c r="S252"/>
      <c r="T252"/>
    </row>
    <row r="253" spans="1:20" s="59" customFormat="1" ht="12.9" x14ac:dyDescent="0.2">
      <c r="A253" s="141" t="s">
        <v>17</v>
      </c>
      <c r="B253" s="50" t="s">
        <v>24</v>
      </c>
      <c r="C253" s="598"/>
      <c r="D253" s="51">
        <v>45136</v>
      </c>
      <c r="E253" s="50" t="s">
        <v>522</v>
      </c>
      <c r="F253" s="50" t="s">
        <v>2348</v>
      </c>
      <c r="G253" s="50" t="s">
        <v>76</v>
      </c>
      <c r="H253" s="50" t="s">
        <v>2349</v>
      </c>
      <c r="I253" s="50">
        <v>1</v>
      </c>
      <c r="J253" s="77" t="s">
        <v>167</v>
      </c>
      <c r="K253"/>
      <c r="L253"/>
      <c r="M253"/>
      <c r="N253"/>
      <c r="O253"/>
      <c r="P253"/>
      <c r="Q253"/>
      <c r="R253"/>
      <c r="S253"/>
      <c r="T253"/>
    </row>
    <row r="254" spans="1:20" s="59" customFormat="1" ht="12.9" x14ac:dyDescent="0.2">
      <c r="A254" s="141" t="s">
        <v>10</v>
      </c>
      <c r="B254" s="50" t="s">
        <v>2161</v>
      </c>
      <c r="C254" s="598"/>
      <c r="D254" s="51">
        <v>45137</v>
      </c>
      <c r="E254" s="50" t="s">
        <v>595</v>
      </c>
      <c r="F254" s="50" t="s">
        <v>401</v>
      </c>
      <c r="G254" s="50" t="s">
        <v>2350</v>
      </c>
      <c r="H254" s="50" t="s">
        <v>2351</v>
      </c>
      <c r="I254" s="50">
        <v>3</v>
      </c>
      <c r="J254" s="77" t="s">
        <v>192</v>
      </c>
      <c r="K254"/>
      <c r="L254"/>
      <c r="M254"/>
      <c r="N254"/>
      <c r="O254"/>
      <c r="P254"/>
      <c r="Q254"/>
      <c r="R254"/>
      <c r="S254"/>
      <c r="T254"/>
    </row>
    <row r="255" spans="1:20" s="59" customFormat="1" ht="12.9" x14ac:dyDescent="0.2">
      <c r="A255" s="141" t="s">
        <v>35</v>
      </c>
      <c r="B255" s="50" t="s">
        <v>137</v>
      </c>
      <c r="C255" s="598"/>
      <c r="D255" s="51">
        <v>45138</v>
      </c>
      <c r="E255" s="50" t="s">
        <v>91</v>
      </c>
      <c r="F255" s="50" t="s">
        <v>2352</v>
      </c>
      <c r="G255" s="50" t="s">
        <v>2352</v>
      </c>
      <c r="H255" s="50" t="s">
        <v>2353</v>
      </c>
      <c r="I255" s="50">
        <v>3</v>
      </c>
      <c r="J255" s="77" t="s">
        <v>192</v>
      </c>
      <c r="K255"/>
      <c r="L255"/>
      <c r="M255"/>
      <c r="N255"/>
      <c r="O255"/>
      <c r="P255"/>
      <c r="Q255"/>
      <c r="R255"/>
      <c r="S255"/>
      <c r="T255"/>
    </row>
    <row r="256" spans="1:20" s="59" customFormat="1" ht="13.6" x14ac:dyDescent="0.2">
      <c r="A256" s="63" t="s">
        <v>2147</v>
      </c>
      <c r="B256" s="53"/>
      <c r="C256" s="88"/>
      <c r="D256" s="53"/>
      <c r="E256" s="53"/>
      <c r="F256" s="53"/>
      <c r="G256" s="53"/>
      <c r="H256" s="53"/>
      <c r="I256" s="53"/>
      <c r="J256" s="78"/>
      <c r="K256"/>
      <c r="L256"/>
      <c r="M256"/>
      <c r="N256"/>
      <c r="O256"/>
      <c r="P256"/>
      <c r="Q256"/>
      <c r="R256"/>
      <c r="S256"/>
      <c r="T256"/>
    </row>
    <row r="257" spans="1:20" s="59" customFormat="1" ht="12.9" x14ac:dyDescent="0.2">
      <c r="A257" s="141" t="s">
        <v>51</v>
      </c>
      <c r="B257" s="50" t="s">
        <v>52</v>
      </c>
      <c r="C257" s="599">
        <f>COUNTIF(B257:B283,$C$2)</f>
        <v>8</v>
      </c>
      <c r="D257" s="51">
        <v>45143</v>
      </c>
      <c r="E257" s="50" t="s">
        <v>688</v>
      </c>
      <c r="F257" s="50" t="s">
        <v>2354</v>
      </c>
      <c r="G257" s="50" t="s">
        <v>2355</v>
      </c>
      <c r="H257" s="50" t="s">
        <v>2356</v>
      </c>
      <c r="I257" s="50">
        <v>5</v>
      </c>
      <c r="J257" s="77" t="s">
        <v>34</v>
      </c>
      <c r="K257"/>
      <c r="L257"/>
      <c r="M257"/>
      <c r="N257"/>
      <c r="O257"/>
      <c r="P257"/>
      <c r="Q257"/>
      <c r="R257"/>
      <c r="S257"/>
      <c r="T257"/>
    </row>
    <row r="258" spans="1:20" s="59" customFormat="1" ht="12.9" x14ac:dyDescent="0.2">
      <c r="A258" s="141" t="s">
        <v>10</v>
      </c>
      <c r="B258" s="50" t="s">
        <v>29</v>
      </c>
      <c r="C258" s="600"/>
      <c r="D258" s="51">
        <v>45143</v>
      </c>
      <c r="E258" s="50" t="s">
        <v>240</v>
      </c>
      <c r="F258" s="50" t="s">
        <v>2357</v>
      </c>
      <c r="G258" s="50" t="s">
        <v>390</v>
      </c>
      <c r="H258" s="50" t="s">
        <v>2358</v>
      </c>
      <c r="I258" s="50">
        <v>2</v>
      </c>
      <c r="J258" s="77" t="s">
        <v>50</v>
      </c>
      <c r="K258"/>
      <c r="L258"/>
      <c r="M258"/>
      <c r="N258"/>
      <c r="O258"/>
      <c r="P258"/>
      <c r="Q258"/>
      <c r="R258"/>
      <c r="S258"/>
      <c r="T258"/>
    </row>
    <row r="259" spans="1:20" s="59" customFormat="1" ht="12.9" x14ac:dyDescent="0.2">
      <c r="A259" s="141" t="s">
        <v>10</v>
      </c>
      <c r="B259" s="50" t="s">
        <v>2161</v>
      </c>
      <c r="C259" s="600"/>
      <c r="D259" s="51">
        <v>45144</v>
      </c>
      <c r="E259" s="50">
        <v>1.45</v>
      </c>
      <c r="F259" s="50" t="s">
        <v>607</v>
      </c>
      <c r="G259" s="50" t="s">
        <v>1866</v>
      </c>
      <c r="H259" s="50" t="s">
        <v>2359</v>
      </c>
      <c r="I259" s="50">
        <v>4</v>
      </c>
      <c r="J259" s="77" t="s">
        <v>16</v>
      </c>
      <c r="K259"/>
      <c r="L259"/>
      <c r="M259"/>
      <c r="N259"/>
      <c r="O259"/>
      <c r="P259"/>
      <c r="Q259"/>
      <c r="R259"/>
      <c r="S259"/>
      <c r="T259"/>
    </row>
    <row r="260" spans="1:20" s="59" customFormat="1" ht="12.9" x14ac:dyDescent="0.2">
      <c r="A260" s="141" t="s">
        <v>10</v>
      </c>
      <c r="B260" s="50" t="s">
        <v>163</v>
      </c>
      <c r="C260" s="600"/>
      <c r="D260" s="51">
        <v>45146</v>
      </c>
      <c r="E260" s="50" t="s">
        <v>2360</v>
      </c>
      <c r="F260" s="50" t="s">
        <v>2361</v>
      </c>
      <c r="G260" s="50" t="s">
        <v>2362</v>
      </c>
      <c r="H260" s="50" t="s">
        <v>2363</v>
      </c>
      <c r="I260" s="50">
        <v>25</v>
      </c>
      <c r="J260" s="77" t="s">
        <v>167</v>
      </c>
      <c r="K260"/>
      <c r="L260"/>
      <c r="M260"/>
      <c r="N260"/>
      <c r="O260"/>
      <c r="P260"/>
      <c r="Q260"/>
      <c r="R260"/>
      <c r="S260"/>
      <c r="T260"/>
    </row>
    <row r="261" spans="1:20" s="59" customFormat="1" ht="12.9" x14ac:dyDescent="0.2">
      <c r="A261" s="141" t="s">
        <v>17</v>
      </c>
      <c r="B261" s="50" t="s">
        <v>24</v>
      </c>
      <c r="C261" s="600"/>
      <c r="D261" s="51">
        <v>45147</v>
      </c>
      <c r="E261" s="50" t="s">
        <v>2364</v>
      </c>
      <c r="F261" s="50" t="s">
        <v>2365</v>
      </c>
      <c r="G261" s="50" t="s">
        <v>234</v>
      </c>
      <c r="H261" s="50" t="s">
        <v>2366</v>
      </c>
      <c r="I261" s="50">
        <v>1</v>
      </c>
      <c r="J261" s="77" t="s">
        <v>23</v>
      </c>
      <c r="K261"/>
      <c r="L261"/>
      <c r="M261"/>
      <c r="N261"/>
      <c r="O261"/>
      <c r="P261"/>
      <c r="Q261"/>
      <c r="R261"/>
      <c r="S261"/>
      <c r="T261"/>
    </row>
    <row r="262" spans="1:20" s="59" customFormat="1" ht="12.9" x14ac:dyDescent="0.2">
      <c r="A262" s="141" t="s">
        <v>17</v>
      </c>
      <c r="B262" s="50" t="s">
        <v>24</v>
      </c>
      <c r="C262" s="600"/>
      <c r="D262" s="51">
        <v>45147</v>
      </c>
      <c r="E262" s="50" t="s">
        <v>2367</v>
      </c>
      <c r="F262" s="50" t="s">
        <v>2368</v>
      </c>
      <c r="G262" s="50" t="s">
        <v>234</v>
      </c>
      <c r="H262" s="50" t="s">
        <v>2369</v>
      </c>
      <c r="I262" s="50">
        <v>1</v>
      </c>
      <c r="J262" s="77" t="s">
        <v>23</v>
      </c>
      <c r="K262"/>
      <c r="L262"/>
      <c r="M262"/>
      <c r="N262"/>
      <c r="O262"/>
      <c r="P262"/>
      <c r="Q262"/>
      <c r="R262"/>
      <c r="S262"/>
      <c r="T262"/>
    </row>
    <row r="263" spans="1:20" s="59" customFormat="1" ht="12.9" x14ac:dyDescent="0.2">
      <c r="A263" s="141" t="s">
        <v>51</v>
      </c>
      <c r="B263" s="50" t="s">
        <v>52</v>
      </c>
      <c r="C263" s="600"/>
      <c r="D263" s="51">
        <v>45148</v>
      </c>
      <c r="E263" s="50" t="s">
        <v>48</v>
      </c>
      <c r="F263" s="50" t="s">
        <v>2370</v>
      </c>
      <c r="G263" s="50" t="s">
        <v>2371</v>
      </c>
      <c r="H263" s="50" t="s">
        <v>2372</v>
      </c>
      <c r="I263" s="50">
        <v>9</v>
      </c>
      <c r="J263" s="77" t="s">
        <v>56</v>
      </c>
      <c r="K263"/>
      <c r="L263"/>
      <c r="M263"/>
      <c r="N263"/>
      <c r="O263"/>
      <c r="P263"/>
      <c r="Q263"/>
      <c r="R263"/>
      <c r="S263"/>
      <c r="T263"/>
    </row>
    <row r="264" spans="1:20" s="59" customFormat="1" ht="12.9" x14ac:dyDescent="0.2">
      <c r="A264" s="141" t="s">
        <v>51</v>
      </c>
      <c r="B264" s="50" t="s">
        <v>244</v>
      </c>
      <c r="C264" s="600"/>
      <c r="D264" s="51">
        <v>45149</v>
      </c>
      <c r="E264" s="50" t="s">
        <v>2373</v>
      </c>
      <c r="F264" s="50" t="s">
        <v>2374</v>
      </c>
      <c r="G264" s="50" t="s">
        <v>95</v>
      </c>
      <c r="H264" s="50" t="s">
        <v>2375</v>
      </c>
      <c r="I264" s="50">
        <v>7</v>
      </c>
      <c r="J264" s="77" t="s">
        <v>2307</v>
      </c>
      <c r="K264"/>
      <c r="L264"/>
      <c r="M264"/>
      <c r="N264"/>
      <c r="O264"/>
      <c r="P264"/>
      <c r="Q264"/>
      <c r="R264"/>
      <c r="S264"/>
      <c r="T264"/>
    </row>
    <row r="265" spans="1:20" s="59" customFormat="1" ht="12.9" x14ac:dyDescent="0.2">
      <c r="A265" s="141" t="s">
        <v>35</v>
      </c>
      <c r="B265" s="50" t="s">
        <v>137</v>
      </c>
      <c r="C265" s="600"/>
      <c r="D265" s="51">
        <v>45149</v>
      </c>
      <c r="E265" s="50" t="s">
        <v>2376</v>
      </c>
      <c r="F265" s="50" t="s">
        <v>2377</v>
      </c>
      <c r="G265" s="50" t="s">
        <v>390</v>
      </c>
      <c r="H265" s="50" t="s">
        <v>2378</v>
      </c>
      <c r="I265" s="50">
        <v>3</v>
      </c>
      <c r="J265" s="77" t="s">
        <v>50</v>
      </c>
      <c r="K265"/>
      <c r="L265"/>
      <c r="M265"/>
      <c r="N265"/>
      <c r="O265"/>
      <c r="P265"/>
      <c r="Q265"/>
      <c r="R265"/>
      <c r="S265"/>
      <c r="T265"/>
    </row>
    <row r="266" spans="1:20" s="59" customFormat="1" ht="12.9" x14ac:dyDescent="0.2">
      <c r="A266" s="141" t="s">
        <v>51</v>
      </c>
      <c r="B266" s="50" t="s">
        <v>52</v>
      </c>
      <c r="C266" s="600"/>
      <c r="D266" s="51">
        <v>45150</v>
      </c>
      <c r="E266" s="50" t="s">
        <v>2379</v>
      </c>
      <c r="F266" s="50" t="s">
        <v>2380</v>
      </c>
      <c r="G266" s="50" t="s">
        <v>1659</v>
      </c>
      <c r="H266" s="50" t="s">
        <v>2381</v>
      </c>
      <c r="I266" s="50">
        <v>3</v>
      </c>
      <c r="J266" s="77" t="s">
        <v>50</v>
      </c>
      <c r="K266"/>
      <c r="L266"/>
      <c r="M266"/>
      <c r="N266"/>
      <c r="O266"/>
      <c r="P266"/>
      <c r="Q266"/>
      <c r="R266"/>
      <c r="S266"/>
      <c r="T266"/>
    </row>
    <row r="267" spans="1:20" s="59" customFormat="1" ht="12.9" x14ac:dyDescent="0.2">
      <c r="A267" s="141" t="s">
        <v>10</v>
      </c>
      <c r="B267" s="50" t="s">
        <v>188</v>
      </c>
      <c r="C267" s="600"/>
      <c r="D267" s="51">
        <v>45150</v>
      </c>
      <c r="E267" s="50" t="s">
        <v>2382</v>
      </c>
      <c r="F267" s="50" t="s">
        <v>2383</v>
      </c>
      <c r="G267" s="50" t="s">
        <v>27</v>
      </c>
      <c r="H267" s="50" t="s">
        <v>2384</v>
      </c>
      <c r="I267" s="50">
        <v>2</v>
      </c>
      <c r="J267" s="77" t="s">
        <v>192</v>
      </c>
      <c r="K267"/>
      <c r="L267"/>
      <c r="M267"/>
      <c r="N267"/>
      <c r="O267"/>
      <c r="P267"/>
      <c r="Q267"/>
      <c r="R267"/>
      <c r="S267"/>
      <c r="T267"/>
    </row>
    <row r="268" spans="1:20" s="59" customFormat="1" ht="12.9" x14ac:dyDescent="0.2">
      <c r="A268" s="141" t="s">
        <v>51</v>
      </c>
      <c r="B268" s="50" t="s">
        <v>397</v>
      </c>
      <c r="C268" s="600"/>
      <c r="D268" s="51">
        <v>45152</v>
      </c>
      <c r="E268" s="50" t="s">
        <v>240</v>
      </c>
      <c r="F268" s="50" t="s">
        <v>2385</v>
      </c>
      <c r="G268" s="50" t="s">
        <v>2386</v>
      </c>
      <c r="H268" s="50" t="s">
        <v>2387</v>
      </c>
      <c r="I268" s="50">
        <v>3</v>
      </c>
      <c r="J268" s="77" t="s">
        <v>16</v>
      </c>
      <c r="K268"/>
      <c r="L268"/>
      <c r="M268"/>
      <c r="N268"/>
      <c r="O268"/>
      <c r="P268"/>
      <c r="Q268"/>
      <c r="R268"/>
      <c r="S268"/>
      <c r="T268"/>
    </row>
    <row r="269" spans="1:20" s="59" customFormat="1" ht="12.9" x14ac:dyDescent="0.2">
      <c r="A269" s="141" t="s">
        <v>10</v>
      </c>
      <c r="B269" s="50" t="s">
        <v>163</v>
      </c>
      <c r="C269" s="600"/>
      <c r="D269" s="51">
        <v>45152</v>
      </c>
      <c r="E269" s="50" t="s">
        <v>2343</v>
      </c>
      <c r="F269" s="50" t="s">
        <v>2388</v>
      </c>
      <c r="G269" s="49"/>
      <c r="H269" s="50" t="s">
        <v>166</v>
      </c>
      <c r="I269" s="50">
        <v>33</v>
      </c>
      <c r="J269" s="77" t="s">
        <v>167</v>
      </c>
      <c r="K269"/>
      <c r="L269"/>
      <c r="M269"/>
      <c r="N269"/>
      <c r="O269"/>
      <c r="P269"/>
      <c r="Q269"/>
      <c r="R269"/>
      <c r="S269"/>
      <c r="T269"/>
    </row>
    <row r="270" spans="1:20" s="59" customFormat="1" ht="12.9" x14ac:dyDescent="0.2">
      <c r="A270" s="141" t="s">
        <v>51</v>
      </c>
      <c r="B270" s="50" t="s">
        <v>52</v>
      </c>
      <c r="C270" s="600"/>
      <c r="D270" s="51">
        <v>45152</v>
      </c>
      <c r="E270" s="50" t="s">
        <v>2389</v>
      </c>
      <c r="F270" s="50" t="s">
        <v>2390</v>
      </c>
      <c r="G270" s="49"/>
      <c r="H270" s="50" t="s">
        <v>2391</v>
      </c>
      <c r="I270" s="50">
        <v>5</v>
      </c>
      <c r="J270" s="77" t="s">
        <v>16</v>
      </c>
      <c r="K270"/>
      <c r="L270"/>
      <c r="M270"/>
      <c r="N270"/>
      <c r="O270"/>
      <c r="P270"/>
      <c r="Q270"/>
      <c r="R270"/>
      <c r="S270"/>
      <c r="T270"/>
    </row>
    <row r="271" spans="1:20" s="59" customFormat="1" ht="12.9" x14ac:dyDescent="0.2">
      <c r="A271" s="141" t="s">
        <v>387</v>
      </c>
      <c r="B271" s="50" t="s">
        <v>52</v>
      </c>
      <c r="C271" s="600"/>
      <c r="D271" s="51">
        <v>45152</v>
      </c>
      <c r="E271" s="50" t="s">
        <v>91</v>
      </c>
      <c r="F271" s="50" t="s">
        <v>2392</v>
      </c>
      <c r="G271" s="49"/>
      <c r="H271" s="50" t="s">
        <v>387</v>
      </c>
      <c r="I271" s="50">
        <v>3</v>
      </c>
      <c r="J271" s="77" t="s">
        <v>16</v>
      </c>
      <c r="K271"/>
      <c r="L271"/>
      <c r="M271"/>
      <c r="N271"/>
      <c r="O271"/>
      <c r="P271"/>
      <c r="Q271"/>
      <c r="R271"/>
      <c r="S271"/>
      <c r="T271"/>
    </row>
    <row r="272" spans="1:20" s="59" customFormat="1" ht="12.9" x14ac:dyDescent="0.2">
      <c r="A272" s="141" t="s">
        <v>387</v>
      </c>
      <c r="B272" s="50" t="s">
        <v>397</v>
      </c>
      <c r="C272" s="600"/>
      <c r="D272" s="51">
        <v>45153</v>
      </c>
      <c r="E272" s="50" t="s">
        <v>2393</v>
      </c>
      <c r="F272" s="50" t="s">
        <v>2394</v>
      </c>
      <c r="G272" s="49"/>
      <c r="H272" s="50" t="s">
        <v>2395</v>
      </c>
      <c r="I272" s="50">
        <v>3</v>
      </c>
      <c r="J272" s="77" t="s">
        <v>16</v>
      </c>
      <c r="K272"/>
      <c r="L272"/>
      <c r="M272"/>
      <c r="N272"/>
      <c r="O272"/>
      <c r="P272"/>
      <c r="Q272"/>
      <c r="R272"/>
      <c r="S272"/>
      <c r="T272"/>
    </row>
    <row r="273" spans="1:20" s="59" customFormat="1" ht="12.9" x14ac:dyDescent="0.2">
      <c r="A273" s="141" t="s">
        <v>51</v>
      </c>
      <c r="B273" s="50" t="s">
        <v>52</v>
      </c>
      <c r="C273" s="600"/>
      <c r="D273" s="51">
        <v>45153</v>
      </c>
      <c r="E273" s="50" t="s">
        <v>91</v>
      </c>
      <c r="F273" s="50" t="s">
        <v>2396</v>
      </c>
      <c r="G273" s="49"/>
      <c r="H273" s="50" t="s">
        <v>2397</v>
      </c>
      <c r="I273" s="50">
        <v>3</v>
      </c>
      <c r="J273" s="77" t="s">
        <v>192</v>
      </c>
      <c r="K273"/>
      <c r="L273"/>
      <c r="M273"/>
      <c r="N273"/>
      <c r="O273"/>
      <c r="P273"/>
      <c r="Q273"/>
      <c r="R273"/>
      <c r="S273"/>
      <c r="T273"/>
    </row>
    <row r="274" spans="1:20" s="59" customFormat="1" ht="12.9" x14ac:dyDescent="0.2">
      <c r="A274" s="141" t="s">
        <v>10</v>
      </c>
      <c r="B274" s="50" t="s">
        <v>64</v>
      </c>
      <c r="C274" s="600"/>
      <c r="D274" s="51">
        <v>45154</v>
      </c>
      <c r="E274" s="50" t="s">
        <v>2398</v>
      </c>
      <c r="F274" s="50" t="s">
        <v>2399</v>
      </c>
      <c r="G274" s="50" t="s">
        <v>85</v>
      </c>
      <c r="H274" s="50" t="s">
        <v>2400</v>
      </c>
      <c r="I274" s="50">
        <v>3</v>
      </c>
      <c r="J274" s="77" t="s">
        <v>50</v>
      </c>
      <c r="K274"/>
      <c r="L274"/>
      <c r="M274"/>
      <c r="N274"/>
      <c r="O274"/>
      <c r="P274"/>
      <c r="Q274"/>
      <c r="R274"/>
      <c r="S274"/>
      <c r="T274"/>
    </row>
    <row r="275" spans="1:20" s="67" customFormat="1" ht="15.8" customHeight="1" x14ac:dyDescent="0.2">
      <c r="A275" s="142" t="s">
        <v>35</v>
      </c>
      <c r="B275" s="70" t="s">
        <v>137</v>
      </c>
      <c r="C275" s="600"/>
      <c r="D275" s="71">
        <v>45154</v>
      </c>
      <c r="E275" s="70" t="s">
        <v>2226</v>
      </c>
      <c r="F275" s="70" t="s">
        <v>1178</v>
      </c>
      <c r="G275" s="70"/>
      <c r="H275" s="70" t="s">
        <v>2402</v>
      </c>
      <c r="I275" s="70">
        <v>4</v>
      </c>
      <c r="J275" s="82" t="s">
        <v>16</v>
      </c>
      <c r="K275"/>
      <c r="L275"/>
      <c r="M275"/>
      <c r="N275"/>
      <c r="O275"/>
      <c r="P275"/>
      <c r="Q275"/>
      <c r="R275"/>
      <c r="S275"/>
      <c r="T275"/>
    </row>
    <row r="276" spans="1:20" s="67" customFormat="1" ht="15.8" customHeight="1" x14ac:dyDescent="0.2">
      <c r="A276" s="143" t="s">
        <v>10</v>
      </c>
      <c r="B276" s="65" t="s">
        <v>163</v>
      </c>
      <c r="C276" s="600"/>
      <c r="D276" s="66">
        <v>45160</v>
      </c>
      <c r="E276" s="65" t="s">
        <v>164</v>
      </c>
      <c r="F276" s="65" t="s">
        <v>443</v>
      </c>
      <c r="G276" s="65"/>
      <c r="H276" s="65" t="s">
        <v>166</v>
      </c>
      <c r="I276" s="65">
        <v>42</v>
      </c>
      <c r="J276" s="83" t="s">
        <v>167</v>
      </c>
      <c r="K276"/>
      <c r="L276"/>
      <c r="M276"/>
      <c r="N276"/>
      <c r="O276"/>
      <c r="P276"/>
      <c r="Q276"/>
      <c r="R276"/>
      <c r="S276"/>
      <c r="T276"/>
    </row>
    <row r="277" spans="1:20" s="67" customFormat="1" ht="15.8" customHeight="1" x14ac:dyDescent="0.2">
      <c r="A277" s="143" t="s">
        <v>17</v>
      </c>
      <c r="B277" s="65" t="s">
        <v>24</v>
      </c>
      <c r="C277" s="600"/>
      <c r="D277" s="66">
        <v>45161</v>
      </c>
      <c r="E277" s="65" t="s">
        <v>57</v>
      </c>
      <c r="F277" s="65" t="s">
        <v>2403</v>
      </c>
      <c r="G277" s="65" t="s">
        <v>70</v>
      </c>
      <c r="H277" s="65" t="s">
        <v>28</v>
      </c>
      <c r="I277" s="65">
        <v>1</v>
      </c>
      <c r="J277" s="83" t="s">
        <v>23</v>
      </c>
      <c r="K277"/>
      <c r="L277"/>
      <c r="M277"/>
      <c r="N277"/>
      <c r="O277"/>
      <c r="P277"/>
      <c r="Q277"/>
      <c r="R277"/>
      <c r="S277"/>
      <c r="T277"/>
    </row>
    <row r="278" spans="1:20" s="67" customFormat="1" ht="15.8" customHeight="1" x14ac:dyDescent="0.2">
      <c r="A278" s="143" t="s">
        <v>17</v>
      </c>
      <c r="B278" s="65" t="s">
        <v>244</v>
      </c>
      <c r="C278" s="600"/>
      <c r="D278" s="66">
        <v>45161</v>
      </c>
      <c r="E278" s="65" t="s">
        <v>91</v>
      </c>
      <c r="F278" s="65" t="s">
        <v>2404</v>
      </c>
      <c r="G278" s="65" t="s">
        <v>189</v>
      </c>
      <c r="H278" s="65" t="s">
        <v>2405</v>
      </c>
      <c r="I278" s="65">
        <v>2</v>
      </c>
      <c r="J278" s="83" t="s">
        <v>50</v>
      </c>
      <c r="K278"/>
      <c r="L278"/>
      <c r="M278"/>
      <c r="N278"/>
      <c r="O278"/>
      <c r="P278"/>
      <c r="Q278"/>
      <c r="R278"/>
      <c r="S278"/>
      <c r="T278"/>
    </row>
    <row r="279" spans="1:20" s="67" customFormat="1" ht="15.8" customHeight="1" x14ac:dyDescent="0.2">
      <c r="A279" s="143" t="s">
        <v>10</v>
      </c>
      <c r="B279" s="65" t="s">
        <v>29</v>
      </c>
      <c r="C279" s="600"/>
      <c r="D279" s="66">
        <v>45166</v>
      </c>
      <c r="E279" s="65" t="s">
        <v>176</v>
      </c>
      <c r="F279" s="65" t="s">
        <v>992</v>
      </c>
      <c r="G279" s="65" t="s">
        <v>992</v>
      </c>
      <c r="H279" s="65" t="s">
        <v>2406</v>
      </c>
      <c r="I279" s="65">
        <v>3</v>
      </c>
      <c r="J279" s="83" t="s">
        <v>50</v>
      </c>
      <c r="K279"/>
      <c r="L279"/>
      <c r="M279"/>
      <c r="N279"/>
      <c r="O279"/>
      <c r="P279"/>
      <c r="Q279"/>
      <c r="R279"/>
      <c r="S279"/>
      <c r="T279"/>
    </row>
    <row r="280" spans="1:20" s="67" customFormat="1" ht="15.8" customHeight="1" x14ac:dyDescent="0.2">
      <c r="A280" s="143" t="s">
        <v>51</v>
      </c>
      <c r="B280" s="65" t="s">
        <v>52</v>
      </c>
      <c r="C280" s="600"/>
      <c r="D280" s="66">
        <v>45166</v>
      </c>
      <c r="E280" s="65" t="s">
        <v>2407</v>
      </c>
      <c r="F280" s="65" t="s">
        <v>1031</v>
      </c>
      <c r="G280" s="65" t="s">
        <v>1031</v>
      </c>
      <c r="H280" s="65" t="s">
        <v>2408</v>
      </c>
      <c r="I280" s="65">
        <v>16</v>
      </c>
      <c r="J280" s="83" t="s">
        <v>2273</v>
      </c>
      <c r="K280"/>
      <c r="L280"/>
      <c r="M280"/>
      <c r="N280"/>
      <c r="O280"/>
      <c r="P280"/>
      <c r="Q280"/>
      <c r="R280"/>
      <c r="S280"/>
      <c r="T280"/>
    </row>
    <row r="281" spans="1:20" s="67" customFormat="1" ht="15.8" customHeight="1" x14ac:dyDescent="0.2">
      <c r="A281" s="143" t="s">
        <v>51</v>
      </c>
      <c r="B281" s="65" t="s">
        <v>52</v>
      </c>
      <c r="C281" s="600"/>
      <c r="D281" s="66">
        <v>45166</v>
      </c>
      <c r="E281" s="65" t="s">
        <v>2409</v>
      </c>
      <c r="F281" s="65" t="s">
        <v>2410</v>
      </c>
      <c r="G281" s="65" t="s">
        <v>2411</v>
      </c>
      <c r="H281" s="65" t="s">
        <v>2412</v>
      </c>
      <c r="I281" s="65">
        <v>3</v>
      </c>
      <c r="J281" s="83" t="s">
        <v>192</v>
      </c>
      <c r="K281"/>
      <c r="L281"/>
      <c r="M281"/>
      <c r="N281"/>
      <c r="O281"/>
      <c r="P281"/>
      <c r="Q281"/>
      <c r="R281"/>
      <c r="S281"/>
      <c r="T281"/>
    </row>
    <row r="282" spans="1:20" s="67" customFormat="1" ht="15.8" customHeight="1" x14ac:dyDescent="0.2">
      <c r="A282" s="143" t="s">
        <v>10</v>
      </c>
      <c r="B282" s="65" t="s">
        <v>163</v>
      </c>
      <c r="C282" s="600"/>
      <c r="D282" s="66">
        <v>45166</v>
      </c>
      <c r="E282" s="65" t="s">
        <v>164</v>
      </c>
      <c r="F282" s="65" t="s">
        <v>443</v>
      </c>
      <c r="G282" s="65"/>
      <c r="H282" s="65" t="s">
        <v>444</v>
      </c>
      <c r="I282" s="65">
        <v>37</v>
      </c>
      <c r="J282" s="83" t="s">
        <v>167</v>
      </c>
      <c r="K282"/>
      <c r="L282"/>
      <c r="M282"/>
      <c r="N282"/>
      <c r="O282"/>
      <c r="P282"/>
      <c r="Q282"/>
      <c r="R282"/>
      <c r="S282"/>
      <c r="T282"/>
    </row>
    <row r="283" spans="1:20" s="67" customFormat="1" ht="15.8" customHeight="1" x14ac:dyDescent="0.2">
      <c r="A283" s="143" t="s">
        <v>10</v>
      </c>
      <c r="B283" s="65" t="s">
        <v>29</v>
      </c>
      <c r="C283" s="601"/>
      <c r="D283" s="66">
        <v>45167</v>
      </c>
      <c r="E283" s="65" t="s">
        <v>2413</v>
      </c>
      <c r="F283" s="65" t="s">
        <v>992</v>
      </c>
      <c r="G283" s="65" t="s">
        <v>992</v>
      </c>
      <c r="H283" s="65" t="s">
        <v>781</v>
      </c>
      <c r="I283" s="65">
        <v>2</v>
      </c>
      <c r="J283" s="83" t="s">
        <v>50</v>
      </c>
      <c r="K283"/>
      <c r="L283"/>
      <c r="M283"/>
      <c r="N283"/>
      <c r="O283"/>
      <c r="P283"/>
      <c r="Q283"/>
      <c r="R283"/>
      <c r="S283"/>
      <c r="T283"/>
    </row>
    <row r="284" spans="1:20" s="67" customFormat="1" ht="13.6" x14ac:dyDescent="0.25">
      <c r="A284" s="107" t="s">
        <v>2148</v>
      </c>
      <c r="B284" s="68"/>
      <c r="C284" s="91"/>
      <c r="D284" s="69"/>
      <c r="E284" s="68"/>
      <c r="F284" s="68"/>
      <c r="G284" s="68"/>
      <c r="H284" s="68"/>
      <c r="I284" s="68"/>
      <c r="J284" s="84"/>
      <c r="K284"/>
      <c r="L284"/>
      <c r="M284"/>
      <c r="N284"/>
      <c r="O284"/>
      <c r="P284"/>
      <c r="Q284"/>
      <c r="R284"/>
      <c r="S284"/>
      <c r="T284"/>
    </row>
    <row r="285" spans="1:20" s="67" customFormat="1" ht="12.9" x14ac:dyDescent="0.2">
      <c r="A285" s="143" t="s">
        <v>51</v>
      </c>
      <c r="B285" s="65" t="s">
        <v>52</v>
      </c>
      <c r="C285" s="602">
        <f>COUNTIF(B285:B328,$C$2)</f>
        <v>14</v>
      </c>
      <c r="D285" s="66">
        <v>45170</v>
      </c>
      <c r="E285" s="65" t="s">
        <v>2414</v>
      </c>
      <c r="F285" s="65" t="s">
        <v>2415</v>
      </c>
      <c r="G285" s="65" t="s">
        <v>950</v>
      </c>
      <c r="H285" s="65" t="s">
        <v>2416</v>
      </c>
      <c r="I285" s="65">
        <v>5</v>
      </c>
      <c r="J285" s="83" t="s">
        <v>50</v>
      </c>
      <c r="K285"/>
      <c r="L285"/>
      <c r="M285"/>
      <c r="N285"/>
      <c r="O285"/>
      <c r="P285"/>
      <c r="Q285"/>
      <c r="R285"/>
      <c r="S285"/>
      <c r="T285"/>
    </row>
    <row r="286" spans="1:20" s="67" customFormat="1" ht="12.9" x14ac:dyDescent="0.2">
      <c r="A286" s="143" t="s">
        <v>17</v>
      </c>
      <c r="B286" s="65" t="s">
        <v>24</v>
      </c>
      <c r="C286" s="600"/>
      <c r="D286" s="66">
        <v>45170</v>
      </c>
      <c r="E286" s="65" t="s">
        <v>2417</v>
      </c>
      <c r="F286" s="65" t="s">
        <v>2418</v>
      </c>
      <c r="G286" s="65" t="s">
        <v>2419</v>
      </c>
      <c r="H286" s="65" t="s">
        <v>2420</v>
      </c>
      <c r="I286" s="65">
        <v>1</v>
      </c>
      <c r="J286" s="83" t="s">
        <v>23</v>
      </c>
      <c r="K286"/>
      <c r="L286"/>
      <c r="M286"/>
      <c r="N286"/>
      <c r="O286"/>
      <c r="P286"/>
      <c r="Q286"/>
      <c r="R286"/>
      <c r="S286"/>
      <c r="T286"/>
    </row>
    <row r="287" spans="1:20" s="67" customFormat="1" ht="12.9" x14ac:dyDescent="0.2">
      <c r="A287" s="143" t="s">
        <v>10</v>
      </c>
      <c r="B287" s="65" t="s">
        <v>2161</v>
      </c>
      <c r="C287" s="600"/>
      <c r="D287" s="66">
        <v>45171</v>
      </c>
      <c r="E287" s="65" t="s">
        <v>388</v>
      </c>
      <c r="F287" s="65" t="s">
        <v>1058</v>
      </c>
      <c r="G287" s="65" t="s">
        <v>134</v>
      </c>
      <c r="H287" s="65" t="s">
        <v>2421</v>
      </c>
      <c r="I287" s="65">
        <v>3</v>
      </c>
      <c r="J287" s="83" t="s">
        <v>192</v>
      </c>
      <c r="K287"/>
      <c r="L287"/>
      <c r="M287"/>
      <c r="N287"/>
      <c r="O287"/>
      <c r="P287"/>
      <c r="Q287"/>
      <c r="R287"/>
      <c r="S287"/>
      <c r="T287"/>
    </row>
    <row r="288" spans="1:20" s="67" customFormat="1" ht="12.9" x14ac:dyDescent="0.2">
      <c r="A288" s="143" t="s">
        <v>17</v>
      </c>
      <c r="B288" s="65" t="s">
        <v>24</v>
      </c>
      <c r="C288" s="600"/>
      <c r="D288" s="66">
        <v>45173</v>
      </c>
      <c r="E288" s="65" t="s">
        <v>2422</v>
      </c>
      <c r="F288" s="65" t="s">
        <v>2423</v>
      </c>
      <c r="G288" s="65" t="s">
        <v>441</v>
      </c>
      <c r="H288" s="65" t="s">
        <v>2424</v>
      </c>
      <c r="I288" s="65">
        <v>1</v>
      </c>
      <c r="J288" s="83" t="s">
        <v>23</v>
      </c>
      <c r="K288"/>
      <c r="L288"/>
      <c r="M288"/>
      <c r="N288"/>
      <c r="O288"/>
      <c r="P288"/>
      <c r="Q288"/>
      <c r="R288"/>
      <c r="S288"/>
      <c r="T288"/>
    </row>
    <row r="289" spans="1:20" s="67" customFormat="1" ht="12.9" x14ac:dyDescent="0.2">
      <c r="A289" s="143" t="s">
        <v>10</v>
      </c>
      <c r="B289" s="65" t="s">
        <v>163</v>
      </c>
      <c r="C289" s="600"/>
      <c r="D289" s="66">
        <v>45173</v>
      </c>
      <c r="E289" s="65" t="s">
        <v>164</v>
      </c>
      <c r="F289" s="65" t="s">
        <v>165</v>
      </c>
      <c r="G289" s="65"/>
      <c r="H289" s="65" t="s">
        <v>2425</v>
      </c>
      <c r="I289" s="65">
        <v>36</v>
      </c>
      <c r="J289" s="83" t="s">
        <v>167</v>
      </c>
      <c r="K289"/>
      <c r="L289"/>
      <c r="M289"/>
      <c r="N289"/>
      <c r="O289"/>
      <c r="P289"/>
      <c r="Q289"/>
      <c r="R289"/>
      <c r="S289"/>
      <c r="T289"/>
    </row>
    <row r="290" spans="1:20" s="67" customFormat="1" ht="12.9" x14ac:dyDescent="0.2">
      <c r="A290" s="143" t="s">
        <v>17</v>
      </c>
      <c r="B290" s="65" t="s">
        <v>24</v>
      </c>
      <c r="C290" s="600"/>
      <c r="D290" s="66">
        <v>45173</v>
      </c>
      <c r="E290" s="65" t="s">
        <v>57</v>
      </c>
      <c r="F290" s="65" t="s">
        <v>2426</v>
      </c>
      <c r="G290" s="65" t="s">
        <v>95</v>
      </c>
      <c r="H290" s="65" t="s">
        <v>1009</v>
      </c>
      <c r="I290" s="65">
        <v>1</v>
      </c>
      <c r="J290" s="83" t="s">
        <v>23</v>
      </c>
      <c r="K290"/>
      <c r="L290"/>
      <c r="M290"/>
      <c r="N290"/>
      <c r="O290"/>
      <c r="P290"/>
      <c r="Q290"/>
      <c r="R290"/>
      <c r="S290"/>
      <c r="T290"/>
    </row>
    <row r="291" spans="1:20" s="67" customFormat="1" ht="12.9" x14ac:dyDescent="0.2">
      <c r="A291" s="143" t="s">
        <v>10</v>
      </c>
      <c r="B291" s="65" t="s">
        <v>29</v>
      </c>
      <c r="C291" s="600"/>
      <c r="D291" s="66">
        <v>45173</v>
      </c>
      <c r="E291" s="65" t="s">
        <v>1520</v>
      </c>
      <c r="F291" s="65" t="s">
        <v>1777</v>
      </c>
      <c r="G291" s="65" t="s">
        <v>1777</v>
      </c>
      <c r="H291" s="65" t="s">
        <v>2427</v>
      </c>
      <c r="I291" s="65">
        <v>3</v>
      </c>
      <c r="J291" s="83" t="s">
        <v>50</v>
      </c>
      <c r="K291"/>
      <c r="L291"/>
      <c r="M291"/>
      <c r="N291"/>
      <c r="O291"/>
      <c r="P291"/>
      <c r="Q291"/>
      <c r="R291"/>
      <c r="S291"/>
      <c r="T291"/>
    </row>
    <row r="292" spans="1:20" s="67" customFormat="1" ht="12.9" x14ac:dyDescent="0.2">
      <c r="A292" s="143" t="s">
        <v>51</v>
      </c>
      <c r="B292" s="65" t="s">
        <v>52</v>
      </c>
      <c r="C292" s="600"/>
      <c r="D292" s="66">
        <v>45174</v>
      </c>
      <c r="E292" s="65" t="s">
        <v>2428</v>
      </c>
      <c r="F292" s="65" t="s">
        <v>222</v>
      </c>
      <c r="G292" s="65"/>
      <c r="H292" s="65" t="s">
        <v>2429</v>
      </c>
      <c r="I292" s="65">
        <v>7</v>
      </c>
      <c r="J292" s="83" t="s">
        <v>1075</v>
      </c>
      <c r="K292"/>
      <c r="L292"/>
      <c r="M292"/>
      <c r="N292"/>
      <c r="O292"/>
      <c r="P292"/>
      <c r="Q292"/>
      <c r="R292"/>
      <c r="S292"/>
      <c r="T292"/>
    </row>
    <row r="293" spans="1:20" s="67" customFormat="1" ht="12.9" x14ac:dyDescent="0.2">
      <c r="A293" s="143" t="s">
        <v>17</v>
      </c>
      <c r="B293" s="65" t="s">
        <v>24</v>
      </c>
      <c r="C293" s="600"/>
      <c r="D293" s="66">
        <v>45174</v>
      </c>
      <c r="E293" s="65" t="s">
        <v>164</v>
      </c>
      <c r="F293" s="65" t="s">
        <v>2430</v>
      </c>
      <c r="G293" s="65"/>
      <c r="H293" s="65" t="s">
        <v>28</v>
      </c>
      <c r="I293" s="65">
        <v>1</v>
      </c>
      <c r="J293" s="83" t="s">
        <v>23</v>
      </c>
      <c r="K293"/>
      <c r="L293"/>
      <c r="M293"/>
      <c r="N293"/>
      <c r="O293"/>
      <c r="P293"/>
      <c r="Q293"/>
      <c r="R293"/>
      <c r="S293"/>
      <c r="T293"/>
    </row>
    <row r="294" spans="1:20" s="67" customFormat="1" ht="12.9" x14ac:dyDescent="0.2">
      <c r="A294" s="143" t="s">
        <v>51</v>
      </c>
      <c r="B294" s="65" t="s">
        <v>52</v>
      </c>
      <c r="C294" s="600"/>
      <c r="D294" s="66">
        <v>45175</v>
      </c>
      <c r="E294" s="65" t="s">
        <v>57</v>
      </c>
      <c r="F294" s="65" t="s">
        <v>62</v>
      </c>
      <c r="G294" s="65"/>
      <c r="H294" s="65" t="s">
        <v>52</v>
      </c>
      <c r="I294" s="65">
        <v>10</v>
      </c>
      <c r="J294" s="83" t="s">
        <v>2431</v>
      </c>
      <c r="K294"/>
      <c r="L294"/>
      <c r="M294"/>
      <c r="N294"/>
      <c r="O294"/>
      <c r="P294"/>
      <c r="Q294"/>
      <c r="R294"/>
      <c r="S294"/>
      <c r="T294"/>
    </row>
    <row r="295" spans="1:20" s="67" customFormat="1" ht="12.9" x14ac:dyDescent="0.2">
      <c r="A295" s="143" t="s">
        <v>51</v>
      </c>
      <c r="B295" s="65" t="s">
        <v>52</v>
      </c>
      <c r="C295" s="600"/>
      <c r="D295" s="66">
        <v>45176</v>
      </c>
      <c r="E295" s="65" t="s">
        <v>72</v>
      </c>
      <c r="F295" s="65" t="s">
        <v>2432</v>
      </c>
      <c r="G295" s="65" t="s">
        <v>217</v>
      </c>
      <c r="H295" s="65" t="s">
        <v>2433</v>
      </c>
      <c r="I295" s="65">
        <v>8</v>
      </c>
      <c r="J295" s="83" t="s">
        <v>2307</v>
      </c>
      <c r="K295"/>
      <c r="L295"/>
      <c r="M295"/>
      <c r="N295"/>
      <c r="O295"/>
      <c r="P295"/>
      <c r="Q295"/>
      <c r="R295"/>
      <c r="S295"/>
      <c r="T295"/>
    </row>
    <row r="296" spans="1:20" s="67" customFormat="1" ht="12.9" x14ac:dyDescent="0.2">
      <c r="A296" s="143" t="s">
        <v>51</v>
      </c>
      <c r="B296" s="65" t="s">
        <v>52</v>
      </c>
      <c r="C296" s="600"/>
      <c r="D296" s="66">
        <v>45177</v>
      </c>
      <c r="E296" s="65" t="s">
        <v>57</v>
      </c>
      <c r="F296" s="65" t="s">
        <v>2434</v>
      </c>
      <c r="G296" s="65" t="s">
        <v>2435</v>
      </c>
      <c r="H296" s="65" t="s">
        <v>2436</v>
      </c>
      <c r="I296" s="65">
        <v>7</v>
      </c>
      <c r="J296" s="83" t="s">
        <v>56</v>
      </c>
      <c r="K296"/>
      <c r="L296"/>
      <c r="M296"/>
      <c r="N296"/>
      <c r="O296"/>
      <c r="P296"/>
      <c r="Q296"/>
      <c r="R296"/>
      <c r="S296"/>
      <c r="T296"/>
    </row>
    <row r="297" spans="1:20" s="67" customFormat="1" ht="12.9" x14ac:dyDescent="0.2">
      <c r="A297" s="143" t="s">
        <v>51</v>
      </c>
      <c r="B297" s="65" t="s">
        <v>52</v>
      </c>
      <c r="C297" s="600"/>
      <c r="D297" s="66">
        <v>45178</v>
      </c>
      <c r="E297" s="65" t="s">
        <v>72</v>
      </c>
      <c r="F297" s="65" t="s">
        <v>2437</v>
      </c>
      <c r="G297" s="65" t="s">
        <v>1959</v>
      </c>
      <c r="H297" s="65" t="s">
        <v>2438</v>
      </c>
      <c r="I297" s="65">
        <v>12</v>
      </c>
      <c r="J297" s="83" t="s">
        <v>2439</v>
      </c>
      <c r="K297"/>
      <c r="L297"/>
      <c r="M297"/>
      <c r="N297"/>
      <c r="O297"/>
      <c r="P297"/>
      <c r="Q297"/>
      <c r="R297"/>
      <c r="S297"/>
      <c r="T297"/>
    </row>
    <row r="298" spans="1:20" s="67" customFormat="1" ht="12.9" x14ac:dyDescent="0.2">
      <c r="A298" s="143" t="s">
        <v>387</v>
      </c>
      <c r="B298" s="65" t="s">
        <v>2401</v>
      </c>
      <c r="C298" s="600"/>
      <c r="D298" s="66">
        <v>45180</v>
      </c>
      <c r="E298" s="65" t="s">
        <v>91</v>
      </c>
      <c r="F298" s="65" t="s">
        <v>1866</v>
      </c>
      <c r="G298" s="65"/>
      <c r="H298" s="65" t="s">
        <v>2440</v>
      </c>
      <c r="I298" s="65">
        <v>7</v>
      </c>
      <c r="J298" s="83" t="s">
        <v>56</v>
      </c>
      <c r="K298"/>
      <c r="L298"/>
      <c r="M298"/>
      <c r="N298"/>
      <c r="O298"/>
      <c r="P298"/>
      <c r="Q298"/>
      <c r="R298"/>
      <c r="S298"/>
      <c r="T298"/>
    </row>
    <row r="299" spans="1:20" s="67" customFormat="1" ht="12.9" x14ac:dyDescent="0.2">
      <c r="A299" s="143" t="s">
        <v>10</v>
      </c>
      <c r="B299" s="65" t="s">
        <v>163</v>
      </c>
      <c r="C299" s="600"/>
      <c r="D299" s="66">
        <v>45180</v>
      </c>
      <c r="E299" s="65" t="s">
        <v>164</v>
      </c>
      <c r="F299" s="65" t="s">
        <v>2441</v>
      </c>
      <c r="G299" s="65" t="s">
        <v>2442</v>
      </c>
      <c r="H299" s="65" t="s">
        <v>857</v>
      </c>
      <c r="I299" s="65">
        <v>32</v>
      </c>
      <c r="J299" s="83" t="s">
        <v>167</v>
      </c>
      <c r="K299"/>
      <c r="L299"/>
      <c r="M299"/>
      <c r="N299"/>
      <c r="O299"/>
      <c r="P299"/>
      <c r="Q299"/>
      <c r="R299"/>
      <c r="S299"/>
      <c r="T299"/>
    </row>
    <row r="300" spans="1:20" s="67" customFormat="1" ht="12.9" x14ac:dyDescent="0.2">
      <c r="A300" s="143" t="s">
        <v>10</v>
      </c>
      <c r="B300" s="65" t="s">
        <v>137</v>
      </c>
      <c r="C300" s="600"/>
      <c r="D300" s="66">
        <v>45180</v>
      </c>
      <c r="E300" s="65" t="s">
        <v>240</v>
      </c>
      <c r="F300" s="65" t="s">
        <v>2443</v>
      </c>
      <c r="G300" s="65" t="s">
        <v>76</v>
      </c>
      <c r="H300" s="65" t="s">
        <v>2444</v>
      </c>
      <c r="I300" s="65">
        <v>2</v>
      </c>
      <c r="J300" s="83" t="s">
        <v>10</v>
      </c>
      <c r="K300"/>
      <c r="L300"/>
      <c r="M300"/>
      <c r="N300"/>
      <c r="O300"/>
      <c r="P300"/>
      <c r="Q300"/>
      <c r="R300"/>
      <c r="S300"/>
      <c r="T300"/>
    </row>
    <row r="301" spans="1:20" s="67" customFormat="1" ht="12.9" x14ac:dyDescent="0.2">
      <c r="A301" s="144" t="s">
        <v>51</v>
      </c>
      <c r="B301" s="95" t="s">
        <v>52</v>
      </c>
      <c r="C301" s="600"/>
      <c r="D301" s="96">
        <v>45182</v>
      </c>
      <c r="E301" s="95" t="s">
        <v>1257</v>
      </c>
      <c r="F301" s="95" t="s">
        <v>2445</v>
      </c>
      <c r="G301" s="95" t="s">
        <v>2446</v>
      </c>
      <c r="H301" s="95" t="s">
        <v>2447</v>
      </c>
      <c r="I301" s="95">
        <v>18</v>
      </c>
      <c r="J301" s="97" t="s">
        <v>2448</v>
      </c>
      <c r="K301"/>
      <c r="L301"/>
      <c r="M301"/>
      <c r="N301"/>
      <c r="O301"/>
      <c r="P301"/>
      <c r="Q301"/>
      <c r="R301"/>
      <c r="S301"/>
      <c r="T301"/>
    </row>
    <row r="302" spans="1:20" ht="15.8" customHeight="1" x14ac:dyDescent="0.2">
      <c r="A302" s="140" t="s">
        <v>10</v>
      </c>
      <c r="B302" s="44" t="s">
        <v>2162</v>
      </c>
      <c r="C302" s="600"/>
      <c r="D302" s="45">
        <v>45183</v>
      </c>
      <c r="E302" s="44" t="s">
        <v>2449</v>
      </c>
      <c r="F302" s="44" t="s">
        <v>2450</v>
      </c>
      <c r="G302" s="44" t="s">
        <v>2451</v>
      </c>
      <c r="H302" s="44" t="s">
        <v>2452</v>
      </c>
      <c r="I302" s="44">
        <v>6</v>
      </c>
      <c r="J302" s="145" t="s">
        <v>34</v>
      </c>
    </row>
    <row r="303" spans="1:20" ht="15.8" customHeight="1" x14ac:dyDescent="0.2">
      <c r="A303" s="140" t="s">
        <v>10</v>
      </c>
      <c r="B303" s="44" t="s">
        <v>2161</v>
      </c>
      <c r="C303" s="600"/>
      <c r="D303" s="45">
        <v>45183</v>
      </c>
      <c r="E303" s="44" t="s">
        <v>2453</v>
      </c>
      <c r="F303" s="44" t="s">
        <v>733</v>
      </c>
      <c r="G303" s="44" t="s">
        <v>733</v>
      </c>
      <c r="H303" s="44" t="s">
        <v>2454</v>
      </c>
      <c r="I303" s="44">
        <v>6</v>
      </c>
      <c r="J303" s="145" t="s">
        <v>99</v>
      </c>
    </row>
    <row r="304" spans="1:20" ht="15.8" customHeight="1" x14ac:dyDescent="0.2">
      <c r="A304" s="140" t="s">
        <v>51</v>
      </c>
      <c r="B304" s="44" t="s">
        <v>52</v>
      </c>
      <c r="C304" s="600"/>
      <c r="D304" s="45">
        <v>45187</v>
      </c>
      <c r="E304" s="44" t="s">
        <v>72</v>
      </c>
      <c r="F304" s="44" t="s">
        <v>2455</v>
      </c>
      <c r="G304" s="44" t="s">
        <v>2456</v>
      </c>
      <c r="H304" s="44" t="s">
        <v>2457</v>
      </c>
      <c r="I304" s="44">
        <v>6</v>
      </c>
      <c r="J304" s="145" t="s">
        <v>1079</v>
      </c>
    </row>
    <row r="305" spans="1:10" ht="15.8" customHeight="1" x14ac:dyDescent="0.2">
      <c r="A305" s="140" t="s">
        <v>10</v>
      </c>
      <c r="B305" s="44" t="s">
        <v>29</v>
      </c>
      <c r="C305" s="600"/>
      <c r="D305" s="45">
        <v>45187</v>
      </c>
      <c r="E305" s="44" t="s">
        <v>2458</v>
      </c>
      <c r="F305" s="44" t="s">
        <v>2459</v>
      </c>
      <c r="G305" s="44" t="s">
        <v>1031</v>
      </c>
      <c r="H305" s="44" t="s">
        <v>2460</v>
      </c>
      <c r="I305" s="44">
        <v>3</v>
      </c>
      <c r="J305" s="145" t="s">
        <v>50</v>
      </c>
    </row>
    <row r="306" spans="1:10" ht="15.8" customHeight="1" x14ac:dyDescent="0.2">
      <c r="A306" s="140" t="s">
        <v>10</v>
      </c>
      <c r="B306" s="44" t="s">
        <v>29</v>
      </c>
      <c r="C306" s="600"/>
      <c r="D306" s="45">
        <v>45188</v>
      </c>
      <c r="E306" s="44" t="s">
        <v>164</v>
      </c>
      <c r="F306" s="44" t="s">
        <v>2461</v>
      </c>
      <c r="G306" s="44" t="s">
        <v>2462</v>
      </c>
      <c r="H306" s="44" t="s">
        <v>2463</v>
      </c>
      <c r="I306" s="44">
        <v>3</v>
      </c>
      <c r="J306" s="145" t="s">
        <v>192</v>
      </c>
    </row>
    <row r="307" spans="1:10" ht="15.8" customHeight="1" x14ac:dyDescent="0.2">
      <c r="A307" s="140" t="s">
        <v>51</v>
      </c>
      <c r="B307" s="44" t="s">
        <v>52</v>
      </c>
      <c r="C307" s="600"/>
      <c r="D307" s="45">
        <v>45189</v>
      </c>
      <c r="E307" s="44" t="s">
        <v>2464</v>
      </c>
      <c r="F307" s="44" t="s">
        <v>2465</v>
      </c>
      <c r="G307" s="44" t="s">
        <v>1659</v>
      </c>
      <c r="H307" s="44" t="s">
        <v>2466</v>
      </c>
      <c r="I307" s="44">
        <v>3</v>
      </c>
      <c r="J307" s="145" t="s">
        <v>192</v>
      </c>
    </row>
    <row r="308" spans="1:10" ht="15.8" customHeight="1" x14ac:dyDescent="0.2">
      <c r="A308" s="140" t="s">
        <v>17</v>
      </c>
      <c r="B308" s="44" t="s">
        <v>24</v>
      </c>
      <c r="C308" s="600"/>
      <c r="D308" s="44" t="s">
        <v>2467</v>
      </c>
      <c r="E308" s="44" t="s">
        <v>2468</v>
      </c>
      <c r="F308" s="44" t="s">
        <v>2469</v>
      </c>
      <c r="G308" s="44" t="s">
        <v>355</v>
      </c>
      <c r="H308" s="44" t="s">
        <v>2470</v>
      </c>
      <c r="I308" s="44">
        <v>1</v>
      </c>
      <c r="J308" s="145" t="s">
        <v>23</v>
      </c>
    </row>
    <row r="309" spans="1:10" ht="15.8" customHeight="1" x14ac:dyDescent="0.2">
      <c r="A309" s="140" t="s">
        <v>17</v>
      </c>
      <c r="B309" s="44" t="s">
        <v>24</v>
      </c>
      <c r="C309" s="600"/>
      <c r="D309" s="45">
        <v>45189</v>
      </c>
      <c r="E309" s="44" t="s">
        <v>2468</v>
      </c>
      <c r="F309" s="44" t="s">
        <v>2471</v>
      </c>
      <c r="G309" s="44" t="s">
        <v>95</v>
      </c>
      <c r="H309" s="44" t="s">
        <v>2470</v>
      </c>
      <c r="I309" s="44">
        <v>1</v>
      </c>
      <c r="J309" s="145" t="s">
        <v>23</v>
      </c>
    </row>
    <row r="310" spans="1:10" ht="15.8" customHeight="1" x14ac:dyDescent="0.2">
      <c r="A310" s="140" t="s">
        <v>10</v>
      </c>
      <c r="B310" s="44" t="s">
        <v>29</v>
      </c>
      <c r="C310" s="600"/>
      <c r="D310" s="45">
        <v>45189</v>
      </c>
      <c r="E310" s="44" t="s">
        <v>57</v>
      </c>
      <c r="F310" s="44" t="s">
        <v>2459</v>
      </c>
      <c r="G310" s="44" t="s">
        <v>1031</v>
      </c>
      <c r="H310" s="44" t="s">
        <v>1245</v>
      </c>
      <c r="I310" s="44">
        <v>2</v>
      </c>
      <c r="J310" s="145" t="s">
        <v>50</v>
      </c>
    </row>
    <row r="311" spans="1:10" ht="15.8" customHeight="1" x14ac:dyDescent="0.2">
      <c r="A311" s="140" t="s">
        <v>51</v>
      </c>
      <c r="B311" s="44" t="s">
        <v>52</v>
      </c>
      <c r="C311" s="600"/>
      <c r="D311" s="45">
        <v>45191</v>
      </c>
      <c r="E311" s="44" t="s">
        <v>37</v>
      </c>
      <c r="F311" s="44" t="s">
        <v>2472</v>
      </c>
      <c r="G311" s="44" t="s">
        <v>2472</v>
      </c>
      <c r="H311" s="44" t="s">
        <v>2473</v>
      </c>
      <c r="I311" s="44">
        <v>7</v>
      </c>
      <c r="J311" s="145" t="s">
        <v>1075</v>
      </c>
    </row>
    <row r="312" spans="1:10" ht="15.8" customHeight="1" x14ac:dyDescent="0.2">
      <c r="A312" s="140" t="s">
        <v>51</v>
      </c>
      <c r="B312" s="44" t="s">
        <v>52</v>
      </c>
      <c r="C312" s="600"/>
      <c r="D312" s="45">
        <v>45191</v>
      </c>
      <c r="E312" s="44" t="s">
        <v>2327</v>
      </c>
      <c r="F312" s="44" t="s">
        <v>2474</v>
      </c>
      <c r="G312" s="44" t="s">
        <v>2475</v>
      </c>
      <c r="H312" s="44" t="s">
        <v>2476</v>
      </c>
      <c r="I312" s="44">
        <v>5</v>
      </c>
      <c r="J312" s="145" t="s">
        <v>16</v>
      </c>
    </row>
    <row r="313" spans="1:10" ht="15.8" customHeight="1" x14ac:dyDescent="0.2">
      <c r="A313" s="140" t="s">
        <v>10</v>
      </c>
      <c r="B313" s="44" t="s">
        <v>888</v>
      </c>
      <c r="C313" s="600"/>
      <c r="D313" s="45">
        <v>45191</v>
      </c>
      <c r="E313" s="44" t="s">
        <v>2477</v>
      </c>
      <c r="F313" s="44" t="s">
        <v>2478</v>
      </c>
      <c r="G313" s="44" t="s">
        <v>355</v>
      </c>
      <c r="H313" s="44" t="s">
        <v>2479</v>
      </c>
      <c r="I313" s="44">
        <v>3</v>
      </c>
      <c r="J313" s="145" t="s">
        <v>192</v>
      </c>
    </row>
    <row r="314" spans="1:10" ht="15.8" customHeight="1" x14ac:dyDescent="0.2">
      <c r="A314" s="140" t="s">
        <v>35</v>
      </c>
      <c r="B314" s="44" t="s">
        <v>2401</v>
      </c>
      <c r="C314" s="600"/>
      <c r="D314" s="45">
        <v>45192</v>
      </c>
      <c r="E314" s="44" t="s">
        <v>1700</v>
      </c>
      <c r="F314" s="44" t="s">
        <v>274</v>
      </c>
      <c r="G314" s="44" t="s">
        <v>2480</v>
      </c>
      <c r="H314" s="44" t="s">
        <v>2481</v>
      </c>
      <c r="I314" s="44">
        <v>4</v>
      </c>
      <c r="J314" s="145" t="s">
        <v>16</v>
      </c>
    </row>
    <row r="315" spans="1:10" ht="15.8" customHeight="1" x14ac:dyDescent="0.2">
      <c r="A315" s="140" t="s">
        <v>10</v>
      </c>
      <c r="B315" s="44" t="s">
        <v>29</v>
      </c>
      <c r="C315" s="600"/>
      <c r="D315" s="45">
        <v>45193</v>
      </c>
      <c r="E315" s="44" t="s">
        <v>57</v>
      </c>
      <c r="F315" s="44" t="s">
        <v>2482</v>
      </c>
      <c r="G315" s="44" t="s">
        <v>110</v>
      </c>
      <c r="H315" s="44" t="s">
        <v>2483</v>
      </c>
      <c r="I315" s="44">
        <v>3</v>
      </c>
      <c r="J315" s="145" t="s">
        <v>50</v>
      </c>
    </row>
    <row r="316" spans="1:10" ht="15.8" customHeight="1" x14ac:dyDescent="0.2">
      <c r="A316" s="140" t="s">
        <v>10</v>
      </c>
      <c r="B316" s="44" t="s">
        <v>163</v>
      </c>
      <c r="C316" s="600"/>
      <c r="D316" s="45">
        <v>45194</v>
      </c>
      <c r="E316" s="44" t="s">
        <v>72</v>
      </c>
      <c r="F316" s="44" t="s">
        <v>165</v>
      </c>
      <c r="G316" s="44"/>
      <c r="H316" s="44" t="s">
        <v>444</v>
      </c>
      <c r="I316" s="44">
        <v>34</v>
      </c>
      <c r="J316" s="145" t="s">
        <v>167</v>
      </c>
    </row>
    <row r="317" spans="1:10" ht="15.8" customHeight="1" x14ac:dyDescent="0.2">
      <c r="A317" s="140" t="s">
        <v>387</v>
      </c>
      <c r="B317" s="44" t="s">
        <v>152</v>
      </c>
      <c r="C317" s="600"/>
      <c r="D317" s="45">
        <v>45194</v>
      </c>
      <c r="E317" s="44" t="s">
        <v>91</v>
      </c>
      <c r="F317" s="44" t="s">
        <v>62</v>
      </c>
      <c r="G317" s="44"/>
      <c r="H317" s="44" t="s">
        <v>2484</v>
      </c>
      <c r="I317" s="44">
        <v>5</v>
      </c>
      <c r="J317" s="145" t="s">
        <v>50</v>
      </c>
    </row>
    <row r="318" spans="1:10" ht="15.8" customHeight="1" x14ac:dyDescent="0.2">
      <c r="A318" s="140" t="s">
        <v>51</v>
      </c>
      <c r="B318" s="44" t="s">
        <v>52</v>
      </c>
      <c r="C318" s="600"/>
      <c r="D318" s="45">
        <v>45194</v>
      </c>
      <c r="E318" s="44" t="s">
        <v>2485</v>
      </c>
      <c r="F318" s="44" t="s">
        <v>2486</v>
      </c>
      <c r="G318" s="44" t="s">
        <v>2487</v>
      </c>
      <c r="H318" s="44" t="s">
        <v>2488</v>
      </c>
      <c r="I318" s="44">
        <v>9</v>
      </c>
      <c r="J318" s="145" t="s">
        <v>99</v>
      </c>
    </row>
    <row r="319" spans="1:10" ht="15.8" customHeight="1" x14ac:dyDescent="0.2">
      <c r="A319" s="140" t="s">
        <v>10</v>
      </c>
      <c r="B319" s="44" t="s">
        <v>163</v>
      </c>
      <c r="C319" s="600"/>
      <c r="D319" s="45">
        <v>45195</v>
      </c>
      <c r="E319" s="44" t="s">
        <v>2489</v>
      </c>
      <c r="F319" s="44" t="s">
        <v>443</v>
      </c>
      <c r="G319" s="44"/>
      <c r="H319" s="44" t="s">
        <v>444</v>
      </c>
      <c r="I319" s="44">
        <v>31</v>
      </c>
      <c r="J319" s="145" t="s">
        <v>167</v>
      </c>
    </row>
    <row r="320" spans="1:10" ht="15.8" customHeight="1" x14ac:dyDescent="0.2">
      <c r="A320" s="140" t="s">
        <v>17</v>
      </c>
      <c r="B320" s="44" t="s">
        <v>24</v>
      </c>
      <c r="C320" s="600"/>
      <c r="D320" s="45">
        <v>45195</v>
      </c>
      <c r="E320" s="44" t="s">
        <v>91</v>
      </c>
      <c r="F320" s="44" t="s">
        <v>2490</v>
      </c>
      <c r="G320" s="44"/>
      <c r="H320" s="44" t="s">
        <v>28</v>
      </c>
      <c r="I320" s="44">
        <v>1</v>
      </c>
      <c r="J320" s="145" t="s">
        <v>23</v>
      </c>
    </row>
    <row r="321" spans="1:20" ht="15.8" customHeight="1" x14ac:dyDescent="0.2">
      <c r="A321" s="140" t="s">
        <v>17</v>
      </c>
      <c r="B321" s="44" t="s">
        <v>24</v>
      </c>
      <c r="C321" s="600"/>
      <c r="D321" s="45">
        <v>45195</v>
      </c>
      <c r="E321" s="44" t="s">
        <v>91</v>
      </c>
      <c r="F321" s="44" t="s">
        <v>2491</v>
      </c>
      <c r="G321" s="44"/>
      <c r="H321" s="44" t="s">
        <v>28</v>
      </c>
      <c r="I321" s="44">
        <v>1</v>
      </c>
      <c r="J321" s="145" t="s">
        <v>23</v>
      </c>
    </row>
    <row r="322" spans="1:20" ht="15.8" customHeight="1" x14ac:dyDescent="0.2">
      <c r="A322" s="140" t="s">
        <v>10</v>
      </c>
      <c r="B322" s="44" t="s">
        <v>324</v>
      </c>
      <c r="C322" s="600"/>
      <c r="D322" s="45">
        <v>45197</v>
      </c>
      <c r="E322" s="44" t="s">
        <v>1742</v>
      </c>
      <c r="F322" s="44" t="s">
        <v>2492</v>
      </c>
      <c r="G322" s="44" t="s">
        <v>76</v>
      </c>
      <c r="H322" s="44" t="s">
        <v>2493</v>
      </c>
      <c r="I322" s="44">
        <v>1</v>
      </c>
      <c r="J322" s="145" t="s">
        <v>10</v>
      </c>
    </row>
    <row r="323" spans="1:20" ht="15.8" customHeight="1" x14ac:dyDescent="0.2">
      <c r="A323" s="140" t="s">
        <v>10</v>
      </c>
      <c r="B323" s="44" t="s">
        <v>324</v>
      </c>
      <c r="C323" s="600"/>
      <c r="D323" s="45">
        <v>45197</v>
      </c>
      <c r="E323" s="44" t="s">
        <v>2494</v>
      </c>
      <c r="F323" s="44" t="s">
        <v>2495</v>
      </c>
      <c r="G323" s="44" t="s">
        <v>21</v>
      </c>
      <c r="H323" s="44" t="s">
        <v>2496</v>
      </c>
      <c r="I323" s="44">
        <v>4</v>
      </c>
      <c r="J323" s="145" t="s">
        <v>16</v>
      </c>
    </row>
    <row r="324" spans="1:20" ht="15.8" customHeight="1" x14ac:dyDescent="0.2">
      <c r="A324" s="140" t="s">
        <v>10</v>
      </c>
      <c r="B324" s="44" t="s">
        <v>244</v>
      </c>
      <c r="C324" s="600"/>
      <c r="D324" s="45">
        <v>45197</v>
      </c>
      <c r="E324" s="44" t="s">
        <v>176</v>
      </c>
      <c r="F324" s="44" t="s">
        <v>2497</v>
      </c>
      <c r="G324" s="44" t="s">
        <v>139</v>
      </c>
      <c r="H324" s="44" t="s">
        <v>2498</v>
      </c>
      <c r="I324" s="44">
        <v>4</v>
      </c>
      <c r="J324" s="145" t="s">
        <v>16</v>
      </c>
    </row>
    <row r="325" spans="1:20" ht="15.8" customHeight="1" x14ac:dyDescent="0.2">
      <c r="A325" s="140" t="s">
        <v>17</v>
      </c>
      <c r="B325" s="44" t="s">
        <v>24</v>
      </c>
      <c r="C325" s="600"/>
      <c r="D325" s="45">
        <v>45198</v>
      </c>
      <c r="E325" s="44" t="s">
        <v>2499</v>
      </c>
      <c r="F325" s="44" t="s">
        <v>2500</v>
      </c>
      <c r="G325" s="44" t="s">
        <v>95</v>
      </c>
      <c r="H325" s="44" t="s">
        <v>2501</v>
      </c>
      <c r="I325" s="44">
        <v>1</v>
      </c>
      <c r="J325" s="145" t="s">
        <v>23</v>
      </c>
    </row>
    <row r="326" spans="1:20" ht="15.8" customHeight="1" x14ac:dyDescent="0.2">
      <c r="A326" s="140" t="s">
        <v>17</v>
      </c>
      <c r="B326" s="44" t="s">
        <v>24</v>
      </c>
      <c r="C326" s="600"/>
      <c r="D326" s="45">
        <v>45198</v>
      </c>
      <c r="E326" s="44" t="s">
        <v>2502</v>
      </c>
      <c r="F326" s="44" t="s">
        <v>787</v>
      </c>
      <c r="G326" s="44" t="s">
        <v>21</v>
      </c>
      <c r="H326" s="44" t="s">
        <v>2503</v>
      </c>
      <c r="I326" s="44">
        <v>1</v>
      </c>
      <c r="J326" s="145" t="s">
        <v>23</v>
      </c>
    </row>
    <row r="327" spans="1:20" ht="15.8" customHeight="1" x14ac:dyDescent="0.2">
      <c r="A327" s="140" t="s">
        <v>51</v>
      </c>
      <c r="B327" s="44" t="s">
        <v>52</v>
      </c>
      <c r="C327" s="600"/>
      <c r="D327" s="45">
        <v>45199</v>
      </c>
      <c r="E327" s="44" t="s">
        <v>164</v>
      </c>
      <c r="F327" s="44" t="s">
        <v>62</v>
      </c>
      <c r="G327" s="44"/>
      <c r="H327" s="44" t="s">
        <v>52</v>
      </c>
      <c r="I327" s="44">
        <v>7</v>
      </c>
      <c r="J327" s="145" t="s">
        <v>60</v>
      </c>
    </row>
    <row r="328" spans="1:20" ht="15.8" customHeight="1" x14ac:dyDescent="0.2">
      <c r="A328" s="140" t="s">
        <v>51</v>
      </c>
      <c r="B328" s="44" t="s">
        <v>52</v>
      </c>
      <c r="C328" s="603"/>
      <c r="D328" s="45">
        <v>45199</v>
      </c>
      <c r="E328" s="44" t="s">
        <v>57</v>
      </c>
      <c r="F328" s="44" t="s">
        <v>139</v>
      </c>
      <c r="G328" s="44" t="s">
        <v>139</v>
      </c>
      <c r="H328" s="44" t="s">
        <v>52</v>
      </c>
      <c r="I328" s="44">
        <v>3</v>
      </c>
      <c r="J328" s="145" t="s">
        <v>424</v>
      </c>
    </row>
    <row r="329" spans="1:20" s="106" customFormat="1" ht="15.8" customHeight="1" x14ac:dyDescent="0.25">
      <c r="A329" s="146" t="s">
        <v>2149</v>
      </c>
      <c r="B329" s="103"/>
      <c r="C329" s="35"/>
      <c r="D329" s="104"/>
      <c r="E329" s="103"/>
      <c r="F329" s="103"/>
      <c r="G329" s="103"/>
      <c r="H329" s="103"/>
      <c r="I329" s="103"/>
      <c r="J329" s="147"/>
      <c r="K329" s="105"/>
      <c r="L329" s="105"/>
      <c r="M329" s="105"/>
      <c r="N329" s="105"/>
      <c r="O329" s="105"/>
      <c r="P329" s="105"/>
      <c r="Q329" s="105"/>
      <c r="R329" s="105"/>
      <c r="S329" s="105"/>
      <c r="T329" s="105"/>
    </row>
    <row r="330" spans="1:20" ht="15.8" customHeight="1" x14ac:dyDescent="0.2">
      <c r="A330" s="140" t="s">
        <v>10</v>
      </c>
      <c r="B330" s="44" t="s">
        <v>29</v>
      </c>
      <c r="C330" s="593">
        <f>COUNTIF(B330:B349,$C$2)</f>
        <v>1</v>
      </c>
      <c r="D330" s="45">
        <v>45202</v>
      </c>
      <c r="E330" s="44" t="s">
        <v>305</v>
      </c>
      <c r="F330" s="44" t="s">
        <v>2504</v>
      </c>
      <c r="G330" s="44" t="s">
        <v>2505</v>
      </c>
      <c r="H330" s="44" t="s">
        <v>2506</v>
      </c>
      <c r="I330" s="44">
        <v>6</v>
      </c>
      <c r="J330" s="145" t="s">
        <v>56</v>
      </c>
    </row>
    <row r="331" spans="1:20" ht="15.8" customHeight="1" x14ac:dyDescent="0.2">
      <c r="A331" s="140" t="s">
        <v>10</v>
      </c>
      <c r="B331" s="44" t="s">
        <v>163</v>
      </c>
      <c r="C331" s="594"/>
      <c r="D331" s="45">
        <v>45202</v>
      </c>
      <c r="E331" s="44" t="s">
        <v>884</v>
      </c>
      <c r="F331" s="44" t="s">
        <v>2507</v>
      </c>
      <c r="G331" s="44" t="s">
        <v>76</v>
      </c>
      <c r="H331" s="44" t="s">
        <v>2508</v>
      </c>
      <c r="I331" s="44">
        <v>42</v>
      </c>
      <c r="J331" s="145" t="s">
        <v>167</v>
      </c>
    </row>
    <row r="332" spans="1:20" ht="15.8" customHeight="1" x14ac:dyDescent="0.2">
      <c r="A332" s="140" t="s">
        <v>10</v>
      </c>
      <c r="B332" s="44" t="s">
        <v>29</v>
      </c>
      <c r="C332" s="594"/>
      <c r="D332" s="45">
        <v>45203</v>
      </c>
      <c r="E332" s="44" t="s">
        <v>112</v>
      </c>
      <c r="F332" s="44" t="s">
        <v>2509</v>
      </c>
      <c r="G332" s="44" t="s">
        <v>85</v>
      </c>
      <c r="H332" s="44" t="s">
        <v>2510</v>
      </c>
      <c r="I332" s="44">
        <v>2</v>
      </c>
      <c r="J332" s="145" t="s">
        <v>50</v>
      </c>
    </row>
    <row r="333" spans="1:20" ht="15.8" customHeight="1" x14ac:dyDescent="0.2">
      <c r="A333" s="140" t="s">
        <v>35</v>
      </c>
      <c r="B333" s="44" t="s">
        <v>137</v>
      </c>
      <c r="C333" s="594"/>
      <c r="D333" s="45">
        <v>45206</v>
      </c>
      <c r="E333" s="44" t="s">
        <v>1476</v>
      </c>
      <c r="F333" s="44" t="s">
        <v>2511</v>
      </c>
      <c r="G333" s="44" t="s">
        <v>21</v>
      </c>
      <c r="H333" s="44" t="s">
        <v>2512</v>
      </c>
      <c r="I333" s="44">
        <v>3</v>
      </c>
      <c r="J333" s="145" t="s">
        <v>192</v>
      </c>
    </row>
    <row r="334" spans="1:20" ht="15.8" customHeight="1" x14ac:dyDescent="0.2">
      <c r="A334" s="140" t="s">
        <v>17</v>
      </c>
      <c r="B334" s="44" t="s">
        <v>24</v>
      </c>
      <c r="C334" s="594"/>
      <c r="D334" s="45">
        <v>45208</v>
      </c>
      <c r="E334" s="44" t="s">
        <v>351</v>
      </c>
      <c r="F334" s="44" t="s">
        <v>2513</v>
      </c>
      <c r="G334" s="44" t="s">
        <v>2514</v>
      </c>
      <c r="H334" s="44" t="s">
        <v>2515</v>
      </c>
      <c r="I334" s="44">
        <v>1</v>
      </c>
      <c r="J334" s="145" t="s">
        <v>23</v>
      </c>
    </row>
    <row r="335" spans="1:20" ht="15.8" customHeight="1" x14ac:dyDescent="0.2">
      <c r="A335" s="140" t="s">
        <v>17</v>
      </c>
      <c r="B335" s="44" t="s">
        <v>24</v>
      </c>
      <c r="C335" s="594"/>
      <c r="D335" s="45">
        <v>45208</v>
      </c>
      <c r="E335" s="44" t="s">
        <v>351</v>
      </c>
      <c r="F335" s="44" t="s">
        <v>2516</v>
      </c>
      <c r="G335" s="44" t="s">
        <v>2517</v>
      </c>
      <c r="H335" s="44" t="s">
        <v>2518</v>
      </c>
      <c r="I335" s="44">
        <v>1</v>
      </c>
      <c r="J335" s="145" t="s">
        <v>23</v>
      </c>
    </row>
    <row r="336" spans="1:20" ht="15.8" customHeight="1" x14ac:dyDescent="0.2">
      <c r="A336" s="140" t="s">
        <v>10</v>
      </c>
      <c r="B336" s="44" t="s">
        <v>163</v>
      </c>
      <c r="C336" s="594"/>
      <c r="D336" s="45">
        <v>45216</v>
      </c>
      <c r="E336" s="44" t="s">
        <v>164</v>
      </c>
      <c r="F336" s="44" t="s">
        <v>2519</v>
      </c>
      <c r="G336" s="44" t="s">
        <v>76</v>
      </c>
      <c r="H336" s="44" t="s">
        <v>444</v>
      </c>
      <c r="I336" s="44">
        <v>32</v>
      </c>
      <c r="J336" s="145" t="s">
        <v>167</v>
      </c>
    </row>
    <row r="337" spans="1:20" ht="15.8" customHeight="1" x14ac:dyDescent="0.2">
      <c r="A337" s="140" t="s">
        <v>10</v>
      </c>
      <c r="B337" s="44" t="s">
        <v>137</v>
      </c>
      <c r="C337" s="594"/>
      <c r="D337" s="45">
        <v>45218</v>
      </c>
      <c r="E337" s="44" t="s">
        <v>164</v>
      </c>
      <c r="F337" s="44" t="s">
        <v>747</v>
      </c>
      <c r="G337" s="44"/>
      <c r="H337" s="44" t="s">
        <v>2520</v>
      </c>
      <c r="I337" s="44">
        <v>4</v>
      </c>
      <c r="J337" s="145" t="s">
        <v>78</v>
      </c>
    </row>
    <row r="338" spans="1:20" ht="15.8" customHeight="1" x14ac:dyDescent="0.2">
      <c r="A338" s="140" t="s">
        <v>10</v>
      </c>
      <c r="B338" s="44" t="s">
        <v>137</v>
      </c>
      <c r="C338" s="594"/>
      <c r="D338" s="45">
        <v>45218</v>
      </c>
      <c r="E338" s="44" t="s">
        <v>72</v>
      </c>
      <c r="F338" s="44" t="s">
        <v>747</v>
      </c>
      <c r="G338" s="44"/>
      <c r="H338" s="44" t="s">
        <v>2521</v>
      </c>
      <c r="I338" s="44">
        <v>4</v>
      </c>
      <c r="J338" s="145" t="s">
        <v>78</v>
      </c>
    </row>
    <row r="339" spans="1:20" ht="15.8" customHeight="1" x14ac:dyDescent="0.2">
      <c r="A339" s="140" t="s">
        <v>17</v>
      </c>
      <c r="B339" s="44" t="s">
        <v>24</v>
      </c>
      <c r="C339" s="594"/>
      <c r="D339" s="45">
        <v>45218</v>
      </c>
      <c r="E339" s="44" t="s">
        <v>72</v>
      </c>
      <c r="F339" s="44" t="s">
        <v>2522</v>
      </c>
      <c r="G339" s="44"/>
      <c r="H339" s="44" t="s">
        <v>28</v>
      </c>
      <c r="I339" s="44">
        <v>1</v>
      </c>
      <c r="J339" s="145" t="s">
        <v>23</v>
      </c>
    </row>
    <row r="340" spans="1:20" ht="15.8" customHeight="1" x14ac:dyDescent="0.2">
      <c r="A340" s="140" t="s">
        <v>17</v>
      </c>
      <c r="B340" s="44" t="s">
        <v>24</v>
      </c>
      <c r="C340" s="594"/>
      <c r="D340" s="45">
        <v>45219</v>
      </c>
      <c r="E340" s="44" t="s">
        <v>57</v>
      </c>
      <c r="F340" s="44" t="s">
        <v>2523</v>
      </c>
      <c r="G340" s="44"/>
      <c r="H340" s="44" t="s">
        <v>2524</v>
      </c>
      <c r="I340" s="44">
        <v>1</v>
      </c>
      <c r="J340" s="145" t="s">
        <v>10</v>
      </c>
    </row>
    <row r="341" spans="1:20" ht="15.8" customHeight="1" x14ac:dyDescent="0.2">
      <c r="A341" s="140" t="s">
        <v>17</v>
      </c>
      <c r="B341" s="44" t="s">
        <v>24</v>
      </c>
      <c r="C341" s="594"/>
      <c r="D341" s="45">
        <v>45219</v>
      </c>
      <c r="E341" s="44" t="s">
        <v>57</v>
      </c>
      <c r="F341" s="44" t="s">
        <v>2525</v>
      </c>
      <c r="G341" s="44"/>
      <c r="H341" s="44" t="s">
        <v>2526</v>
      </c>
      <c r="I341" s="44">
        <v>1</v>
      </c>
      <c r="J341" s="145" t="s">
        <v>10</v>
      </c>
    </row>
    <row r="342" spans="1:20" ht="15.8" customHeight="1" x14ac:dyDescent="0.2">
      <c r="A342" s="140" t="s">
        <v>10</v>
      </c>
      <c r="B342" s="44" t="s">
        <v>2161</v>
      </c>
      <c r="C342" s="594"/>
      <c r="D342" s="45">
        <v>45224</v>
      </c>
      <c r="E342" s="44" t="s">
        <v>2527</v>
      </c>
      <c r="F342" s="44" t="s">
        <v>2528</v>
      </c>
      <c r="G342" s="44" t="s">
        <v>816</v>
      </c>
      <c r="H342" s="44" t="s">
        <v>2529</v>
      </c>
      <c r="I342" s="44">
        <v>2</v>
      </c>
      <c r="J342" s="145" t="s">
        <v>192</v>
      </c>
    </row>
    <row r="343" spans="1:20" ht="15.8" customHeight="1" x14ac:dyDescent="0.2">
      <c r="A343" s="140" t="s">
        <v>17</v>
      </c>
      <c r="B343" s="44" t="s">
        <v>24</v>
      </c>
      <c r="C343" s="594"/>
      <c r="D343" s="45">
        <v>45226</v>
      </c>
      <c r="E343" s="44" t="s">
        <v>94</v>
      </c>
      <c r="F343" s="44" t="s">
        <v>2530</v>
      </c>
      <c r="G343" s="44"/>
      <c r="H343" s="44" t="s">
        <v>28</v>
      </c>
      <c r="I343" s="44">
        <v>1</v>
      </c>
      <c r="J343" s="145" t="s">
        <v>23</v>
      </c>
    </row>
    <row r="344" spans="1:20" ht="15.8" customHeight="1" x14ac:dyDescent="0.2">
      <c r="A344" s="140" t="s">
        <v>35</v>
      </c>
      <c r="B344" s="44" t="s">
        <v>137</v>
      </c>
      <c r="C344" s="594"/>
      <c r="D344" s="45">
        <v>45226</v>
      </c>
      <c r="E344" s="44" t="s">
        <v>1010</v>
      </c>
      <c r="F344" s="44" t="s">
        <v>2539</v>
      </c>
      <c r="G344" s="44" t="s">
        <v>95</v>
      </c>
      <c r="H344" s="44" t="s">
        <v>2540</v>
      </c>
      <c r="I344" s="44">
        <v>3</v>
      </c>
      <c r="J344" s="145" t="s">
        <v>167</v>
      </c>
    </row>
    <row r="345" spans="1:20" ht="15.8" customHeight="1" x14ac:dyDescent="0.2">
      <c r="A345" s="140" t="s">
        <v>10</v>
      </c>
      <c r="B345" s="44" t="s">
        <v>163</v>
      </c>
      <c r="C345" s="594"/>
      <c r="D345" s="45">
        <v>45223</v>
      </c>
      <c r="E345" s="44" t="s">
        <v>884</v>
      </c>
      <c r="F345" s="44" t="s">
        <v>2541</v>
      </c>
      <c r="G345" s="44" t="s">
        <v>76</v>
      </c>
      <c r="H345" s="44" t="s">
        <v>1053</v>
      </c>
      <c r="I345" s="44">
        <v>42</v>
      </c>
      <c r="J345" s="145" t="s">
        <v>167</v>
      </c>
    </row>
    <row r="346" spans="1:20" ht="15.8" customHeight="1" x14ac:dyDescent="0.2">
      <c r="A346" s="140" t="s">
        <v>10</v>
      </c>
      <c r="B346" s="44" t="s">
        <v>324</v>
      </c>
      <c r="C346" s="594"/>
      <c r="D346" s="45">
        <v>45222</v>
      </c>
      <c r="E346" s="44" t="s">
        <v>2376</v>
      </c>
      <c r="F346" s="44" t="s">
        <v>2531</v>
      </c>
      <c r="G346" s="44" t="s">
        <v>973</v>
      </c>
      <c r="H346" s="44" t="s">
        <v>2532</v>
      </c>
      <c r="I346" s="44">
        <v>3</v>
      </c>
      <c r="J346" s="145" t="s">
        <v>16</v>
      </c>
    </row>
    <row r="347" spans="1:20" ht="15.8" customHeight="1" x14ac:dyDescent="0.2">
      <c r="A347" s="140" t="s">
        <v>10</v>
      </c>
      <c r="B347" s="44" t="s">
        <v>324</v>
      </c>
      <c r="C347" s="594"/>
      <c r="D347" s="45">
        <v>45228</v>
      </c>
      <c r="E347" s="44" t="s">
        <v>417</v>
      </c>
      <c r="F347" s="44" t="s">
        <v>2533</v>
      </c>
      <c r="G347" s="44" t="s">
        <v>21</v>
      </c>
      <c r="H347" s="44" t="s">
        <v>2534</v>
      </c>
      <c r="I347" s="44">
        <v>6</v>
      </c>
      <c r="J347" s="145" t="s">
        <v>16</v>
      </c>
    </row>
    <row r="348" spans="1:20" ht="15.8" customHeight="1" x14ac:dyDescent="0.2">
      <c r="A348" s="140" t="s">
        <v>51</v>
      </c>
      <c r="B348" s="44" t="s">
        <v>244</v>
      </c>
      <c r="C348" s="594"/>
      <c r="D348" s="45">
        <v>45212</v>
      </c>
      <c r="E348" s="44" t="s">
        <v>91</v>
      </c>
      <c r="F348" s="44" t="s">
        <v>2535</v>
      </c>
      <c r="G348" s="44"/>
      <c r="H348" s="44" t="s">
        <v>2536</v>
      </c>
      <c r="I348" s="44">
        <v>4</v>
      </c>
      <c r="J348" s="145" t="s">
        <v>16</v>
      </c>
    </row>
    <row r="349" spans="1:20" ht="15.8" customHeight="1" x14ac:dyDescent="0.2">
      <c r="A349" s="140" t="s">
        <v>51</v>
      </c>
      <c r="B349" s="44" t="s">
        <v>52</v>
      </c>
      <c r="C349" s="604"/>
      <c r="D349" s="45">
        <v>45202</v>
      </c>
      <c r="E349" s="44" t="s">
        <v>91</v>
      </c>
      <c r="F349" s="44" t="s">
        <v>2537</v>
      </c>
      <c r="G349" s="44" t="s">
        <v>139</v>
      </c>
      <c r="H349" s="44" t="s">
        <v>2538</v>
      </c>
      <c r="I349" s="44">
        <v>3</v>
      </c>
      <c r="J349" s="145" t="s">
        <v>192</v>
      </c>
    </row>
    <row r="350" spans="1:20" s="102" customFormat="1" ht="15.8" customHeight="1" x14ac:dyDescent="0.2">
      <c r="A350" s="146" t="s">
        <v>2150</v>
      </c>
      <c r="B350" s="98"/>
      <c r="C350" s="99"/>
      <c r="D350" s="100"/>
      <c r="E350" s="98"/>
      <c r="F350" s="98"/>
      <c r="G350" s="98"/>
      <c r="H350" s="98"/>
      <c r="I350" s="98"/>
      <c r="J350" s="148"/>
      <c r="K350" s="101"/>
      <c r="L350" s="101"/>
      <c r="M350" s="101"/>
      <c r="N350" s="101"/>
      <c r="O350" s="101"/>
      <c r="P350" s="101"/>
      <c r="Q350" s="101"/>
      <c r="R350" s="101"/>
      <c r="S350" s="101"/>
      <c r="T350" s="101"/>
    </row>
    <row r="351" spans="1:20" ht="15.8" customHeight="1" x14ac:dyDescent="0.2">
      <c r="A351" s="140" t="s">
        <v>10</v>
      </c>
      <c r="B351" s="44" t="s">
        <v>2161</v>
      </c>
      <c r="C351" s="593">
        <f>COUNTIF(B351:B381,$C$2)</f>
        <v>3</v>
      </c>
      <c r="D351" s="45">
        <v>45232</v>
      </c>
      <c r="E351" s="44" t="s">
        <v>133</v>
      </c>
      <c r="F351" s="44" t="s">
        <v>927</v>
      </c>
      <c r="G351" s="44" t="s">
        <v>95</v>
      </c>
      <c r="H351" s="44" t="s">
        <v>2608</v>
      </c>
      <c r="I351" s="44">
        <v>2</v>
      </c>
      <c r="J351" s="145" t="s">
        <v>78</v>
      </c>
    </row>
    <row r="352" spans="1:20" ht="15.8" customHeight="1" x14ac:dyDescent="0.2">
      <c r="A352" s="140" t="s">
        <v>10</v>
      </c>
      <c r="B352" s="44" t="s">
        <v>2161</v>
      </c>
      <c r="C352" s="594"/>
      <c r="D352" s="45">
        <v>45232</v>
      </c>
      <c r="E352" s="44" t="s">
        <v>1089</v>
      </c>
      <c r="F352" s="44" t="s">
        <v>2609</v>
      </c>
      <c r="G352" s="44" t="s">
        <v>95</v>
      </c>
      <c r="H352" s="44" t="s">
        <v>2610</v>
      </c>
      <c r="I352" s="44">
        <v>2</v>
      </c>
      <c r="J352" s="145" t="s">
        <v>78</v>
      </c>
    </row>
    <row r="353" spans="1:10" ht="15.8" customHeight="1" x14ac:dyDescent="0.2">
      <c r="A353" s="140" t="s">
        <v>51</v>
      </c>
      <c r="B353" s="44" t="s">
        <v>52</v>
      </c>
      <c r="C353" s="594"/>
      <c r="D353" s="45">
        <v>45232</v>
      </c>
      <c r="E353" s="44" t="s">
        <v>2553</v>
      </c>
      <c r="F353" s="44" t="s">
        <v>2611</v>
      </c>
      <c r="G353" s="44" t="s">
        <v>95</v>
      </c>
      <c r="H353" s="44" t="s">
        <v>2612</v>
      </c>
      <c r="I353" s="44">
        <v>7</v>
      </c>
      <c r="J353" s="145" t="s">
        <v>2607</v>
      </c>
    </row>
    <row r="354" spans="1:10" ht="15.8" customHeight="1" x14ac:dyDescent="0.2">
      <c r="A354" s="140" t="s">
        <v>146</v>
      </c>
      <c r="B354" s="44" t="s">
        <v>2163</v>
      </c>
      <c r="C354" s="594"/>
      <c r="D354" s="45">
        <v>45236</v>
      </c>
      <c r="E354" s="44" t="s">
        <v>57</v>
      </c>
      <c r="F354" s="44" t="s">
        <v>2613</v>
      </c>
      <c r="G354" s="44" t="s">
        <v>85</v>
      </c>
      <c r="H354" s="44" t="s">
        <v>2614</v>
      </c>
      <c r="I354" s="44">
        <v>4</v>
      </c>
      <c r="J354" s="145" t="s">
        <v>16</v>
      </c>
    </row>
    <row r="355" spans="1:10" ht="15.8" customHeight="1" x14ac:dyDescent="0.2">
      <c r="A355" s="140" t="s">
        <v>10</v>
      </c>
      <c r="B355" s="44" t="s">
        <v>163</v>
      </c>
      <c r="C355" s="594"/>
      <c r="D355" s="45">
        <v>45237</v>
      </c>
      <c r="E355" s="44" t="s">
        <v>375</v>
      </c>
      <c r="F355" s="44" t="s">
        <v>2615</v>
      </c>
      <c r="G355" s="44"/>
      <c r="H355" s="44" t="s">
        <v>2616</v>
      </c>
      <c r="I355" s="44">
        <v>25</v>
      </c>
      <c r="J355" s="145" t="s">
        <v>167</v>
      </c>
    </row>
    <row r="356" spans="1:10" ht="15.8" customHeight="1" x14ac:dyDescent="0.2">
      <c r="A356" s="140" t="s">
        <v>159</v>
      </c>
      <c r="B356" s="44" t="s">
        <v>137</v>
      </c>
      <c r="C356" s="594"/>
      <c r="D356" s="45">
        <v>45234</v>
      </c>
      <c r="E356" s="44" t="s">
        <v>829</v>
      </c>
      <c r="F356" s="44" t="s">
        <v>2542</v>
      </c>
      <c r="G356" s="44" t="s">
        <v>95</v>
      </c>
      <c r="H356" s="44" t="s">
        <v>2543</v>
      </c>
      <c r="I356" s="44">
        <v>2</v>
      </c>
      <c r="J356" s="145" t="s">
        <v>50</v>
      </c>
    </row>
    <row r="357" spans="1:10" ht="15.8" customHeight="1" x14ac:dyDescent="0.2">
      <c r="A357" s="140" t="s">
        <v>17</v>
      </c>
      <c r="B357" s="44" t="s">
        <v>24</v>
      </c>
      <c r="C357" s="594"/>
      <c r="D357" s="45">
        <v>45239</v>
      </c>
      <c r="E357" s="44" t="s">
        <v>417</v>
      </c>
      <c r="F357" s="44" t="s">
        <v>2544</v>
      </c>
      <c r="G357" s="44" t="s">
        <v>501</v>
      </c>
      <c r="H357" s="44" t="s">
        <v>1809</v>
      </c>
      <c r="I357" s="44">
        <v>1</v>
      </c>
      <c r="J357" s="145" t="s">
        <v>23</v>
      </c>
    </row>
    <row r="358" spans="1:10" ht="15.8" customHeight="1" x14ac:dyDescent="0.2">
      <c r="A358" s="140" t="s">
        <v>17</v>
      </c>
      <c r="B358" s="44" t="s">
        <v>24</v>
      </c>
      <c r="C358" s="594"/>
      <c r="D358" s="45">
        <v>45239</v>
      </c>
      <c r="E358" s="44" t="s">
        <v>2545</v>
      </c>
      <c r="F358" s="44" t="s">
        <v>2546</v>
      </c>
      <c r="G358" s="44" t="s">
        <v>76</v>
      </c>
      <c r="H358" s="44" t="s">
        <v>2547</v>
      </c>
      <c r="I358" s="44">
        <v>1</v>
      </c>
      <c r="J358" s="145" t="s">
        <v>23</v>
      </c>
    </row>
    <row r="359" spans="1:10" ht="15.8" customHeight="1" x14ac:dyDescent="0.2">
      <c r="A359" s="140" t="s">
        <v>17</v>
      </c>
      <c r="B359" s="44" t="s">
        <v>24</v>
      </c>
      <c r="C359" s="594"/>
      <c r="D359" s="45">
        <v>45239</v>
      </c>
      <c r="E359" s="44" t="s">
        <v>2548</v>
      </c>
      <c r="F359" s="44" t="s">
        <v>2549</v>
      </c>
      <c r="G359" s="44" t="s">
        <v>85</v>
      </c>
      <c r="H359" s="44" t="s">
        <v>2550</v>
      </c>
      <c r="I359" s="44">
        <v>1</v>
      </c>
      <c r="J359" s="145" t="s">
        <v>23</v>
      </c>
    </row>
    <row r="360" spans="1:10" ht="15.8" customHeight="1" x14ac:dyDescent="0.2">
      <c r="A360" s="140" t="s">
        <v>17</v>
      </c>
      <c r="B360" s="44" t="s">
        <v>24</v>
      </c>
      <c r="C360" s="594"/>
      <c r="D360" s="45">
        <v>45240</v>
      </c>
      <c r="E360" s="44" t="s">
        <v>2551</v>
      </c>
      <c r="F360" s="44" t="s">
        <v>2552</v>
      </c>
      <c r="G360" s="44" t="s">
        <v>355</v>
      </c>
      <c r="H360" s="44" t="s">
        <v>2262</v>
      </c>
      <c r="I360" s="44">
        <v>1</v>
      </c>
      <c r="J360" s="145" t="s">
        <v>23</v>
      </c>
    </row>
    <row r="361" spans="1:10" ht="15.8" customHeight="1" x14ac:dyDescent="0.2">
      <c r="A361" s="140" t="s">
        <v>51</v>
      </c>
      <c r="B361" s="44" t="s">
        <v>481</v>
      </c>
      <c r="C361" s="594"/>
      <c r="D361" s="45">
        <v>45240</v>
      </c>
      <c r="E361" s="44" t="s">
        <v>2553</v>
      </c>
      <c r="F361" s="44" t="s">
        <v>2554</v>
      </c>
      <c r="G361" s="44" t="s">
        <v>95</v>
      </c>
      <c r="H361" s="44" t="s">
        <v>2555</v>
      </c>
      <c r="I361" s="44">
        <v>10</v>
      </c>
      <c r="J361" s="145" t="s">
        <v>102</v>
      </c>
    </row>
    <row r="362" spans="1:10" ht="15.8" customHeight="1" x14ac:dyDescent="0.2">
      <c r="A362" s="140" t="s">
        <v>10</v>
      </c>
      <c r="B362" s="44" t="s">
        <v>29</v>
      </c>
      <c r="C362" s="594"/>
      <c r="D362" s="45">
        <v>45240</v>
      </c>
      <c r="E362" s="44" t="s">
        <v>57</v>
      </c>
      <c r="F362" s="44" t="s">
        <v>2556</v>
      </c>
      <c r="G362" s="44"/>
      <c r="H362" s="44" t="s">
        <v>2557</v>
      </c>
      <c r="I362" s="44">
        <v>2</v>
      </c>
      <c r="J362" s="145" t="s">
        <v>50</v>
      </c>
    </row>
    <row r="363" spans="1:10" ht="15.8" customHeight="1" x14ac:dyDescent="0.2">
      <c r="A363" s="140" t="s">
        <v>268</v>
      </c>
      <c r="B363" s="44" t="s">
        <v>29</v>
      </c>
      <c r="C363" s="594"/>
      <c r="D363" s="45">
        <v>45241</v>
      </c>
      <c r="E363" s="44" t="s">
        <v>164</v>
      </c>
      <c r="F363" s="44" t="s">
        <v>313</v>
      </c>
      <c r="G363" s="44"/>
      <c r="H363" s="44" t="s">
        <v>2558</v>
      </c>
      <c r="I363" s="44">
        <v>9</v>
      </c>
      <c r="J363" s="145" t="s">
        <v>2431</v>
      </c>
    </row>
    <row r="364" spans="1:10" ht="15.8" customHeight="1" x14ac:dyDescent="0.2">
      <c r="A364" s="140" t="s">
        <v>51</v>
      </c>
      <c r="B364" s="44" t="s">
        <v>52</v>
      </c>
      <c r="C364" s="594"/>
      <c r="D364" s="45">
        <v>45244</v>
      </c>
      <c r="E364" s="44" t="s">
        <v>37</v>
      </c>
      <c r="F364" s="44" t="s">
        <v>2559</v>
      </c>
      <c r="G364" s="44" t="s">
        <v>135</v>
      </c>
      <c r="H364" s="44" t="s">
        <v>2560</v>
      </c>
      <c r="I364" s="44">
        <v>5</v>
      </c>
      <c r="J364" s="145" t="s">
        <v>16</v>
      </c>
    </row>
    <row r="365" spans="1:10" ht="15.8" customHeight="1" x14ac:dyDescent="0.2">
      <c r="A365" s="140" t="s">
        <v>17</v>
      </c>
      <c r="B365" s="44" t="s">
        <v>24</v>
      </c>
      <c r="C365" s="594"/>
      <c r="D365" s="45">
        <v>45245</v>
      </c>
      <c r="E365" s="44" t="s">
        <v>1449</v>
      </c>
      <c r="F365" s="44" t="s">
        <v>2561</v>
      </c>
      <c r="G365" s="44"/>
      <c r="H365" s="44" t="s">
        <v>2562</v>
      </c>
      <c r="I365" s="44">
        <v>1</v>
      </c>
      <c r="J365" s="145" t="s">
        <v>78</v>
      </c>
    </row>
    <row r="366" spans="1:10" ht="15.8" customHeight="1" x14ac:dyDescent="0.2">
      <c r="A366" s="140" t="s">
        <v>17</v>
      </c>
      <c r="B366" s="44" t="s">
        <v>24</v>
      </c>
      <c r="C366" s="594"/>
      <c r="D366" s="45">
        <v>45245</v>
      </c>
      <c r="E366" s="44" t="s">
        <v>57</v>
      </c>
      <c r="F366" s="44" t="s">
        <v>2563</v>
      </c>
      <c r="G366" s="44"/>
      <c r="H366" s="44" t="s">
        <v>2564</v>
      </c>
      <c r="I366" s="44">
        <v>1</v>
      </c>
      <c r="J366" s="145" t="s">
        <v>78</v>
      </c>
    </row>
    <row r="367" spans="1:10" ht="15.8" customHeight="1" x14ac:dyDescent="0.2">
      <c r="A367" s="140" t="s">
        <v>17</v>
      </c>
      <c r="B367" s="44" t="s">
        <v>24</v>
      </c>
      <c r="C367" s="594"/>
      <c r="D367" s="45">
        <v>45247</v>
      </c>
      <c r="E367" s="44" t="s">
        <v>72</v>
      </c>
      <c r="F367" s="44" t="s">
        <v>2565</v>
      </c>
      <c r="G367" s="44"/>
      <c r="H367" s="44" t="s">
        <v>28</v>
      </c>
      <c r="I367" s="44">
        <v>1</v>
      </c>
      <c r="J367" s="145" t="s">
        <v>23</v>
      </c>
    </row>
    <row r="368" spans="1:10" ht="15.8" customHeight="1" x14ac:dyDescent="0.2">
      <c r="A368" s="140" t="s">
        <v>10</v>
      </c>
      <c r="B368" s="44" t="s">
        <v>64</v>
      </c>
      <c r="C368" s="594"/>
      <c r="D368" s="45">
        <v>45248</v>
      </c>
      <c r="E368" s="44" t="s">
        <v>112</v>
      </c>
      <c r="F368" s="44" t="s">
        <v>2472</v>
      </c>
      <c r="G368" s="44" t="s">
        <v>2194</v>
      </c>
      <c r="H368" s="44" t="s">
        <v>2566</v>
      </c>
      <c r="I368" s="44">
        <v>2</v>
      </c>
      <c r="J368" s="145" t="s">
        <v>50</v>
      </c>
    </row>
    <row r="369" spans="1:20" ht="15.8" customHeight="1" x14ac:dyDescent="0.2">
      <c r="A369" s="140" t="s">
        <v>10</v>
      </c>
      <c r="B369" s="44" t="s">
        <v>29</v>
      </c>
      <c r="C369" s="594"/>
      <c r="D369" s="45">
        <v>45248</v>
      </c>
      <c r="E369" s="44" t="s">
        <v>112</v>
      </c>
      <c r="F369" s="44" t="s">
        <v>1703</v>
      </c>
      <c r="G369" s="44" t="s">
        <v>95</v>
      </c>
      <c r="H369" s="44" t="s">
        <v>2567</v>
      </c>
      <c r="I369" s="44">
        <v>3</v>
      </c>
      <c r="J369" s="145" t="s">
        <v>50</v>
      </c>
    </row>
    <row r="370" spans="1:20" ht="15.8" customHeight="1" x14ac:dyDescent="0.2">
      <c r="A370" s="140" t="s">
        <v>10</v>
      </c>
      <c r="B370" s="44" t="s">
        <v>29</v>
      </c>
      <c r="C370" s="594"/>
      <c r="D370" s="45">
        <v>45240</v>
      </c>
      <c r="E370" s="44" t="s">
        <v>118</v>
      </c>
      <c r="F370" s="44" t="s">
        <v>2568</v>
      </c>
      <c r="G370" s="44" t="s">
        <v>2569</v>
      </c>
      <c r="H370" s="44" t="s">
        <v>1444</v>
      </c>
      <c r="I370" s="44">
        <v>2</v>
      </c>
      <c r="J370" s="145" t="s">
        <v>50</v>
      </c>
    </row>
    <row r="371" spans="1:20" ht="15.8" customHeight="1" x14ac:dyDescent="0.2">
      <c r="A371" s="140" t="s">
        <v>10</v>
      </c>
      <c r="B371" s="44" t="s">
        <v>29</v>
      </c>
      <c r="C371" s="594"/>
      <c r="D371" s="45">
        <v>45241</v>
      </c>
      <c r="E371" s="44" t="s">
        <v>2570</v>
      </c>
      <c r="F371" s="44" t="s">
        <v>2571</v>
      </c>
      <c r="G371" s="44" t="s">
        <v>85</v>
      </c>
      <c r="H371" s="44" t="s">
        <v>2572</v>
      </c>
      <c r="I371" s="44">
        <v>6</v>
      </c>
      <c r="J371" s="145" t="s">
        <v>1075</v>
      </c>
    </row>
    <row r="372" spans="1:20" ht="15.8" customHeight="1" x14ac:dyDescent="0.2">
      <c r="A372" s="140" t="s">
        <v>51</v>
      </c>
      <c r="B372" s="44" t="s">
        <v>52</v>
      </c>
      <c r="C372" s="594"/>
      <c r="D372" s="45">
        <v>45244</v>
      </c>
      <c r="E372" s="44" t="s">
        <v>57</v>
      </c>
      <c r="F372" s="44" t="s">
        <v>2573</v>
      </c>
      <c r="G372" s="44" t="s">
        <v>135</v>
      </c>
      <c r="H372" s="44" t="s">
        <v>2574</v>
      </c>
      <c r="I372" s="44">
        <v>5</v>
      </c>
      <c r="J372" s="145" t="s">
        <v>16</v>
      </c>
    </row>
    <row r="373" spans="1:20" ht="15.8" customHeight="1" x14ac:dyDescent="0.2">
      <c r="A373" s="140" t="s">
        <v>17</v>
      </c>
      <c r="B373" s="44" t="s">
        <v>24</v>
      </c>
      <c r="C373" s="594"/>
      <c r="D373" s="45">
        <v>45245</v>
      </c>
      <c r="E373" s="44" t="s">
        <v>351</v>
      </c>
      <c r="F373" s="44" t="s">
        <v>2575</v>
      </c>
      <c r="G373" s="44" t="s">
        <v>85</v>
      </c>
      <c r="H373" s="44" t="s">
        <v>2576</v>
      </c>
      <c r="I373" s="44">
        <v>1</v>
      </c>
      <c r="J373" s="145" t="s">
        <v>78</v>
      </c>
    </row>
    <row r="374" spans="1:20" ht="15.8" customHeight="1" x14ac:dyDescent="0.2">
      <c r="A374" s="140" t="s">
        <v>17</v>
      </c>
      <c r="B374" s="44" t="s">
        <v>24</v>
      </c>
      <c r="C374" s="594"/>
      <c r="D374" s="45">
        <v>45245</v>
      </c>
      <c r="E374" s="44" t="s">
        <v>74</v>
      </c>
      <c r="F374" s="44" t="s">
        <v>2577</v>
      </c>
      <c r="G374" s="44" t="s">
        <v>85</v>
      </c>
      <c r="H374" s="44" t="s">
        <v>2578</v>
      </c>
      <c r="I374" s="44">
        <v>1</v>
      </c>
      <c r="J374" s="145" t="s">
        <v>78</v>
      </c>
    </row>
    <row r="375" spans="1:20" ht="15.8" customHeight="1" x14ac:dyDescent="0.2">
      <c r="A375" s="140" t="s">
        <v>10</v>
      </c>
      <c r="B375" s="44" t="s">
        <v>29</v>
      </c>
      <c r="C375" s="594"/>
      <c r="D375" s="45">
        <v>45246</v>
      </c>
      <c r="E375" s="44" t="s">
        <v>207</v>
      </c>
      <c r="F375" s="44" t="s">
        <v>2579</v>
      </c>
      <c r="G375" s="44" t="s">
        <v>85</v>
      </c>
      <c r="H375" s="44" t="s">
        <v>2580</v>
      </c>
      <c r="I375" s="44">
        <v>3</v>
      </c>
      <c r="J375" s="145" t="s">
        <v>34</v>
      </c>
    </row>
    <row r="376" spans="1:20" ht="15.8" customHeight="1" x14ac:dyDescent="0.2">
      <c r="A376" s="140" t="s">
        <v>10</v>
      </c>
      <c r="B376" s="44" t="s">
        <v>24</v>
      </c>
      <c r="C376" s="594"/>
      <c r="D376" s="45">
        <v>45247</v>
      </c>
      <c r="E376" s="44" t="s">
        <v>1350</v>
      </c>
      <c r="F376" s="44" t="s">
        <v>2581</v>
      </c>
      <c r="G376" s="44" t="s">
        <v>85</v>
      </c>
      <c r="H376" s="44" t="s">
        <v>2582</v>
      </c>
      <c r="I376" s="44">
        <v>1</v>
      </c>
      <c r="J376" s="145" t="s">
        <v>23</v>
      </c>
    </row>
    <row r="377" spans="1:20" ht="15.8" customHeight="1" x14ac:dyDescent="0.2">
      <c r="A377" s="140" t="s">
        <v>10</v>
      </c>
      <c r="B377" s="44" t="s">
        <v>451</v>
      </c>
      <c r="C377" s="594"/>
      <c r="D377" s="45">
        <v>45248</v>
      </c>
      <c r="E377" s="44" t="s">
        <v>2583</v>
      </c>
      <c r="F377" s="44" t="s">
        <v>2584</v>
      </c>
      <c r="G377" s="44" t="s">
        <v>2585</v>
      </c>
      <c r="H377" s="44" t="s">
        <v>2586</v>
      </c>
      <c r="I377" s="44">
        <v>3</v>
      </c>
      <c r="J377" s="145" t="s">
        <v>16</v>
      </c>
    </row>
    <row r="378" spans="1:20" ht="15.8" customHeight="1" x14ac:dyDescent="0.2">
      <c r="A378" s="140" t="s">
        <v>387</v>
      </c>
      <c r="B378" s="44" t="s">
        <v>29</v>
      </c>
      <c r="C378" s="594"/>
      <c r="D378" s="45">
        <v>45248</v>
      </c>
      <c r="E378" s="44" t="s">
        <v>2587</v>
      </c>
      <c r="F378" s="44" t="s">
        <v>1703</v>
      </c>
      <c r="G378" s="44" t="s">
        <v>95</v>
      </c>
      <c r="H378" s="44" t="s">
        <v>2588</v>
      </c>
      <c r="I378" s="44">
        <v>3</v>
      </c>
      <c r="J378" s="145" t="s">
        <v>50</v>
      </c>
    </row>
    <row r="379" spans="1:20" ht="15.8" customHeight="1" x14ac:dyDescent="0.2">
      <c r="A379" s="140" t="s">
        <v>10</v>
      </c>
      <c r="B379" s="44" t="s">
        <v>137</v>
      </c>
      <c r="C379" s="594"/>
      <c r="D379" s="45">
        <v>45249</v>
      </c>
      <c r="E379" s="44" t="s">
        <v>180</v>
      </c>
      <c r="F379" s="44" t="s">
        <v>2589</v>
      </c>
      <c r="G379" s="44" t="s">
        <v>918</v>
      </c>
      <c r="H379" s="44" t="s">
        <v>2590</v>
      </c>
      <c r="I379" s="44">
        <v>3</v>
      </c>
      <c r="J379" s="145" t="s">
        <v>16</v>
      </c>
    </row>
    <row r="380" spans="1:20" ht="15.8" customHeight="1" x14ac:dyDescent="0.2">
      <c r="A380" s="140" t="s">
        <v>10</v>
      </c>
      <c r="B380" s="44" t="s">
        <v>11</v>
      </c>
      <c r="C380" s="594"/>
      <c r="D380" s="45">
        <v>45255</v>
      </c>
      <c r="E380" s="44" t="s">
        <v>108</v>
      </c>
      <c r="F380" s="44" t="s">
        <v>2591</v>
      </c>
      <c r="G380" s="44" t="s">
        <v>446</v>
      </c>
      <c r="H380" s="44" t="s">
        <v>2592</v>
      </c>
      <c r="I380" s="44">
        <v>2</v>
      </c>
      <c r="J380" s="145" t="s">
        <v>16</v>
      </c>
    </row>
    <row r="381" spans="1:20" ht="15.8" customHeight="1" x14ac:dyDescent="0.2">
      <c r="A381" s="140" t="s">
        <v>10</v>
      </c>
      <c r="B381" s="44" t="s">
        <v>11</v>
      </c>
      <c r="C381" s="604"/>
      <c r="D381" s="45">
        <v>45255</v>
      </c>
      <c r="E381" s="44" t="s">
        <v>108</v>
      </c>
      <c r="F381" s="44" t="s">
        <v>2593</v>
      </c>
      <c r="G381" s="44" t="s">
        <v>446</v>
      </c>
      <c r="H381" s="44" t="s">
        <v>2594</v>
      </c>
      <c r="I381" s="44">
        <v>2</v>
      </c>
      <c r="J381" s="145" t="s">
        <v>16</v>
      </c>
    </row>
    <row r="382" spans="1:20" s="106" customFormat="1" ht="15.8" customHeight="1" x14ac:dyDescent="0.25">
      <c r="A382" s="146" t="s">
        <v>2151</v>
      </c>
      <c r="B382" s="103"/>
      <c r="C382" s="35"/>
      <c r="D382" s="104"/>
      <c r="E382" s="103"/>
      <c r="F382" s="103"/>
      <c r="G382" s="103"/>
      <c r="H382" s="103"/>
      <c r="I382" s="103"/>
      <c r="J382" s="147"/>
      <c r="K382" s="105"/>
      <c r="L382" s="105"/>
      <c r="M382" s="105"/>
      <c r="N382" s="105"/>
      <c r="O382" s="105"/>
      <c r="P382" s="105"/>
      <c r="Q382" s="105"/>
      <c r="R382" s="105"/>
      <c r="S382" s="105"/>
      <c r="T382" s="105"/>
    </row>
    <row r="383" spans="1:20" ht="15.8" customHeight="1" x14ac:dyDescent="0.2">
      <c r="A383" s="140" t="s">
        <v>51</v>
      </c>
      <c r="B383" s="44" t="s">
        <v>52</v>
      </c>
      <c r="C383" s="593">
        <f>COUNTIF(B383:B403,$C$2)</f>
        <v>9</v>
      </c>
      <c r="D383" s="45">
        <v>45263</v>
      </c>
      <c r="E383" s="44" t="s">
        <v>1306</v>
      </c>
      <c r="F383" s="44" t="s">
        <v>2617</v>
      </c>
      <c r="G383" s="44" t="s">
        <v>1959</v>
      </c>
      <c r="H383" s="44" t="s">
        <v>2618</v>
      </c>
      <c r="I383" s="44">
        <v>7</v>
      </c>
      <c r="J383" s="145" t="s">
        <v>56</v>
      </c>
    </row>
    <row r="384" spans="1:20" ht="15.8" customHeight="1" x14ac:dyDescent="0.2">
      <c r="A384" s="140" t="s">
        <v>51</v>
      </c>
      <c r="B384" s="44" t="s">
        <v>52</v>
      </c>
      <c r="C384" s="594"/>
      <c r="D384" s="45">
        <v>45263</v>
      </c>
      <c r="E384" s="44" t="s">
        <v>2619</v>
      </c>
      <c r="F384" s="44" t="s">
        <v>2620</v>
      </c>
      <c r="G384" s="44" t="s">
        <v>1959</v>
      </c>
      <c r="H384" s="44" t="s">
        <v>2621</v>
      </c>
      <c r="I384" s="44">
        <v>7</v>
      </c>
      <c r="J384" s="145" t="s">
        <v>56</v>
      </c>
    </row>
    <row r="385" spans="1:10" ht="15.8" customHeight="1" x14ac:dyDescent="0.2">
      <c r="A385" s="140" t="s">
        <v>146</v>
      </c>
      <c r="B385" s="44" t="s">
        <v>2163</v>
      </c>
      <c r="C385" s="594"/>
      <c r="D385" s="45">
        <v>45264</v>
      </c>
      <c r="E385" s="44" t="s">
        <v>112</v>
      </c>
      <c r="F385" s="44" t="s">
        <v>2622</v>
      </c>
      <c r="G385" s="44" t="s">
        <v>76</v>
      </c>
      <c r="H385" s="44" t="s">
        <v>2623</v>
      </c>
      <c r="I385" s="44">
        <v>5</v>
      </c>
      <c r="J385" s="145" t="s">
        <v>192</v>
      </c>
    </row>
    <row r="386" spans="1:10" ht="15.8" customHeight="1" x14ac:dyDescent="0.2">
      <c r="A386" s="140" t="s">
        <v>146</v>
      </c>
      <c r="B386" s="44" t="s">
        <v>2163</v>
      </c>
      <c r="C386" s="594"/>
      <c r="D386" s="45">
        <v>45264</v>
      </c>
      <c r="E386" s="44" t="s">
        <v>458</v>
      </c>
      <c r="F386" s="44" t="s">
        <v>2624</v>
      </c>
      <c r="G386" s="44" t="s">
        <v>85</v>
      </c>
      <c r="H386" s="44" t="s">
        <v>2625</v>
      </c>
      <c r="I386" s="44">
        <v>5</v>
      </c>
      <c r="J386" s="145" t="s">
        <v>192</v>
      </c>
    </row>
    <row r="387" spans="1:10" ht="15.8" customHeight="1" x14ac:dyDescent="0.2">
      <c r="A387" s="140" t="s">
        <v>35</v>
      </c>
      <c r="B387" s="44" t="s">
        <v>137</v>
      </c>
      <c r="C387" s="594"/>
      <c r="D387" s="45">
        <v>45265</v>
      </c>
      <c r="E387" s="44" t="s">
        <v>2626</v>
      </c>
      <c r="F387" s="44" t="s">
        <v>2627</v>
      </c>
      <c r="G387" s="44" t="s">
        <v>1178</v>
      </c>
      <c r="H387" s="44" t="s">
        <v>2628</v>
      </c>
      <c r="I387" s="44">
        <v>11</v>
      </c>
      <c r="J387" s="145" t="s">
        <v>41</v>
      </c>
    </row>
    <row r="388" spans="1:10" ht="15.8" customHeight="1" x14ac:dyDescent="0.2">
      <c r="A388" s="140" t="s">
        <v>51</v>
      </c>
      <c r="B388" s="44" t="s">
        <v>481</v>
      </c>
      <c r="C388" s="594"/>
      <c r="D388" s="45">
        <v>45267</v>
      </c>
      <c r="E388" s="44" t="s">
        <v>1306</v>
      </c>
      <c r="F388" s="44" t="s">
        <v>2629</v>
      </c>
      <c r="G388" s="44" t="s">
        <v>157</v>
      </c>
      <c r="H388" s="44" t="s">
        <v>2630</v>
      </c>
      <c r="I388" s="44">
        <v>5</v>
      </c>
      <c r="J388" s="145" t="s">
        <v>16</v>
      </c>
    </row>
    <row r="389" spans="1:10" ht="15.8" customHeight="1" x14ac:dyDescent="0.2">
      <c r="A389" s="140" t="s">
        <v>51</v>
      </c>
      <c r="B389" s="44" t="s">
        <v>52</v>
      </c>
      <c r="C389" s="594"/>
      <c r="D389" s="45">
        <v>45269</v>
      </c>
      <c r="E389" s="44" t="s">
        <v>164</v>
      </c>
      <c r="F389" s="44" t="s">
        <v>2631</v>
      </c>
      <c r="G389" s="44" t="s">
        <v>217</v>
      </c>
      <c r="H389" s="44" t="s">
        <v>2632</v>
      </c>
      <c r="I389" s="44">
        <v>25</v>
      </c>
      <c r="J389" s="145" t="s">
        <v>2633</v>
      </c>
    </row>
    <row r="390" spans="1:10" ht="15.8" customHeight="1" x14ac:dyDescent="0.2">
      <c r="A390" s="140" t="s">
        <v>51</v>
      </c>
      <c r="B390" s="44" t="s">
        <v>52</v>
      </c>
      <c r="C390" s="594"/>
      <c r="D390" s="45">
        <v>45271</v>
      </c>
      <c r="E390" s="44" t="s">
        <v>126</v>
      </c>
      <c r="F390" s="44" t="s">
        <v>2634</v>
      </c>
      <c r="G390" s="44" t="s">
        <v>2635</v>
      </c>
      <c r="H390" s="44" t="s">
        <v>2636</v>
      </c>
      <c r="I390" s="44">
        <v>7</v>
      </c>
      <c r="J390" s="145" t="s">
        <v>56</v>
      </c>
    </row>
    <row r="391" spans="1:10" ht="15.8" customHeight="1" x14ac:dyDescent="0.2">
      <c r="A391" s="140" t="s">
        <v>51</v>
      </c>
      <c r="B391" s="44" t="s">
        <v>52</v>
      </c>
      <c r="C391" s="594"/>
      <c r="D391" s="45">
        <v>45271</v>
      </c>
      <c r="E391" s="44" t="s">
        <v>2637</v>
      </c>
      <c r="F391" s="44" t="s">
        <v>2638</v>
      </c>
      <c r="G391" s="44" t="s">
        <v>217</v>
      </c>
      <c r="H391" s="44" t="s">
        <v>2639</v>
      </c>
      <c r="I391" s="44">
        <v>7</v>
      </c>
      <c r="J391" s="145" t="s">
        <v>1075</v>
      </c>
    </row>
    <row r="392" spans="1:10" ht="15.8" customHeight="1" x14ac:dyDescent="0.2">
      <c r="A392" s="140" t="s">
        <v>10</v>
      </c>
      <c r="B392" s="44" t="s">
        <v>152</v>
      </c>
      <c r="C392" s="594"/>
      <c r="D392" s="45">
        <v>45273</v>
      </c>
      <c r="E392" s="44" t="s">
        <v>1700</v>
      </c>
      <c r="F392" s="44" t="s">
        <v>274</v>
      </c>
      <c r="G392" s="44" t="s">
        <v>1561</v>
      </c>
      <c r="H392" s="44" t="s">
        <v>2640</v>
      </c>
      <c r="I392" s="44">
        <v>1</v>
      </c>
      <c r="J392" s="145" t="s">
        <v>50</v>
      </c>
    </row>
    <row r="393" spans="1:10" ht="15.8" customHeight="1" x14ac:dyDescent="0.2">
      <c r="A393" s="140" t="s">
        <v>51</v>
      </c>
      <c r="B393" s="44" t="s">
        <v>52</v>
      </c>
      <c r="C393" s="594"/>
      <c r="D393" s="45">
        <v>45273</v>
      </c>
      <c r="E393" s="44" t="s">
        <v>2644</v>
      </c>
      <c r="F393" s="44" t="s">
        <v>2645</v>
      </c>
      <c r="G393" s="44" t="s">
        <v>2646</v>
      </c>
      <c r="H393" s="44" t="s">
        <v>2647</v>
      </c>
      <c r="I393" s="44">
        <v>18</v>
      </c>
      <c r="J393" s="145" t="s">
        <v>2648</v>
      </c>
    </row>
    <row r="394" spans="1:10" ht="15.8" customHeight="1" x14ac:dyDescent="0.2">
      <c r="A394" s="140" t="s">
        <v>10</v>
      </c>
      <c r="B394" s="44" t="s">
        <v>11</v>
      </c>
      <c r="C394" s="594"/>
      <c r="D394" s="45">
        <v>45274</v>
      </c>
      <c r="E394" s="44" t="s">
        <v>2641</v>
      </c>
      <c r="F394" s="44" t="s">
        <v>2642</v>
      </c>
      <c r="G394" s="44" t="s">
        <v>377</v>
      </c>
      <c r="H394" s="44" t="s">
        <v>2643</v>
      </c>
      <c r="I394" s="44">
        <v>4</v>
      </c>
      <c r="J394" s="145" t="s">
        <v>1075</v>
      </c>
    </row>
    <row r="395" spans="1:10" ht="15.8" customHeight="1" x14ac:dyDescent="0.2">
      <c r="A395" s="140" t="s">
        <v>387</v>
      </c>
      <c r="B395" s="44" t="s">
        <v>2401</v>
      </c>
      <c r="C395" s="594"/>
      <c r="D395" s="45">
        <v>45277</v>
      </c>
      <c r="E395" s="44" t="s">
        <v>400</v>
      </c>
      <c r="F395" s="44" t="s">
        <v>2649</v>
      </c>
      <c r="G395" s="44" t="s">
        <v>62</v>
      </c>
      <c r="H395" s="44" t="s">
        <v>2650</v>
      </c>
      <c r="I395" s="44">
        <v>8</v>
      </c>
      <c r="J395" s="145" t="s">
        <v>1075</v>
      </c>
    </row>
    <row r="396" spans="1:10" ht="15.8" customHeight="1" x14ac:dyDescent="0.2">
      <c r="A396" s="140" t="s">
        <v>17</v>
      </c>
      <c r="B396" s="44" t="s">
        <v>24</v>
      </c>
      <c r="C396" s="594"/>
      <c r="D396" s="45">
        <v>45282</v>
      </c>
      <c r="E396" s="44" t="s">
        <v>94</v>
      </c>
      <c r="F396" s="44" t="s">
        <v>1910</v>
      </c>
      <c r="G396" s="44"/>
      <c r="H396" s="44" t="s">
        <v>28</v>
      </c>
      <c r="I396" s="44">
        <v>1</v>
      </c>
      <c r="J396" s="145" t="s">
        <v>23</v>
      </c>
    </row>
    <row r="397" spans="1:10" ht="15.8" customHeight="1" x14ac:dyDescent="0.2">
      <c r="A397" s="140" t="s">
        <v>387</v>
      </c>
      <c r="B397" s="44" t="s">
        <v>52</v>
      </c>
      <c r="C397" s="594"/>
      <c r="D397" s="45">
        <v>45283</v>
      </c>
      <c r="E397" s="44" t="s">
        <v>2339</v>
      </c>
      <c r="F397" s="44" t="s">
        <v>2568</v>
      </c>
      <c r="G397" s="44"/>
      <c r="H397" s="44" t="s">
        <v>2595</v>
      </c>
      <c r="I397" s="44">
        <v>2</v>
      </c>
      <c r="J397" s="145" t="s">
        <v>192</v>
      </c>
    </row>
    <row r="398" spans="1:10" ht="15.8" customHeight="1" x14ac:dyDescent="0.2">
      <c r="A398" s="140" t="s">
        <v>10</v>
      </c>
      <c r="B398" s="44" t="s">
        <v>2162</v>
      </c>
      <c r="C398" s="594"/>
      <c r="D398" s="45">
        <v>45267</v>
      </c>
      <c r="E398" s="44" t="s">
        <v>164</v>
      </c>
      <c r="F398" s="44" t="s">
        <v>2596</v>
      </c>
      <c r="G398" s="44" t="s">
        <v>2597</v>
      </c>
      <c r="H398" s="44" t="s">
        <v>2598</v>
      </c>
      <c r="I398" s="44">
        <v>5</v>
      </c>
      <c r="J398" s="145" t="s">
        <v>16</v>
      </c>
    </row>
    <row r="399" spans="1:10" ht="15.8" customHeight="1" x14ac:dyDescent="0.2">
      <c r="A399" s="140" t="s">
        <v>146</v>
      </c>
      <c r="B399" s="44" t="s">
        <v>11</v>
      </c>
      <c r="C399" s="594"/>
      <c r="D399" s="45">
        <v>45276</v>
      </c>
      <c r="E399" s="44" t="s">
        <v>1461</v>
      </c>
      <c r="F399" s="44" t="s">
        <v>2599</v>
      </c>
      <c r="G399" s="44" t="s">
        <v>21</v>
      </c>
      <c r="H399" s="44" t="s">
        <v>387</v>
      </c>
      <c r="I399" s="44">
        <v>2</v>
      </c>
      <c r="J399" s="145" t="s">
        <v>192</v>
      </c>
    </row>
    <row r="400" spans="1:10" ht="15.8" customHeight="1" x14ac:dyDescent="0.2">
      <c r="A400" s="140" t="s">
        <v>51</v>
      </c>
      <c r="B400" s="44" t="s">
        <v>52</v>
      </c>
      <c r="C400" s="594"/>
      <c r="D400" s="45">
        <v>45283</v>
      </c>
      <c r="E400" s="44" t="s">
        <v>108</v>
      </c>
      <c r="F400" s="44" t="s">
        <v>2568</v>
      </c>
      <c r="G400" s="44" t="s">
        <v>2600</v>
      </c>
      <c r="H400" s="44" t="s">
        <v>2601</v>
      </c>
      <c r="I400" s="44">
        <v>2</v>
      </c>
      <c r="J400" s="145" t="s">
        <v>192</v>
      </c>
    </row>
    <row r="401" spans="1:20" ht="15.8" customHeight="1" x14ac:dyDescent="0.2">
      <c r="A401" s="140" t="s">
        <v>387</v>
      </c>
      <c r="B401" s="44" t="s">
        <v>152</v>
      </c>
      <c r="C401" s="594"/>
      <c r="D401" s="45">
        <v>45287</v>
      </c>
      <c r="E401" s="44" t="s">
        <v>112</v>
      </c>
      <c r="F401" s="44" t="s">
        <v>274</v>
      </c>
      <c r="G401" s="44" t="s">
        <v>1561</v>
      </c>
      <c r="H401" s="44" t="s">
        <v>2602</v>
      </c>
      <c r="I401" s="44">
        <v>7</v>
      </c>
      <c r="J401" s="145" t="s">
        <v>1075</v>
      </c>
    </row>
    <row r="402" spans="1:20" ht="15.8" customHeight="1" x14ac:dyDescent="0.2">
      <c r="A402" s="140" t="s">
        <v>387</v>
      </c>
      <c r="B402" s="44" t="s">
        <v>2401</v>
      </c>
      <c r="C402" s="594"/>
      <c r="D402" s="45">
        <v>45287</v>
      </c>
      <c r="E402" s="44" t="s">
        <v>2603</v>
      </c>
      <c r="F402" s="44" t="s">
        <v>1334</v>
      </c>
      <c r="G402" s="44" t="s">
        <v>274</v>
      </c>
      <c r="H402" s="44" t="s">
        <v>2604</v>
      </c>
      <c r="I402" s="44">
        <v>7</v>
      </c>
      <c r="J402" s="145" t="s">
        <v>1075</v>
      </c>
    </row>
    <row r="403" spans="1:20" ht="15.8" customHeight="1" thickBot="1" x14ac:dyDescent="0.25">
      <c r="A403" s="149" t="s">
        <v>51</v>
      </c>
      <c r="B403" s="108" t="s">
        <v>52</v>
      </c>
      <c r="C403" s="595"/>
      <c r="D403" s="109">
        <v>45291</v>
      </c>
      <c r="E403" s="108" t="s">
        <v>126</v>
      </c>
      <c r="F403" s="108" t="s">
        <v>2605</v>
      </c>
      <c r="G403" s="108" t="s">
        <v>2605</v>
      </c>
      <c r="H403" s="108" t="s">
        <v>2606</v>
      </c>
      <c r="I403" s="108">
        <v>4</v>
      </c>
      <c r="J403" s="150" t="s">
        <v>2607</v>
      </c>
    </row>
    <row r="404" spans="1:20" s="152" customFormat="1" ht="48.25" thickTop="1" thickBot="1" x14ac:dyDescent="0.3">
      <c r="A404" s="397" t="s">
        <v>2677</v>
      </c>
      <c r="B404" s="398">
        <f>COUNTA(B3:B403)</f>
        <v>389</v>
      </c>
      <c r="C404" s="380">
        <f>SUM(C1:C403)</f>
        <v>62</v>
      </c>
      <c r="D404" s="399"/>
      <c r="E404" s="399"/>
      <c r="F404" s="399"/>
      <c r="G404" s="399"/>
      <c r="H404" s="399"/>
      <c r="I404" s="399"/>
      <c r="J404" s="400"/>
      <c r="K404" s="128"/>
      <c r="L404" s="128"/>
      <c r="M404" s="128"/>
      <c r="N404" s="128"/>
      <c r="O404" s="128"/>
      <c r="P404" s="128"/>
      <c r="Q404" s="128"/>
      <c r="R404" s="128"/>
      <c r="S404" s="128"/>
      <c r="T404" s="128"/>
    </row>
    <row r="405" spans="1:20" ht="12.9" x14ac:dyDescent="0.2">
      <c r="A405" s="13"/>
      <c r="B405" s="13"/>
      <c r="C405" s="89"/>
      <c r="D405" s="60"/>
      <c r="E405" s="13"/>
      <c r="F405" s="13"/>
      <c r="G405" s="42"/>
      <c r="H405" s="13"/>
      <c r="I405" s="13"/>
      <c r="J405" s="79"/>
    </row>
    <row r="406" spans="1:20" ht="15.8" customHeight="1" x14ac:dyDescent="0.2">
      <c r="C406" s="89"/>
    </row>
    <row r="407" spans="1:20" ht="15.8" customHeight="1" x14ac:dyDescent="0.2">
      <c r="C407" s="89"/>
    </row>
    <row r="408" spans="1:20" ht="15.8" customHeight="1" x14ac:dyDescent="0.2">
      <c r="C408" s="89"/>
    </row>
    <row r="409" spans="1:20" ht="15.8" customHeight="1" x14ac:dyDescent="0.2">
      <c r="C409" s="89"/>
    </row>
    <row r="410" spans="1:20" ht="15.8" customHeight="1" x14ac:dyDescent="0.2">
      <c r="C410" s="89"/>
    </row>
    <row r="411" spans="1:20" ht="12.9" x14ac:dyDescent="0.2">
      <c r="C411"/>
    </row>
    <row r="412" spans="1:20" ht="15.8" customHeight="1" x14ac:dyDescent="0.2">
      <c r="C412"/>
    </row>
    <row r="413" spans="1:20" ht="15.8" customHeight="1" x14ac:dyDescent="0.2">
      <c r="C413"/>
    </row>
    <row r="414" spans="1:20" ht="15.8" customHeight="1" x14ac:dyDescent="0.2">
      <c r="C414"/>
    </row>
    <row r="415" spans="1:20" ht="15.8" customHeight="1" x14ac:dyDescent="0.2">
      <c r="C415"/>
    </row>
    <row r="416" spans="1:20" ht="15.8" customHeight="1" x14ac:dyDescent="0.2">
      <c r="C416"/>
    </row>
    <row r="417" spans="3:3" ht="15.8" customHeight="1" x14ac:dyDescent="0.2">
      <c r="C417"/>
    </row>
    <row r="418" spans="3:3" ht="15.8" customHeight="1" x14ac:dyDescent="0.2">
      <c r="C418"/>
    </row>
    <row r="419" spans="3:3" ht="15.8" customHeight="1" x14ac:dyDescent="0.2">
      <c r="C419"/>
    </row>
    <row r="420" spans="3:3" ht="15.8" customHeight="1" x14ac:dyDescent="0.2">
      <c r="C420"/>
    </row>
    <row r="421" spans="3:3" ht="15.8" customHeight="1" x14ac:dyDescent="0.2">
      <c r="C421"/>
    </row>
    <row r="422" spans="3:3" ht="15.8" customHeight="1" x14ac:dyDescent="0.2">
      <c r="C422"/>
    </row>
    <row r="423" spans="3:3" ht="15.8" customHeight="1" x14ac:dyDescent="0.2">
      <c r="C423"/>
    </row>
    <row r="424" spans="3:3" ht="15.8" customHeight="1" x14ac:dyDescent="0.2">
      <c r="C424"/>
    </row>
    <row r="425" spans="3:3" ht="15.8" customHeight="1" x14ac:dyDescent="0.2">
      <c r="C425"/>
    </row>
    <row r="426" spans="3:3" ht="15.8" customHeight="1" x14ac:dyDescent="0.2">
      <c r="C426"/>
    </row>
    <row r="427" spans="3:3" ht="15.8" customHeight="1" x14ac:dyDescent="0.2">
      <c r="C427"/>
    </row>
    <row r="428" spans="3:3" ht="15.8" customHeight="1" x14ac:dyDescent="0.2">
      <c r="C428"/>
    </row>
    <row r="429" spans="3:3" ht="15.8" customHeight="1" x14ac:dyDescent="0.2">
      <c r="C429"/>
    </row>
    <row r="430" spans="3:3" ht="15.8" customHeight="1" x14ac:dyDescent="0.2">
      <c r="C430"/>
    </row>
    <row r="431" spans="3:3" ht="15.8" customHeight="1" x14ac:dyDescent="0.2">
      <c r="C431"/>
    </row>
    <row r="432" spans="3:3" ht="15.8" customHeight="1" x14ac:dyDescent="0.2">
      <c r="C432"/>
    </row>
    <row r="433" spans="3:3" ht="15.8" customHeight="1" x14ac:dyDescent="0.2">
      <c r="C433"/>
    </row>
    <row r="434" spans="3:3" ht="15.8" customHeight="1" x14ac:dyDescent="0.2">
      <c r="C434"/>
    </row>
    <row r="435" spans="3:3" ht="15.8" customHeight="1" x14ac:dyDescent="0.2">
      <c r="C435"/>
    </row>
    <row r="436" spans="3:3" ht="15.8" customHeight="1" x14ac:dyDescent="0.2">
      <c r="C436"/>
    </row>
    <row r="437" spans="3:3" ht="15.8" customHeight="1" x14ac:dyDescent="0.2">
      <c r="C437"/>
    </row>
    <row r="438" spans="3:3" ht="15.8" customHeight="1" x14ac:dyDescent="0.2">
      <c r="C438"/>
    </row>
    <row r="439" spans="3:3" ht="15.8" customHeight="1" x14ac:dyDescent="0.2">
      <c r="C439"/>
    </row>
    <row r="440" spans="3:3" ht="15.8" customHeight="1" x14ac:dyDescent="0.2">
      <c r="C440"/>
    </row>
    <row r="441" spans="3:3" ht="15.8" customHeight="1" x14ac:dyDescent="0.2">
      <c r="C441"/>
    </row>
    <row r="442" spans="3:3" ht="15.8" customHeight="1" x14ac:dyDescent="0.2">
      <c r="C442"/>
    </row>
    <row r="443" spans="3:3" ht="15.8" customHeight="1" x14ac:dyDescent="0.2">
      <c r="C443"/>
    </row>
    <row r="444" spans="3:3" ht="15.8" customHeight="1" x14ac:dyDescent="0.2">
      <c r="C444"/>
    </row>
    <row r="445" spans="3:3" ht="15.8" customHeight="1" x14ac:dyDescent="0.2">
      <c r="C445"/>
    </row>
    <row r="446" spans="3:3" ht="15.8" customHeight="1" x14ac:dyDescent="0.2">
      <c r="C446"/>
    </row>
    <row r="447" spans="3:3" ht="15.8" customHeight="1" x14ac:dyDescent="0.2">
      <c r="C447"/>
    </row>
    <row r="448" spans="3:3" ht="15.8" customHeight="1" x14ac:dyDescent="0.2">
      <c r="C448"/>
    </row>
    <row r="449" spans="3:3" ht="15.8" customHeight="1" x14ac:dyDescent="0.2">
      <c r="C449"/>
    </row>
    <row r="450" spans="3:3" ht="15.8" customHeight="1" x14ac:dyDescent="0.2">
      <c r="C450"/>
    </row>
    <row r="451" spans="3:3" ht="15.8" customHeight="1" x14ac:dyDescent="0.2">
      <c r="C451"/>
    </row>
    <row r="452" spans="3:3" ht="15.8" customHeight="1" x14ac:dyDescent="0.2">
      <c r="C452"/>
    </row>
    <row r="453" spans="3:3" ht="15.8" customHeight="1" x14ac:dyDescent="0.2">
      <c r="C453"/>
    </row>
    <row r="454" spans="3:3" ht="15.8" customHeight="1" x14ac:dyDescent="0.2">
      <c r="C454"/>
    </row>
    <row r="455" spans="3:3" ht="15.8" customHeight="1" x14ac:dyDescent="0.2">
      <c r="C455"/>
    </row>
    <row r="456" spans="3:3" ht="15.8" customHeight="1" x14ac:dyDescent="0.2">
      <c r="C456"/>
    </row>
    <row r="457" spans="3:3" ht="15.8" customHeight="1" x14ac:dyDescent="0.2">
      <c r="C457"/>
    </row>
    <row r="458" spans="3:3" ht="15.8" customHeight="1" x14ac:dyDescent="0.2">
      <c r="C458"/>
    </row>
    <row r="459" spans="3:3" ht="15.8" customHeight="1" x14ac:dyDescent="0.2">
      <c r="C459" s="89"/>
    </row>
    <row r="460" spans="3:3" ht="15.8" customHeight="1" x14ac:dyDescent="0.2">
      <c r="C460" s="89"/>
    </row>
    <row r="461" spans="3:3" ht="15.8" customHeight="1" x14ac:dyDescent="0.2">
      <c r="C461" s="89"/>
    </row>
    <row r="462" spans="3:3" ht="15.8" customHeight="1" x14ac:dyDescent="0.2">
      <c r="C462" s="89"/>
    </row>
    <row r="463" spans="3:3" ht="15.8" customHeight="1" x14ac:dyDescent="0.2">
      <c r="C463" s="89"/>
    </row>
    <row r="464" spans="3:3" ht="15.8" customHeight="1" x14ac:dyDescent="0.2">
      <c r="C464" s="89"/>
    </row>
    <row r="465" spans="3:3" ht="15.8" customHeight="1" x14ac:dyDescent="0.2">
      <c r="C465" s="89"/>
    </row>
    <row r="466" spans="3:3" ht="15.8" customHeight="1" x14ac:dyDescent="0.2">
      <c r="C466" s="89"/>
    </row>
    <row r="467" spans="3:3" ht="15.8" customHeight="1" x14ac:dyDescent="0.2">
      <c r="C467" s="89"/>
    </row>
    <row r="468" spans="3:3" ht="15.8" customHeight="1" x14ac:dyDescent="0.2">
      <c r="C468" s="89"/>
    </row>
    <row r="469" spans="3:3" ht="15.8" customHeight="1" x14ac:dyDescent="0.2">
      <c r="C469" s="89"/>
    </row>
    <row r="470" spans="3:3" ht="15.8" customHeight="1" x14ac:dyDescent="0.2">
      <c r="C470" s="89"/>
    </row>
    <row r="471" spans="3:3" ht="15.8" customHeight="1" x14ac:dyDescent="0.2">
      <c r="C471" s="89"/>
    </row>
    <row r="472" spans="3:3" ht="15.8" customHeight="1" x14ac:dyDescent="0.2">
      <c r="C472" s="89"/>
    </row>
    <row r="473" spans="3:3" ht="15.8" customHeight="1" x14ac:dyDescent="0.2">
      <c r="C473" s="89"/>
    </row>
    <row r="474" spans="3:3" ht="15.8" customHeight="1" x14ac:dyDescent="0.2">
      <c r="C474" s="89"/>
    </row>
    <row r="475" spans="3:3" ht="15.8" customHeight="1" x14ac:dyDescent="0.2">
      <c r="C475" s="89"/>
    </row>
    <row r="476" spans="3:3" ht="15.8" customHeight="1" x14ac:dyDescent="0.2">
      <c r="C476" s="89"/>
    </row>
    <row r="477" spans="3:3" ht="15.8" customHeight="1" x14ac:dyDescent="0.2">
      <c r="C477" s="89"/>
    </row>
    <row r="478" spans="3:3" ht="15.8" customHeight="1" x14ac:dyDescent="0.2">
      <c r="C478" s="89"/>
    </row>
    <row r="479" spans="3:3" ht="15.8" customHeight="1" x14ac:dyDescent="0.2">
      <c r="C479" s="89"/>
    </row>
    <row r="480" spans="3:3" ht="15.8" customHeight="1" x14ac:dyDescent="0.2">
      <c r="C480" s="89"/>
    </row>
    <row r="481" spans="3:3" ht="15.8" customHeight="1" x14ac:dyDescent="0.2">
      <c r="C481" s="89"/>
    </row>
    <row r="482" spans="3:3" ht="15.8" customHeight="1" x14ac:dyDescent="0.2">
      <c r="C482" s="89"/>
    </row>
    <row r="483" spans="3:3" ht="15.8" customHeight="1" x14ac:dyDescent="0.2">
      <c r="C483" s="89"/>
    </row>
    <row r="484" spans="3:3" ht="15.8" customHeight="1" x14ac:dyDescent="0.2">
      <c r="C484" s="89"/>
    </row>
    <row r="485" spans="3:3" ht="15.8" customHeight="1" x14ac:dyDescent="0.2">
      <c r="C485" s="89"/>
    </row>
    <row r="486" spans="3:3" ht="15.8" customHeight="1" x14ac:dyDescent="0.2">
      <c r="C486" s="89"/>
    </row>
    <row r="487" spans="3:3" ht="15.8" customHeight="1" x14ac:dyDescent="0.2">
      <c r="C487" s="89"/>
    </row>
    <row r="488" spans="3:3" ht="15.8" customHeight="1" x14ac:dyDescent="0.2">
      <c r="C488" s="89"/>
    </row>
    <row r="489" spans="3:3" ht="15.8" customHeight="1" x14ac:dyDescent="0.2">
      <c r="C489" s="89"/>
    </row>
    <row r="490" spans="3:3" ht="15.8" customHeight="1" x14ac:dyDescent="0.2">
      <c r="C490" s="89"/>
    </row>
    <row r="491" spans="3:3" ht="15.8" customHeight="1" x14ac:dyDescent="0.2">
      <c r="C491" s="89"/>
    </row>
    <row r="492" spans="3:3" ht="15.8" customHeight="1" x14ac:dyDescent="0.2">
      <c r="C492" s="89"/>
    </row>
    <row r="493" spans="3:3" ht="15.8" customHeight="1" x14ac:dyDescent="0.2">
      <c r="C493" s="89"/>
    </row>
    <row r="494" spans="3:3" ht="15.8" customHeight="1" x14ac:dyDescent="0.2">
      <c r="C494" s="80"/>
    </row>
    <row r="495" spans="3:3" ht="15.8" customHeight="1" x14ac:dyDescent="0.2">
      <c r="C495" s="89"/>
    </row>
    <row r="496" spans="3:3" ht="15.8" customHeight="1" x14ac:dyDescent="0.2">
      <c r="C496" s="89"/>
    </row>
    <row r="497" spans="3:3" ht="15.8" customHeight="1" x14ac:dyDescent="0.2">
      <c r="C497" s="89"/>
    </row>
    <row r="498" spans="3:3" ht="15.8" customHeight="1" x14ac:dyDescent="0.2">
      <c r="C498" s="89"/>
    </row>
    <row r="499" spans="3:3" ht="15.8" customHeight="1" x14ac:dyDescent="0.2">
      <c r="C499" s="89"/>
    </row>
    <row r="538" spans="3:3" ht="15.8" customHeight="1" x14ac:dyDescent="0.2">
      <c r="C538" s="80"/>
    </row>
  </sheetData>
  <sheetProtection sheet="1" objects="1" scenarios="1"/>
  <autoFilter ref="A1:AS1" xr:uid="{00000000-0009-0000-0000-000006000000}"/>
  <mergeCells count="21">
    <mergeCell ref="C383:C403"/>
    <mergeCell ref="C40:C99"/>
    <mergeCell ref="C101:C133"/>
    <mergeCell ref="A1:A2"/>
    <mergeCell ref="C135:C177"/>
    <mergeCell ref="C179:C202"/>
    <mergeCell ref="C204:C225"/>
    <mergeCell ref="C227:C255"/>
    <mergeCell ref="C257:C283"/>
    <mergeCell ref="C285:C328"/>
    <mergeCell ref="C330:C349"/>
    <mergeCell ref="C351:C381"/>
    <mergeCell ref="B1:B2"/>
    <mergeCell ref="D1:D2"/>
    <mergeCell ref="C4:C38"/>
    <mergeCell ref="J1:J2"/>
    <mergeCell ref="I1:I2"/>
    <mergeCell ref="E1:E2"/>
    <mergeCell ref="F1:F2"/>
    <mergeCell ref="G1:G2"/>
    <mergeCell ref="H1:H2"/>
  </mergeCells>
  <conditionalFormatting sqref="B1 B3:B1048576">
    <cfRule type="cellIs" dxfId="5" priority="2" operator="equal">
      <formula>$C$2</formula>
    </cfRule>
  </conditionalFormatting>
  <conditionalFormatting sqref="C2">
    <cfRule type="cellIs" dxfId="4" priority="1" operator="equal">
      <formula>$C$2</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80"/>
  <sheetViews>
    <sheetView zoomScaleNormal="100" workbookViewId="0">
      <pane ySplit="2" topLeftCell="A463" activePane="bottomLeft" state="frozen"/>
      <selection pane="bottomLeft" activeCell="B454" activeCellId="11" sqref="B4:B22 B24:B54 B56:B87 B89:B128 B130:B167 B169:B210 B212:B270 B272:B324 B326:B364 B366:B408 B410:B452 B454:B484"/>
    </sheetView>
  </sheetViews>
  <sheetFormatPr baseColWidth="10" defaultColWidth="12.625" defaultRowHeight="12.9" x14ac:dyDescent="0.2"/>
  <cols>
    <col min="1" max="1" width="29.375" style="32" bestFit="1" customWidth="1"/>
    <col min="2" max="2" width="72.25" style="32" customWidth="1"/>
    <col min="3" max="3" width="44" style="32" bestFit="1" customWidth="1"/>
    <col min="4" max="4" width="16.5" style="34" bestFit="1" customWidth="1"/>
    <col min="5" max="5" width="40" style="32" bestFit="1" customWidth="1"/>
    <col min="6" max="6" width="120" style="32" bestFit="1" customWidth="1"/>
    <col min="7" max="7" width="70.375" style="32" bestFit="1" customWidth="1"/>
    <col min="8" max="8" width="255.625" style="32" bestFit="1" customWidth="1"/>
    <col min="9" max="9" width="33.25" style="32" bestFit="1" customWidth="1"/>
    <col min="10" max="10" width="23.875" style="32" bestFit="1" customWidth="1"/>
    <col min="11" max="19" width="18.875" customWidth="1"/>
  </cols>
  <sheetData>
    <row r="1" spans="1:10" ht="15.8" customHeight="1" x14ac:dyDescent="0.2">
      <c r="A1" s="578" t="s">
        <v>0</v>
      </c>
      <c r="B1" s="605" t="s">
        <v>1</v>
      </c>
      <c r="C1" s="392" t="s">
        <v>2651</v>
      </c>
      <c r="D1" s="588" t="s">
        <v>2</v>
      </c>
      <c r="E1" s="605" t="s">
        <v>3</v>
      </c>
      <c r="F1" s="605" t="s">
        <v>4</v>
      </c>
      <c r="G1" s="609" t="s">
        <v>5</v>
      </c>
      <c r="H1" s="605" t="s">
        <v>6</v>
      </c>
      <c r="I1" s="605" t="s">
        <v>7</v>
      </c>
      <c r="J1" s="607" t="s">
        <v>8</v>
      </c>
    </row>
    <row r="2" spans="1:10" ht="28.05" customHeight="1" x14ac:dyDescent="0.2">
      <c r="A2" s="579"/>
      <c r="B2" s="606"/>
      <c r="C2" s="396" t="str">
        <f>'DETALLADO X MES 2026'!J2</f>
        <v>INCENDIO FORESTAL</v>
      </c>
      <c r="D2" s="589"/>
      <c r="E2" s="606"/>
      <c r="F2" s="606"/>
      <c r="G2" s="610"/>
      <c r="H2" s="606"/>
      <c r="I2" s="606"/>
      <c r="J2" s="608"/>
    </row>
    <row r="3" spans="1:10" ht="13.6" x14ac:dyDescent="0.2">
      <c r="A3" s="113" t="s">
        <v>9</v>
      </c>
      <c r="B3" s="18"/>
      <c r="C3" s="18"/>
      <c r="D3" s="36"/>
      <c r="E3" s="18"/>
      <c r="F3" s="18"/>
      <c r="G3" s="18"/>
      <c r="H3" s="18"/>
      <c r="I3" s="18"/>
      <c r="J3" s="114"/>
    </row>
    <row r="4" spans="1:10" x14ac:dyDescent="0.2">
      <c r="A4" s="133" t="s">
        <v>51</v>
      </c>
      <c r="B4" s="19" t="s">
        <v>481</v>
      </c>
      <c r="C4" s="611">
        <f>COUNTIF(B4:B22,C2)</f>
        <v>3</v>
      </c>
      <c r="D4" s="17">
        <v>44567</v>
      </c>
      <c r="E4" s="19">
        <v>1</v>
      </c>
      <c r="F4" s="19" t="s">
        <v>482</v>
      </c>
      <c r="G4" s="19" t="s">
        <v>483</v>
      </c>
      <c r="H4" s="19" t="s">
        <v>484</v>
      </c>
      <c r="I4" s="19">
        <v>1</v>
      </c>
      <c r="J4" s="115" t="s">
        <v>485</v>
      </c>
    </row>
    <row r="5" spans="1:10" x14ac:dyDescent="0.2">
      <c r="A5" s="133" t="s">
        <v>10</v>
      </c>
      <c r="B5" s="19" t="s">
        <v>64</v>
      </c>
      <c r="C5" s="612"/>
      <c r="D5" s="17" t="s">
        <v>2141</v>
      </c>
      <c r="E5" s="19" t="s">
        <v>486</v>
      </c>
      <c r="F5" s="19" t="s">
        <v>381</v>
      </c>
      <c r="G5" s="19" t="s">
        <v>27</v>
      </c>
      <c r="H5" s="19" t="s">
        <v>64</v>
      </c>
      <c r="I5" s="19">
        <v>5</v>
      </c>
      <c r="J5" s="115" t="s">
        <v>487</v>
      </c>
    </row>
    <row r="6" spans="1:10" x14ac:dyDescent="0.2">
      <c r="A6" s="133" t="s">
        <v>35</v>
      </c>
      <c r="B6" s="19" t="s">
        <v>137</v>
      </c>
      <c r="C6" s="612"/>
      <c r="D6" s="17">
        <v>44571</v>
      </c>
      <c r="E6" s="19" t="s">
        <v>428</v>
      </c>
      <c r="F6" s="19" t="s">
        <v>488</v>
      </c>
      <c r="G6" s="19"/>
      <c r="H6" s="19" t="s">
        <v>489</v>
      </c>
      <c r="I6" s="19">
        <v>3</v>
      </c>
      <c r="J6" s="115" t="s">
        <v>490</v>
      </c>
    </row>
    <row r="7" spans="1:10" x14ac:dyDescent="0.2">
      <c r="A7" s="133" t="s">
        <v>35</v>
      </c>
      <c r="B7" s="19" t="s">
        <v>137</v>
      </c>
      <c r="C7" s="612"/>
      <c r="D7" s="17">
        <v>44572</v>
      </c>
      <c r="E7" s="19" t="s">
        <v>91</v>
      </c>
      <c r="F7" s="19" t="s">
        <v>491</v>
      </c>
      <c r="G7" s="19"/>
      <c r="H7" s="19" t="s">
        <v>492</v>
      </c>
      <c r="I7" s="19">
        <v>2</v>
      </c>
      <c r="J7" s="115" t="s">
        <v>490</v>
      </c>
    </row>
    <row r="8" spans="1:10" x14ac:dyDescent="0.2">
      <c r="A8" s="133" t="s">
        <v>51</v>
      </c>
      <c r="B8" s="19" t="s">
        <v>52</v>
      </c>
      <c r="C8" s="612"/>
      <c r="D8" s="17">
        <v>44577</v>
      </c>
      <c r="E8" s="19" t="s">
        <v>493</v>
      </c>
      <c r="F8" s="19" t="s">
        <v>494</v>
      </c>
      <c r="G8" s="19"/>
      <c r="H8" s="19" t="s">
        <v>495</v>
      </c>
      <c r="I8" s="19">
        <v>6</v>
      </c>
      <c r="J8" s="115" t="s">
        <v>490</v>
      </c>
    </row>
    <row r="9" spans="1:10" x14ac:dyDescent="0.2">
      <c r="A9" s="133" t="s">
        <v>146</v>
      </c>
      <c r="B9" s="19" t="s">
        <v>11</v>
      </c>
      <c r="C9" s="612"/>
      <c r="D9" s="17">
        <v>44583</v>
      </c>
      <c r="E9" s="19" t="s">
        <v>240</v>
      </c>
      <c r="F9" s="19" t="s">
        <v>496</v>
      </c>
      <c r="G9" s="19" t="s">
        <v>355</v>
      </c>
      <c r="H9" s="19" t="s">
        <v>497</v>
      </c>
      <c r="I9" s="19">
        <v>3</v>
      </c>
      <c r="J9" s="115" t="s">
        <v>490</v>
      </c>
    </row>
    <row r="10" spans="1:10" x14ac:dyDescent="0.2">
      <c r="A10" s="133" t="s">
        <v>10</v>
      </c>
      <c r="B10" s="19" t="s">
        <v>64</v>
      </c>
      <c r="C10" s="612"/>
      <c r="D10" s="17">
        <v>44586</v>
      </c>
      <c r="E10" s="19" t="s">
        <v>498</v>
      </c>
      <c r="F10" s="19" t="s">
        <v>381</v>
      </c>
      <c r="G10" s="19"/>
      <c r="H10" s="19" t="s">
        <v>64</v>
      </c>
      <c r="I10" s="19">
        <v>6</v>
      </c>
      <c r="J10" s="115" t="s">
        <v>499</v>
      </c>
    </row>
    <row r="11" spans="1:10" x14ac:dyDescent="0.2">
      <c r="A11" s="133" t="s">
        <v>10</v>
      </c>
      <c r="B11" s="19" t="s">
        <v>2161</v>
      </c>
      <c r="C11" s="612"/>
      <c r="D11" s="17">
        <v>44590</v>
      </c>
      <c r="E11" s="19" t="s">
        <v>500</v>
      </c>
      <c r="F11" s="19" t="s">
        <v>501</v>
      </c>
      <c r="G11" s="19"/>
      <c r="H11" s="19" t="s">
        <v>502</v>
      </c>
      <c r="I11" s="19">
        <v>5</v>
      </c>
      <c r="J11" s="115" t="s">
        <v>503</v>
      </c>
    </row>
    <row r="12" spans="1:10" x14ac:dyDescent="0.2">
      <c r="A12" s="133" t="s">
        <v>51</v>
      </c>
      <c r="B12" s="19" t="s">
        <v>52</v>
      </c>
      <c r="C12" s="612"/>
      <c r="D12" s="17">
        <v>44591</v>
      </c>
      <c r="E12" s="19" t="s">
        <v>493</v>
      </c>
      <c r="F12" s="19" t="s">
        <v>504</v>
      </c>
      <c r="G12" s="19"/>
      <c r="H12" s="19" t="s">
        <v>505</v>
      </c>
      <c r="I12" s="19">
        <v>4</v>
      </c>
      <c r="J12" s="115" t="s">
        <v>490</v>
      </c>
    </row>
    <row r="13" spans="1:10" x14ac:dyDescent="0.2">
      <c r="A13" s="133" t="s">
        <v>10</v>
      </c>
      <c r="B13" s="19" t="s">
        <v>2161</v>
      </c>
      <c r="C13" s="612"/>
      <c r="D13" s="17">
        <v>44592</v>
      </c>
      <c r="E13" s="19" t="s">
        <v>425</v>
      </c>
      <c r="F13" s="19" t="s">
        <v>506</v>
      </c>
      <c r="G13" s="19" t="s">
        <v>234</v>
      </c>
      <c r="H13" s="19" t="s">
        <v>507</v>
      </c>
      <c r="I13" s="19">
        <v>2</v>
      </c>
      <c r="J13" s="115" t="s">
        <v>508</v>
      </c>
    </row>
    <row r="14" spans="1:10" x14ac:dyDescent="0.2">
      <c r="A14" s="133" t="s">
        <v>10</v>
      </c>
      <c r="B14" s="19" t="s">
        <v>152</v>
      </c>
      <c r="C14" s="612"/>
      <c r="D14" s="17">
        <v>44570</v>
      </c>
      <c r="E14" s="19" t="s">
        <v>164</v>
      </c>
      <c r="F14" s="19" t="s">
        <v>62</v>
      </c>
      <c r="G14" s="19"/>
      <c r="H14" s="19" t="s">
        <v>509</v>
      </c>
      <c r="I14" s="19">
        <v>11</v>
      </c>
      <c r="J14" s="115" t="s">
        <v>510</v>
      </c>
    </row>
    <row r="15" spans="1:10" x14ac:dyDescent="0.2">
      <c r="A15" s="133" t="s">
        <v>268</v>
      </c>
      <c r="B15" s="19" t="s">
        <v>2164</v>
      </c>
      <c r="C15" s="612"/>
      <c r="D15" s="17">
        <v>44580</v>
      </c>
      <c r="E15" s="19" t="s">
        <v>57</v>
      </c>
      <c r="F15" s="19" t="s">
        <v>511</v>
      </c>
      <c r="G15" s="19" t="s">
        <v>173</v>
      </c>
      <c r="H15" s="19" t="s">
        <v>512</v>
      </c>
      <c r="I15" s="19">
        <v>11</v>
      </c>
      <c r="J15" s="115" t="s">
        <v>513</v>
      </c>
    </row>
    <row r="16" spans="1:10" x14ac:dyDescent="0.2">
      <c r="A16" s="133" t="s">
        <v>17</v>
      </c>
      <c r="B16" s="19" t="s">
        <v>24</v>
      </c>
      <c r="C16" s="612"/>
      <c r="D16" s="17">
        <v>44580</v>
      </c>
      <c r="E16" s="19" t="s">
        <v>72</v>
      </c>
      <c r="F16" s="19" t="s">
        <v>514</v>
      </c>
      <c r="G16" s="19"/>
      <c r="H16" s="19" t="s">
        <v>28</v>
      </c>
      <c r="I16" s="19">
        <v>2</v>
      </c>
      <c r="J16" s="115" t="s">
        <v>508</v>
      </c>
    </row>
    <row r="17" spans="1:10" x14ac:dyDescent="0.2">
      <c r="A17" s="133" t="s">
        <v>17</v>
      </c>
      <c r="B17" s="19" t="s">
        <v>24</v>
      </c>
      <c r="C17" s="612"/>
      <c r="D17" s="17">
        <v>44580</v>
      </c>
      <c r="E17" s="19" t="s">
        <v>72</v>
      </c>
      <c r="F17" s="19" t="s">
        <v>289</v>
      </c>
      <c r="G17" s="19"/>
      <c r="H17" s="19" t="s">
        <v>28</v>
      </c>
      <c r="I17" s="19">
        <v>2</v>
      </c>
      <c r="J17" s="115" t="s">
        <v>508</v>
      </c>
    </row>
    <row r="18" spans="1:10" x14ac:dyDescent="0.2">
      <c r="A18" s="133" t="s">
        <v>159</v>
      </c>
      <c r="B18" s="19" t="s">
        <v>2164</v>
      </c>
      <c r="C18" s="612"/>
      <c r="D18" s="17">
        <v>44582</v>
      </c>
      <c r="E18" s="19" t="s">
        <v>57</v>
      </c>
      <c r="F18" s="19" t="s">
        <v>54</v>
      </c>
      <c r="G18" s="19" t="s">
        <v>515</v>
      </c>
      <c r="H18" s="19" t="s">
        <v>516</v>
      </c>
      <c r="I18" s="19">
        <v>8</v>
      </c>
      <c r="J18" s="115" t="s">
        <v>513</v>
      </c>
    </row>
    <row r="19" spans="1:10" x14ac:dyDescent="0.2">
      <c r="A19" s="133" t="s">
        <v>51</v>
      </c>
      <c r="B19" s="19" t="s">
        <v>2162</v>
      </c>
      <c r="C19" s="612"/>
      <c r="D19" s="17">
        <v>44588</v>
      </c>
      <c r="E19" s="19" t="s">
        <v>57</v>
      </c>
      <c r="F19" s="19" t="s">
        <v>54</v>
      </c>
      <c r="G19" s="19" t="s">
        <v>515</v>
      </c>
      <c r="H19" s="19" t="s">
        <v>517</v>
      </c>
      <c r="I19" s="19">
        <v>5</v>
      </c>
      <c r="J19" s="115" t="s">
        <v>508</v>
      </c>
    </row>
    <row r="20" spans="1:10" x14ac:dyDescent="0.2">
      <c r="A20" s="133" t="s">
        <v>51</v>
      </c>
      <c r="B20" s="19" t="s">
        <v>52</v>
      </c>
      <c r="C20" s="612"/>
      <c r="D20" s="17">
        <v>44592</v>
      </c>
      <c r="E20" s="19" t="s">
        <v>57</v>
      </c>
      <c r="F20" s="19" t="s">
        <v>62</v>
      </c>
      <c r="G20" s="19"/>
      <c r="H20" s="19" t="s">
        <v>518</v>
      </c>
      <c r="I20" s="19">
        <v>4</v>
      </c>
      <c r="J20" s="115" t="s">
        <v>490</v>
      </c>
    </row>
    <row r="21" spans="1:10" x14ac:dyDescent="0.2">
      <c r="A21" s="133" t="s">
        <v>10</v>
      </c>
      <c r="B21" s="19" t="s">
        <v>2161</v>
      </c>
      <c r="C21" s="612"/>
      <c r="D21" s="17">
        <v>44592</v>
      </c>
      <c r="E21" s="19" t="s">
        <v>519</v>
      </c>
      <c r="F21" s="19" t="s">
        <v>520</v>
      </c>
      <c r="G21" s="19"/>
      <c r="H21" s="19" t="s">
        <v>521</v>
      </c>
      <c r="I21" s="19">
        <v>2</v>
      </c>
      <c r="J21" s="115" t="s">
        <v>508</v>
      </c>
    </row>
    <row r="22" spans="1:10" x14ac:dyDescent="0.2">
      <c r="A22" s="133" t="s">
        <v>17</v>
      </c>
      <c r="B22" s="19" t="s">
        <v>24</v>
      </c>
      <c r="C22" s="613"/>
      <c r="D22" s="17">
        <v>44576</v>
      </c>
      <c r="E22" s="19" t="s">
        <v>549</v>
      </c>
      <c r="F22" s="19" t="s">
        <v>550</v>
      </c>
      <c r="G22" s="19"/>
      <c r="H22" s="19" t="s">
        <v>28</v>
      </c>
      <c r="I22" s="19">
        <v>1</v>
      </c>
      <c r="J22" s="115" t="s">
        <v>544</v>
      </c>
    </row>
    <row r="23" spans="1:10" ht="13.6" x14ac:dyDescent="0.2">
      <c r="A23" s="116" t="s">
        <v>130</v>
      </c>
      <c r="B23" s="92"/>
      <c r="C23" s="27"/>
      <c r="D23" s="26"/>
      <c r="E23" s="92"/>
      <c r="F23" s="92"/>
      <c r="G23" s="92"/>
      <c r="H23" s="92"/>
      <c r="I23" s="92"/>
      <c r="J23" s="117"/>
    </row>
    <row r="24" spans="1:10" x14ac:dyDescent="0.2">
      <c r="A24" s="133" t="s">
        <v>146</v>
      </c>
      <c r="B24" s="19" t="s">
        <v>2163</v>
      </c>
      <c r="C24" s="611">
        <f>COUNTIF(B24:B54,C2)</f>
        <v>3</v>
      </c>
      <c r="D24" s="17">
        <v>44594</v>
      </c>
      <c r="E24" s="19" t="s">
        <v>522</v>
      </c>
      <c r="F24" s="19" t="s">
        <v>523</v>
      </c>
      <c r="G24" s="19" t="s">
        <v>246</v>
      </c>
      <c r="H24" s="19" t="s">
        <v>524</v>
      </c>
      <c r="I24" s="19">
        <v>6</v>
      </c>
      <c r="J24" s="115" t="s">
        <v>525</v>
      </c>
    </row>
    <row r="25" spans="1:10" x14ac:dyDescent="0.2">
      <c r="A25" s="133" t="s">
        <v>51</v>
      </c>
      <c r="B25" s="19" t="s">
        <v>52</v>
      </c>
      <c r="C25" s="612"/>
      <c r="D25" s="17">
        <v>44595</v>
      </c>
      <c r="E25" s="19" t="s">
        <v>388</v>
      </c>
      <c r="F25" s="19" t="s">
        <v>526</v>
      </c>
      <c r="G25" s="19" t="s">
        <v>527</v>
      </c>
      <c r="H25" s="19" t="s">
        <v>528</v>
      </c>
      <c r="I25" s="19">
        <v>5</v>
      </c>
      <c r="J25" s="115" t="s">
        <v>490</v>
      </c>
    </row>
    <row r="26" spans="1:10" x14ac:dyDescent="0.2">
      <c r="A26" s="133" t="s">
        <v>51</v>
      </c>
      <c r="B26" s="19" t="s">
        <v>52</v>
      </c>
      <c r="C26" s="612"/>
      <c r="D26" s="17">
        <v>44596</v>
      </c>
      <c r="E26" s="19" t="s">
        <v>240</v>
      </c>
      <c r="F26" s="19" t="s">
        <v>529</v>
      </c>
      <c r="G26" s="19" t="s">
        <v>530</v>
      </c>
      <c r="H26" s="19" t="s">
        <v>531</v>
      </c>
      <c r="I26" s="19">
        <v>6</v>
      </c>
      <c r="J26" s="115" t="s">
        <v>490</v>
      </c>
    </row>
    <row r="27" spans="1:10" x14ac:dyDescent="0.2">
      <c r="A27" s="133" t="s">
        <v>10</v>
      </c>
      <c r="B27" s="19" t="s">
        <v>324</v>
      </c>
      <c r="C27" s="612"/>
      <c r="D27" s="17">
        <v>44597</v>
      </c>
      <c r="E27" s="19" t="s">
        <v>428</v>
      </c>
      <c r="F27" s="19" t="s">
        <v>532</v>
      </c>
      <c r="G27" s="19"/>
      <c r="H27" s="19" t="s">
        <v>533</v>
      </c>
      <c r="I27" s="19">
        <v>3</v>
      </c>
      <c r="J27" s="115" t="s">
        <v>490</v>
      </c>
    </row>
    <row r="28" spans="1:10" x14ac:dyDescent="0.2">
      <c r="A28" s="133" t="s">
        <v>159</v>
      </c>
      <c r="B28" s="19" t="s">
        <v>137</v>
      </c>
      <c r="C28" s="612"/>
      <c r="D28" s="17">
        <v>44599</v>
      </c>
      <c r="E28" s="19" t="s">
        <v>534</v>
      </c>
      <c r="F28" s="19" t="s">
        <v>535</v>
      </c>
      <c r="G28" s="19"/>
      <c r="H28" s="19" t="s">
        <v>536</v>
      </c>
      <c r="I28" s="19">
        <v>3</v>
      </c>
      <c r="J28" s="115" t="s">
        <v>490</v>
      </c>
    </row>
    <row r="29" spans="1:10" x14ac:dyDescent="0.2">
      <c r="A29" s="133" t="s">
        <v>51</v>
      </c>
      <c r="B29" s="19" t="s">
        <v>52</v>
      </c>
      <c r="C29" s="612"/>
      <c r="D29" s="17">
        <v>44604</v>
      </c>
      <c r="E29" s="19" t="s">
        <v>537</v>
      </c>
      <c r="F29" s="19" t="s">
        <v>32</v>
      </c>
      <c r="G29" s="19" t="s">
        <v>538</v>
      </c>
      <c r="H29" s="19" t="s">
        <v>539</v>
      </c>
      <c r="I29" s="19">
        <v>6</v>
      </c>
      <c r="J29" s="115" t="s">
        <v>540</v>
      </c>
    </row>
    <row r="30" spans="1:10" x14ac:dyDescent="0.2">
      <c r="A30" s="133" t="s">
        <v>17</v>
      </c>
      <c r="B30" s="19" t="s">
        <v>24</v>
      </c>
      <c r="C30" s="612"/>
      <c r="D30" s="17">
        <v>44600</v>
      </c>
      <c r="E30" s="19" t="s">
        <v>493</v>
      </c>
      <c r="F30" s="19" t="s">
        <v>541</v>
      </c>
      <c r="G30" s="19"/>
      <c r="H30" s="19" t="s">
        <v>28</v>
      </c>
      <c r="I30" s="19">
        <v>1</v>
      </c>
      <c r="J30" s="115" t="s">
        <v>508</v>
      </c>
    </row>
    <row r="31" spans="1:10" x14ac:dyDescent="0.2">
      <c r="A31" s="133" t="s">
        <v>17</v>
      </c>
      <c r="B31" s="19" t="s">
        <v>24</v>
      </c>
      <c r="C31" s="612"/>
      <c r="D31" s="17">
        <v>44600</v>
      </c>
      <c r="E31" s="19" t="s">
        <v>493</v>
      </c>
      <c r="F31" s="19" t="s">
        <v>542</v>
      </c>
      <c r="G31" s="19"/>
      <c r="H31" s="19" t="s">
        <v>28</v>
      </c>
      <c r="I31" s="19">
        <v>2</v>
      </c>
      <c r="J31" s="115" t="s">
        <v>508</v>
      </c>
    </row>
    <row r="32" spans="1:10" x14ac:dyDescent="0.2">
      <c r="A32" s="133" t="s">
        <v>17</v>
      </c>
      <c r="B32" s="19" t="s">
        <v>24</v>
      </c>
      <c r="C32" s="612"/>
      <c r="D32" s="17">
        <v>44603</v>
      </c>
      <c r="E32" s="19" t="s">
        <v>498</v>
      </c>
      <c r="F32" s="19" t="s">
        <v>543</v>
      </c>
      <c r="G32" s="19"/>
      <c r="H32" s="19" t="s">
        <v>28</v>
      </c>
      <c r="I32" s="19">
        <v>1</v>
      </c>
      <c r="J32" s="115" t="s">
        <v>544</v>
      </c>
    </row>
    <row r="33" spans="1:10" x14ac:dyDescent="0.2">
      <c r="A33" s="133" t="s">
        <v>17</v>
      </c>
      <c r="B33" s="19" t="s">
        <v>24</v>
      </c>
      <c r="C33" s="612"/>
      <c r="D33" s="17" t="s">
        <v>2142</v>
      </c>
      <c r="E33" s="19" t="s">
        <v>498</v>
      </c>
      <c r="F33" s="19" t="s">
        <v>545</v>
      </c>
      <c r="G33" s="19"/>
      <c r="H33" s="19" t="s">
        <v>28</v>
      </c>
      <c r="I33" s="19">
        <v>1</v>
      </c>
      <c r="J33" s="115" t="s">
        <v>544</v>
      </c>
    </row>
    <row r="34" spans="1:10" x14ac:dyDescent="0.2">
      <c r="A34" s="133" t="s">
        <v>17</v>
      </c>
      <c r="B34" s="19" t="s">
        <v>24</v>
      </c>
      <c r="C34" s="612"/>
      <c r="D34" s="17">
        <v>44603</v>
      </c>
      <c r="E34" s="19" t="s">
        <v>498</v>
      </c>
      <c r="F34" s="19" t="s">
        <v>546</v>
      </c>
      <c r="G34" s="19"/>
      <c r="H34" s="19" t="s">
        <v>28</v>
      </c>
      <c r="I34" s="19">
        <v>1</v>
      </c>
      <c r="J34" s="115" t="s">
        <v>544</v>
      </c>
    </row>
    <row r="35" spans="1:10" x14ac:dyDescent="0.2">
      <c r="A35" s="133" t="s">
        <v>17</v>
      </c>
      <c r="B35" s="19" t="s">
        <v>24</v>
      </c>
      <c r="C35" s="612"/>
      <c r="D35" s="17">
        <v>44599</v>
      </c>
      <c r="E35" s="19" t="s">
        <v>486</v>
      </c>
      <c r="F35" s="19" t="s">
        <v>547</v>
      </c>
      <c r="G35" s="19"/>
      <c r="H35" s="19" t="s">
        <v>24</v>
      </c>
      <c r="I35" s="19">
        <v>1</v>
      </c>
      <c r="J35" s="115" t="s">
        <v>544</v>
      </c>
    </row>
    <row r="36" spans="1:10" x14ac:dyDescent="0.2">
      <c r="A36" s="133" t="s">
        <v>17</v>
      </c>
      <c r="B36" s="19" t="s">
        <v>24</v>
      </c>
      <c r="C36" s="612"/>
      <c r="D36" s="17">
        <v>44599</v>
      </c>
      <c r="E36" s="19" t="s">
        <v>486</v>
      </c>
      <c r="F36" s="19" t="s">
        <v>548</v>
      </c>
      <c r="G36" s="19"/>
      <c r="H36" s="19" t="s">
        <v>28</v>
      </c>
      <c r="I36" s="19">
        <v>1</v>
      </c>
      <c r="J36" s="115" t="s">
        <v>544</v>
      </c>
    </row>
    <row r="37" spans="1:10" x14ac:dyDescent="0.2">
      <c r="A37" s="133" t="s">
        <v>17</v>
      </c>
      <c r="B37" s="19" t="s">
        <v>24</v>
      </c>
      <c r="C37" s="612"/>
      <c r="D37" s="17">
        <v>44607</v>
      </c>
      <c r="E37" s="19" t="s">
        <v>549</v>
      </c>
      <c r="F37" s="19" t="s">
        <v>551</v>
      </c>
      <c r="G37" s="19"/>
      <c r="H37" s="19" t="s">
        <v>28</v>
      </c>
      <c r="I37" s="19">
        <v>1</v>
      </c>
      <c r="J37" s="115" t="s">
        <v>544</v>
      </c>
    </row>
    <row r="38" spans="1:10" x14ac:dyDescent="0.2">
      <c r="A38" s="133" t="s">
        <v>17</v>
      </c>
      <c r="B38" s="19" t="s">
        <v>24</v>
      </c>
      <c r="C38" s="612"/>
      <c r="D38" s="17">
        <v>44607</v>
      </c>
      <c r="E38" s="19" t="s">
        <v>549</v>
      </c>
      <c r="F38" s="19" t="s">
        <v>552</v>
      </c>
      <c r="G38" s="19"/>
      <c r="H38" s="19" t="s">
        <v>28</v>
      </c>
      <c r="I38" s="19">
        <v>1</v>
      </c>
      <c r="J38" s="115" t="s">
        <v>544</v>
      </c>
    </row>
    <row r="39" spans="1:10" x14ac:dyDescent="0.2">
      <c r="A39" s="133" t="s">
        <v>17</v>
      </c>
      <c r="B39" s="19" t="s">
        <v>24</v>
      </c>
      <c r="C39" s="612"/>
      <c r="D39" s="17">
        <v>44607</v>
      </c>
      <c r="E39" s="19" t="s">
        <v>549</v>
      </c>
      <c r="F39" s="19" t="s">
        <v>553</v>
      </c>
      <c r="G39" s="19"/>
      <c r="H39" s="19" t="s">
        <v>554</v>
      </c>
      <c r="I39" s="19">
        <v>1</v>
      </c>
      <c r="J39" s="115" t="s">
        <v>544</v>
      </c>
    </row>
    <row r="40" spans="1:10" x14ac:dyDescent="0.2">
      <c r="A40" s="133" t="s">
        <v>35</v>
      </c>
      <c r="B40" s="19" t="s">
        <v>137</v>
      </c>
      <c r="C40" s="612"/>
      <c r="D40" s="17">
        <v>44608</v>
      </c>
      <c r="E40" s="19" t="s">
        <v>72</v>
      </c>
      <c r="F40" s="19" t="s">
        <v>555</v>
      </c>
      <c r="G40" s="19" t="s">
        <v>381</v>
      </c>
      <c r="H40" s="19" t="s">
        <v>556</v>
      </c>
      <c r="I40" s="19">
        <v>4</v>
      </c>
      <c r="J40" s="115" t="s">
        <v>525</v>
      </c>
    </row>
    <row r="41" spans="1:10" x14ac:dyDescent="0.2">
      <c r="A41" s="133" t="s">
        <v>146</v>
      </c>
      <c r="B41" s="19" t="s">
        <v>11</v>
      </c>
      <c r="C41" s="612"/>
      <c r="D41" s="17">
        <v>44614</v>
      </c>
      <c r="E41" s="19" t="s">
        <v>557</v>
      </c>
      <c r="F41" s="19" t="s">
        <v>558</v>
      </c>
      <c r="G41" s="19" t="s">
        <v>559</v>
      </c>
      <c r="H41" s="19" t="s">
        <v>560</v>
      </c>
      <c r="I41" s="19">
        <v>5</v>
      </c>
      <c r="J41" s="115" t="s">
        <v>490</v>
      </c>
    </row>
    <row r="42" spans="1:10" x14ac:dyDescent="0.2">
      <c r="A42" s="133" t="s">
        <v>35</v>
      </c>
      <c r="B42" s="19" t="s">
        <v>2164</v>
      </c>
      <c r="C42" s="612"/>
      <c r="D42" s="17">
        <v>44595</v>
      </c>
      <c r="E42" s="19">
        <v>0</v>
      </c>
      <c r="F42" s="19" t="s">
        <v>562</v>
      </c>
      <c r="G42" s="19"/>
      <c r="H42" s="19" t="s">
        <v>563</v>
      </c>
      <c r="I42" s="19">
        <v>1</v>
      </c>
      <c r="J42" s="115" t="s">
        <v>167</v>
      </c>
    </row>
    <row r="43" spans="1:10" x14ac:dyDescent="0.2">
      <c r="A43" s="133" t="s">
        <v>17</v>
      </c>
      <c r="B43" s="19" t="s">
        <v>24</v>
      </c>
      <c r="C43" s="612"/>
      <c r="D43" s="17">
        <v>44595</v>
      </c>
      <c r="E43" s="19" t="s">
        <v>486</v>
      </c>
      <c r="F43" s="19" t="s">
        <v>564</v>
      </c>
      <c r="G43" s="19"/>
      <c r="H43" s="19" t="s">
        <v>28</v>
      </c>
      <c r="I43" s="19">
        <v>1</v>
      </c>
      <c r="J43" s="115" t="s">
        <v>544</v>
      </c>
    </row>
    <row r="44" spans="1:10" x14ac:dyDescent="0.2">
      <c r="A44" s="133" t="s">
        <v>17</v>
      </c>
      <c r="B44" s="19" t="s">
        <v>24</v>
      </c>
      <c r="C44" s="612"/>
      <c r="D44" s="17">
        <v>44595</v>
      </c>
      <c r="E44" s="19" t="s">
        <v>486</v>
      </c>
      <c r="F44" s="19" t="s">
        <v>565</v>
      </c>
      <c r="G44" s="19"/>
      <c r="H44" s="19" t="s">
        <v>28</v>
      </c>
      <c r="I44" s="19">
        <v>1</v>
      </c>
      <c r="J44" s="115" t="s">
        <v>544</v>
      </c>
    </row>
    <row r="45" spans="1:10" x14ac:dyDescent="0.2">
      <c r="A45" s="133" t="s">
        <v>35</v>
      </c>
      <c r="B45" s="19" t="s">
        <v>137</v>
      </c>
      <c r="C45" s="612"/>
      <c r="D45" s="17">
        <v>44601</v>
      </c>
      <c r="E45" s="19" t="s">
        <v>566</v>
      </c>
      <c r="F45" s="19" t="s">
        <v>567</v>
      </c>
      <c r="G45" s="19"/>
      <c r="H45" s="19" t="s">
        <v>568</v>
      </c>
      <c r="I45" s="19">
        <v>5</v>
      </c>
      <c r="J45" s="115" t="s">
        <v>490</v>
      </c>
    </row>
    <row r="46" spans="1:10" x14ac:dyDescent="0.2">
      <c r="A46" s="133" t="s">
        <v>17</v>
      </c>
      <c r="B46" s="19" t="s">
        <v>24</v>
      </c>
      <c r="C46" s="612"/>
      <c r="D46" s="17">
        <v>44606</v>
      </c>
      <c r="E46" s="19" t="s">
        <v>549</v>
      </c>
      <c r="F46" s="19" t="s">
        <v>569</v>
      </c>
      <c r="G46" s="19"/>
      <c r="H46" s="19" t="s">
        <v>28</v>
      </c>
      <c r="I46" s="19">
        <v>1</v>
      </c>
      <c r="J46" s="115" t="s">
        <v>544</v>
      </c>
    </row>
    <row r="47" spans="1:10" x14ac:dyDescent="0.2">
      <c r="A47" s="133" t="s">
        <v>17</v>
      </c>
      <c r="B47" s="19" t="s">
        <v>24</v>
      </c>
      <c r="C47" s="612"/>
      <c r="D47" s="17">
        <v>44606</v>
      </c>
      <c r="E47" s="19" t="s">
        <v>549</v>
      </c>
      <c r="F47" s="19" t="s">
        <v>570</v>
      </c>
      <c r="G47" s="19"/>
      <c r="H47" s="19" t="s">
        <v>28</v>
      </c>
      <c r="I47" s="19">
        <v>1</v>
      </c>
      <c r="J47" s="115" t="s">
        <v>544</v>
      </c>
    </row>
    <row r="48" spans="1:10" x14ac:dyDescent="0.2">
      <c r="A48" s="133" t="s">
        <v>17</v>
      </c>
      <c r="B48" s="19" t="s">
        <v>24</v>
      </c>
      <c r="C48" s="612"/>
      <c r="D48" s="17">
        <v>44606</v>
      </c>
      <c r="E48" s="19" t="s">
        <v>549</v>
      </c>
      <c r="F48" s="19" t="s">
        <v>571</v>
      </c>
      <c r="G48" s="19"/>
      <c r="H48" s="19" t="s">
        <v>28</v>
      </c>
      <c r="I48" s="19">
        <v>1</v>
      </c>
      <c r="J48" s="115" t="s">
        <v>544</v>
      </c>
    </row>
    <row r="49" spans="1:10" x14ac:dyDescent="0.2">
      <c r="A49" s="133" t="s">
        <v>35</v>
      </c>
      <c r="B49" s="19" t="s">
        <v>24</v>
      </c>
      <c r="C49" s="612"/>
      <c r="D49" s="17">
        <v>44607</v>
      </c>
      <c r="E49" s="19" t="s">
        <v>493</v>
      </c>
      <c r="F49" s="19" t="s">
        <v>572</v>
      </c>
      <c r="G49" s="19"/>
      <c r="H49" s="19" t="s">
        <v>573</v>
      </c>
      <c r="I49" s="19">
        <v>2</v>
      </c>
      <c r="J49" s="115" t="s">
        <v>490</v>
      </c>
    </row>
    <row r="50" spans="1:10" x14ac:dyDescent="0.2">
      <c r="A50" s="133" t="s">
        <v>10</v>
      </c>
      <c r="B50" s="19" t="s">
        <v>29</v>
      </c>
      <c r="C50" s="612"/>
      <c r="D50" s="17">
        <v>44610</v>
      </c>
      <c r="E50" s="19" t="s">
        <v>549</v>
      </c>
      <c r="F50" s="19" t="s">
        <v>574</v>
      </c>
      <c r="G50" s="19"/>
      <c r="H50" s="19" t="s">
        <v>575</v>
      </c>
      <c r="I50" s="19">
        <v>3</v>
      </c>
      <c r="J50" s="115" t="s">
        <v>508</v>
      </c>
    </row>
    <row r="51" spans="1:10" x14ac:dyDescent="0.2">
      <c r="A51" s="133" t="s">
        <v>35</v>
      </c>
      <c r="B51" s="19" t="s">
        <v>2164</v>
      </c>
      <c r="C51" s="612"/>
      <c r="D51" s="17">
        <v>44612</v>
      </c>
      <c r="E51" s="19" t="s">
        <v>549</v>
      </c>
      <c r="F51" s="19" t="s">
        <v>576</v>
      </c>
      <c r="G51" s="19"/>
      <c r="H51" s="19" t="s">
        <v>577</v>
      </c>
      <c r="I51" s="19">
        <v>11</v>
      </c>
      <c r="J51" s="115" t="s">
        <v>510</v>
      </c>
    </row>
    <row r="52" spans="1:10" x14ac:dyDescent="0.2">
      <c r="A52" s="133" t="s">
        <v>10</v>
      </c>
      <c r="B52" s="19" t="s">
        <v>312</v>
      </c>
      <c r="C52" s="612"/>
      <c r="D52" s="17">
        <v>44614</v>
      </c>
      <c r="E52" s="19" t="s">
        <v>486</v>
      </c>
      <c r="F52" s="19" t="s">
        <v>578</v>
      </c>
      <c r="G52" s="19"/>
      <c r="H52" s="19" t="s">
        <v>579</v>
      </c>
      <c r="I52" s="19">
        <v>1</v>
      </c>
      <c r="J52" s="115" t="s">
        <v>10</v>
      </c>
    </row>
    <row r="53" spans="1:10" x14ac:dyDescent="0.2">
      <c r="A53" s="133" t="s">
        <v>10</v>
      </c>
      <c r="B53" s="19" t="s">
        <v>29</v>
      </c>
      <c r="C53" s="612"/>
      <c r="D53" s="17">
        <v>44615</v>
      </c>
      <c r="E53" s="19" t="s">
        <v>493</v>
      </c>
      <c r="F53" s="19" t="s">
        <v>580</v>
      </c>
      <c r="G53" s="19"/>
      <c r="H53" s="19" t="s">
        <v>581</v>
      </c>
      <c r="I53" s="19">
        <v>2</v>
      </c>
      <c r="J53" s="115" t="s">
        <v>508</v>
      </c>
    </row>
    <row r="54" spans="1:10" x14ac:dyDescent="0.2">
      <c r="A54" s="133" t="s">
        <v>10</v>
      </c>
      <c r="B54" s="19" t="s">
        <v>2162</v>
      </c>
      <c r="C54" s="613"/>
      <c r="D54" s="17">
        <v>44616</v>
      </c>
      <c r="E54" s="19" t="s">
        <v>493</v>
      </c>
      <c r="F54" s="19" t="s">
        <v>582</v>
      </c>
      <c r="G54" s="19"/>
      <c r="H54" s="19" t="s">
        <v>583</v>
      </c>
      <c r="I54" s="19">
        <v>3</v>
      </c>
      <c r="J54" s="115" t="s">
        <v>490</v>
      </c>
    </row>
    <row r="55" spans="1:10" ht="13.6" x14ac:dyDescent="0.2">
      <c r="A55" s="118" t="s">
        <v>321</v>
      </c>
      <c r="B55" s="27"/>
      <c r="C55" s="27"/>
      <c r="D55" s="28"/>
      <c r="E55" s="27"/>
      <c r="F55" s="27"/>
      <c r="G55" s="27"/>
      <c r="H55" s="27"/>
      <c r="I55" s="27"/>
      <c r="J55" s="119"/>
    </row>
    <row r="56" spans="1:10" x14ac:dyDescent="0.2">
      <c r="A56" s="133" t="s">
        <v>51</v>
      </c>
      <c r="B56" s="19" t="s">
        <v>11</v>
      </c>
      <c r="C56" s="617">
        <f>COUNTIF(B56:B87,C2)</f>
        <v>1</v>
      </c>
      <c r="D56" s="17">
        <v>44627</v>
      </c>
      <c r="E56" s="19" t="s">
        <v>91</v>
      </c>
      <c r="F56" s="19" t="s">
        <v>584</v>
      </c>
      <c r="G56" s="19" t="s">
        <v>585</v>
      </c>
      <c r="H56" s="19" t="s">
        <v>586</v>
      </c>
      <c r="I56" s="19">
        <v>2</v>
      </c>
      <c r="J56" s="115" t="s">
        <v>490</v>
      </c>
    </row>
    <row r="57" spans="1:10" x14ac:dyDescent="0.2">
      <c r="A57" s="133" t="s">
        <v>51</v>
      </c>
      <c r="B57" s="19" t="s">
        <v>52</v>
      </c>
      <c r="C57" s="618"/>
      <c r="D57" s="17">
        <v>44636</v>
      </c>
      <c r="E57" s="19" t="s">
        <v>587</v>
      </c>
      <c r="F57" s="19" t="s">
        <v>588</v>
      </c>
      <c r="G57" s="19" t="s">
        <v>589</v>
      </c>
      <c r="H57" s="19" t="s">
        <v>590</v>
      </c>
      <c r="I57" s="19">
        <v>7</v>
      </c>
      <c r="J57" s="115" t="s">
        <v>487</v>
      </c>
    </row>
    <row r="58" spans="1:10" x14ac:dyDescent="0.2">
      <c r="A58" s="133" t="s">
        <v>35</v>
      </c>
      <c r="B58" s="19" t="s">
        <v>137</v>
      </c>
      <c r="C58" s="618"/>
      <c r="D58" s="17">
        <v>44636</v>
      </c>
      <c r="E58" s="19" t="s">
        <v>591</v>
      </c>
      <c r="F58" s="19" t="s">
        <v>592</v>
      </c>
      <c r="G58" s="19" t="s">
        <v>593</v>
      </c>
      <c r="H58" s="19" t="s">
        <v>594</v>
      </c>
      <c r="I58" s="19">
        <v>6</v>
      </c>
      <c r="J58" s="115" t="s">
        <v>513</v>
      </c>
    </row>
    <row r="59" spans="1:10" x14ac:dyDescent="0.2">
      <c r="A59" s="133" t="s">
        <v>10</v>
      </c>
      <c r="B59" s="19" t="s">
        <v>29</v>
      </c>
      <c r="C59" s="618"/>
      <c r="D59" s="17">
        <v>44636</v>
      </c>
      <c r="E59" s="19" t="s">
        <v>595</v>
      </c>
      <c r="F59" s="19" t="s">
        <v>596</v>
      </c>
      <c r="G59" s="19" t="s">
        <v>597</v>
      </c>
      <c r="H59" s="19" t="s">
        <v>598</v>
      </c>
      <c r="I59" s="19">
        <v>4</v>
      </c>
      <c r="J59" s="115" t="s">
        <v>599</v>
      </c>
    </row>
    <row r="60" spans="1:10" x14ac:dyDescent="0.2">
      <c r="A60" s="133" t="s">
        <v>51</v>
      </c>
      <c r="B60" s="19" t="s">
        <v>481</v>
      </c>
      <c r="C60" s="618"/>
      <c r="D60" s="17">
        <v>44635</v>
      </c>
      <c r="E60" s="19" t="s">
        <v>600</v>
      </c>
      <c r="F60" s="19" t="s">
        <v>601</v>
      </c>
      <c r="G60" s="19" t="s">
        <v>602</v>
      </c>
      <c r="H60" s="19" t="s">
        <v>603</v>
      </c>
      <c r="I60" s="19">
        <v>9</v>
      </c>
      <c r="J60" s="115" t="s">
        <v>604</v>
      </c>
    </row>
    <row r="61" spans="1:10" x14ac:dyDescent="0.2">
      <c r="A61" s="133" t="s">
        <v>35</v>
      </c>
      <c r="B61" s="19" t="s">
        <v>137</v>
      </c>
      <c r="C61" s="618"/>
      <c r="D61" s="17">
        <v>44635</v>
      </c>
      <c r="E61" s="19" t="s">
        <v>605</v>
      </c>
      <c r="F61" s="19" t="s">
        <v>606</v>
      </c>
      <c r="G61" s="19" t="s">
        <v>607</v>
      </c>
      <c r="H61" s="19" t="s">
        <v>608</v>
      </c>
      <c r="I61" s="19">
        <v>4</v>
      </c>
      <c r="J61" s="115" t="s">
        <v>525</v>
      </c>
    </row>
    <row r="62" spans="1:10" x14ac:dyDescent="0.2">
      <c r="A62" s="133" t="s">
        <v>10</v>
      </c>
      <c r="B62" s="19" t="s">
        <v>324</v>
      </c>
      <c r="C62" s="618"/>
      <c r="D62" s="17">
        <v>44637</v>
      </c>
      <c r="E62" s="19" t="s">
        <v>609</v>
      </c>
      <c r="F62" s="19" t="s">
        <v>610</v>
      </c>
      <c r="G62" s="19" t="s">
        <v>611</v>
      </c>
      <c r="H62" s="19" t="s">
        <v>612</v>
      </c>
      <c r="I62" s="19">
        <v>3</v>
      </c>
      <c r="J62" s="115" t="s">
        <v>490</v>
      </c>
    </row>
    <row r="63" spans="1:10" x14ac:dyDescent="0.2">
      <c r="A63" s="133" t="s">
        <v>10</v>
      </c>
      <c r="B63" s="19" t="s">
        <v>29</v>
      </c>
      <c r="C63" s="618"/>
      <c r="D63" s="17">
        <v>44643</v>
      </c>
      <c r="E63" s="19" t="s">
        <v>240</v>
      </c>
      <c r="F63" s="19" t="s">
        <v>613</v>
      </c>
      <c r="G63" s="19" t="s">
        <v>390</v>
      </c>
      <c r="H63" s="19" t="s">
        <v>614</v>
      </c>
      <c r="I63" s="19">
        <v>2</v>
      </c>
      <c r="J63" s="115" t="s">
        <v>525</v>
      </c>
    </row>
    <row r="64" spans="1:10" x14ac:dyDescent="0.2">
      <c r="A64" s="133" t="s">
        <v>10</v>
      </c>
      <c r="B64" s="19" t="s">
        <v>324</v>
      </c>
      <c r="C64" s="618"/>
      <c r="D64" s="17">
        <v>44648</v>
      </c>
      <c r="E64" s="19" t="s">
        <v>522</v>
      </c>
      <c r="F64" s="19" t="s">
        <v>615</v>
      </c>
      <c r="G64" s="19" t="s">
        <v>95</v>
      </c>
      <c r="H64" s="19" t="s">
        <v>616</v>
      </c>
      <c r="I64" s="19">
        <v>3</v>
      </c>
      <c r="J64" s="115" t="s">
        <v>599</v>
      </c>
    </row>
    <row r="65" spans="1:10" x14ac:dyDescent="0.2">
      <c r="A65" s="133" t="s">
        <v>17</v>
      </c>
      <c r="B65" s="19" t="s">
        <v>24</v>
      </c>
      <c r="C65" s="618"/>
      <c r="D65" s="17">
        <v>44622</v>
      </c>
      <c r="E65" s="19" t="s">
        <v>619</v>
      </c>
      <c r="F65" s="19" t="s">
        <v>620</v>
      </c>
      <c r="G65" s="19"/>
      <c r="H65" s="19" t="s">
        <v>621</v>
      </c>
      <c r="I65" s="19">
        <v>1</v>
      </c>
      <c r="J65" s="115" t="s">
        <v>544</v>
      </c>
    </row>
    <row r="66" spans="1:10" x14ac:dyDescent="0.2">
      <c r="A66" s="133" t="s">
        <v>17</v>
      </c>
      <c r="B66" s="19" t="s">
        <v>24</v>
      </c>
      <c r="C66" s="618"/>
      <c r="D66" s="17">
        <v>44624</v>
      </c>
      <c r="E66" s="19" t="s">
        <v>45</v>
      </c>
      <c r="F66" s="19" t="s">
        <v>622</v>
      </c>
      <c r="G66" s="19"/>
      <c r="H66" s="19" t="s">
        <v>623</v>
      </c>
      <c r="I66" s="19">
        <v>1</v>
      </c>
      <c r="J66" s="115" t="s">
        <v>544</v>
      </c>
    </row>
    <row r="67" spans="1:10" x14ac:dyDescent="0.2">
      <c r="A67" s="133" t="s">
        <v>17</v>
      </c>
      <c r="B67" s="19" t="s">
        <v>24</v>
      </c>
      <c r="C67" s="618"/>
      <c r="D67" s="17">
        <v>44624</v>
      </c>
      <c r="E67" s="19" t="s">
        <v>624</v>
      </c>
      <c r="F67" s="19" t="s">
        <v>625</v>
      </c>
      <c r="G67" s="19"/>
      <c r="H67" s="19" t="s">
        <v>626</v>
      </c>
      <c r="I67" s="19">
        <v>1</v>
      </c>
      <c r="J67" s="115" t="s">
        <v>544</v>
      </c>
    </row>
    <row r="68" spans="1:10" x14ac:dyDescent="0.2">
      <c r="A68" s="133" t="s">
        <v>10</v>
      </c>
      <c r="B68" s="19" t="s">
        <v>2162</v>
      </c>
      <c r="C68" s="618"/>
      <c r="D68" s="17">
        <v>44625</v>
      </c>
      <c r="E68" s="19" t="s">
        <v>619</v>
      </c>
      <c r="F68" s="19" t="s">
        <v>627</v>
      </c>
      <c r="G68" s="19" t="s">
        <v>628</v>
      </c>
      <c r="H68" s="19" t="s">
        <v>629</v>
      </c>
      <c r="I68" s="19">
        <v>4</v>
      </c>
      <c r="J68" s="115" t="s">
        <v>525</v>
      </c>
    </row>
    <row r="69" spans="1:10" x14ac:dyDescent="0.2">
      <c r="A69" s="133" t="s">
        <v>159</v>
      </c>
      <c r="B69" s="19" t="s">
        <v>137</v>
      </c>
      <c r="C69" s="618"/>
      <c r="D69" s="17">
        <v>44628</v>
      </c>
      <c r="E69" s="19" t="s">
        <v>164</v>
      </c>
      <c r="F69" s="19" t="s">
        <v>630</v>
      </c>
      <c r="G69" s="19"/>
      <c r="H69" s="19" t="s">
        <v>631</v>
      </c>
      <c r="I69" s="19">
        <v>5</v>
      </c>
      <c r="J69" s="115" t="s">
        <v>525</v>
      </c>
    </row>
    <row r="70" spans="1:10" x14ac:dyDescent="0.2">
      <c r="A70" s="133" t="s">
        <v>10</v>
      </c>
      <c r="B70" s="19" t="s">
        <v>324</v>
      </c>
      <c r="C70" s="618"/>
      <c r="D70" s="17">
        <v>44627</v>
      </c>
      <c r="E70" s="19" t="s">
        <v>215</v>
      </c>
      <c r="F70" s="19" t="s">
        <v>632</v>
      </c>
      <c r="G70" s="19"/>
      <c r="H70" s="19" t="s">
        <v>633</v>
      </c>
      <c r="I70" s="19">
        <v>7</v>
      </c>
      <c r="J70" s="115" t="s">
        <v>513</v>
      </c>
    </row>
    <row r="71" spans="1:10" x14ac:dyDescent="0.2">
      <c r="A71" s="133" t="s">
        <v>10</v>
      </c>
      <c r="B71" s="19" t="s">
        <v>324</v>
      </c>
      <c r="C71" s="618"/>
      <c r="D71" s="17">
        <v>44648</v>
      </c>
      <c r="E71" s="19" t="s">
        <v>57</v>
      </c>
      <c r="F71" s="19" t="s">
        <v>634</v>
      </c>
      <c r="G71" s="19"/>
      <c r="H71" s="19" t="s">
        <v>635</v>
      </c>
      <c r="I71" s="19">
        <v>3</v>
      </c>
      <c r="J71" s="115" t="s">
        <v>599</v>
      </c>
    </row>
    <row r="72" spans="1:10" x14ac:dyDescent="0.2">
      <c r="A72" s="133" t="s">
        <v>35</v>
      </c>
      <c r="B72" s="19" t="s">
        <v>2164</v>
      </c>
      <c r="C72" s="618"/>
      <c r="D72" s="17">
        <v>44651</v>
      </c>
      <c r="E72" s="19" t="s">
        <v>57</v>
      </c>
      <c r="F72" s="19" t="s">
        <v>636</v>
      </c>
      <c r="G72" s="19"/>
      <c r="H72" s="19" t="s">
        <v>637</v>
      </c>
      <c r="I72" s="19">
        <v>2</v>
      </c>
      <c r="J72" s="115" t="s">
        <v>490</v>
      </c>
    </row>
    <row r="73" spans="1:10" x14ac:dyDescent="0.2">
      <c r="A73" s="133" t="s">
        <v>51</v>
      </c>
      <c r="B73" s="19" t="s">
        <v>244</v>
      </c>
      <c r="C73" s="618"/>
      <c r="D73" s="17">
        <v>44647</v>
      </c>
      <c r="E73" s="19" t="s">
        <v>57</v>
      </c>
      <c r="F73" s="19" t="s">
        <v>638</v>
      </c>
      <c r="G73" s="19"/>
      <c r="H73" s="19" t="s">
        <v>639</v>
      </c>
      <c r="I73" s="19">
        <v>2</v>
      </c>
      <c r="J73" s="115" t="s">
        <v>10</v>
      </c>
    </row>
    <row r="74" spans="1:10" x14ac:dyDescent="0.2">
      <c r="A74" s="133" t="s">
        <v>10</v>
      </c>
      <c r="B74" s="19" t="s">
        <v>29</v>
      </c>
      <c r="C74" s="618"/>
      <c r="D74" s="17">
        <v>44631</v>
      </c>
      <c r="E74" s="19" t="s">
        <v>388</v>
      </c>
      <c r="F74" s="19" t="s">
        <v>640</v>
      </c>
      <c r="G74" s="19" t="s">
        <v>242</v>
      </c>
      <c r="H74" s="19" t="s">
        <v>641</v>
      </c>
      <c r="I74" s="19">
        <v>3</v>
      </c>
      <c r="J74" s="115" t="s">
        <v>525</v>
      </c>
    </row>
    <row r="75" spans="1:10" x14ac:dyDescent="0.2">
      <c r="A75" s="133" t="s">
        <v>10</v>
      </c>
      <c r="B75" s="19" t="s">
        <v>2162</v>
      </c>
      <c r="C75" s="618"/>
      <c r="D75" s="17">
        <v>44628</v>
      </c>
      <c r="E75" s="19" t="s">
        <v>498</v>
      </c>
      <c r="F75" s="19" t="s">
        <v>646</v>
      </c>
      <c r="G75" s="19"/>
      <c r="H75" s="19" t="s">
        <v>647</v>
      </c>
      <c r="I75" s="19">
        <v>5</v>
      </c>
      <c r="J75" s="115" t="s">
        <v>508</v>
      </c>
    </row>
    <row r="76" spans="1:10" x14ac:dyDescent="0.2">
      <c r="A76" s="133" t="s">
        <v>35</v>
      </c>
      <c r="B76" s="19" t="s">
        <v>2164</v>
      </c>
      <c r="C76" s="618"/>
      <c r="D76" s="17">
        <v>44634</v>
      </c>
      <c r="E76" s="19" t="s">
        <v>486</v>
      </c>
      <c r="F76" s="19" t="s">
        <v>648</v>
      </c>
      <c r="G76" s="19"/>
      <c r="H76" s="19" t="s">
        <v>649</v>
      </c>
      <c r="I76" s="19">
        <v>4</v>
      </c>
      <c r="J76" s="115" t="s">
        <v>525</v>
      </c>
    </row>
    <row r="77" spans="1:10" x14ac:dyDescent="0.2">
      <c r="A77" s="133" t="s">
        <v>51</v>
      </c>
      <c r="B77" s="19" t="s">
        <v>481</v>
      </c>
      <c r="C77" s="618"/>
      <c r="D77" s="17">
        <v>44635</v>
      </c>
      <c r="E77" s="19" t="s">
        <v>486</v>
      </c>
      <c r="F77" s="19" t="s">
        <v>650</v>
      </c>
      <c r="G77" s="19"/>
      <c r="H77" s="19" t="s">
        <v>651</v>
      </c>
      <c r="I77" s="19">
        <v>11</v>
      </c>
      <c r="J77" s="115" t="s">
        <v>604</v>
      </c>
    </row>
    <row r="78" spans="1:10" x14ac:dyDescent="0.2">
      <c r="A78" s="133" t="s">
        <v>10</v>
      </c>
      <c r="B78" s="19" t="s">
        <v>451</v>
      </c>
      <c r="C78" s="618"/>
      <c r="D78" s="17">
        <v>44640</v>
      </c>
      <c r="E78" s="19" t="s">
        <v>534</v>
      </c>
      <c r="F78" s="19" t="s">
        <v>652</v>
      </c>
      <c r="G78" s="19"/>
      <c r="H78" s="19" t="s">
        <v>653</v>
      </c>
      <c r="I78" s="19">
        <v>2</v>
      </c>
      <c r="J78" s="115" t="s">
        <v>490</v>
      </c>
    </row>
    <row r="79" spans="1:10" x14ac:dyDescent="0.2">
      <c r="A79" s="133" t="s">
        <v>10</v>
      </c>
      <c r="B79" s="19" t="s">
        <v>2161</v>
      </c>
      <c r="C79" s="618"/>
      <c r="D79" s="17">
        <v>44643</v>
      </c>
      <c r="E79" s="19" t="s">
        <v>486</v>
      </c>
      <c r="F79" s="19" t="s">
        <v>654</v>
      </c>
      <c r="G79" s="19" t="s">
        <v>654</v>
      </c>
      <c r="H79" s="19" t="s">
        <v>655</v>
      </c>
      <c r="I79" s="19">
        <v>5</v>
      </c>
      <c r="J79" s="115" t="s">
        <v>490</v>
      </c>
    </row>
    <row r="80" spans="1:10" x14ac:dyDescent="0.2">
      <c r="A80" s="133" t="s">
        <v>10</v>
      </c>
      <c r="B80" s="19" t="s">
        <v>656</v>
      </c>
      <c r="C80" s="618"/>
      <c r="D80" s="17">
        <v>44645</v>
      </c>
      <c r="E80" s="19" t="s">
        <v>657</v>
      </c>
      <c r="F80" s="19" t="s">
        <v>658</v>
      </c>
      <c r="G80" s="19"/>
      <c r="H80" s="19" t="s">
        <v>659</v>
      </c>
      <c r="I80" s="19">
        <v>1</v>
      </c>
      <c r="J80" s="115" t="s">
        <v>544</v>
      </c>
    </row>
    <row r="81" spans="1:10" x14ac:dyDescent="0.2">
      <c r="A81" s="133" t="s">
        <v>10</v>
      </c>
      <c r="B81" s="19" t="s">
        <v>11</v>
      </c>
      <c r="C81" s="618"/>
      <c r="D81" s="17">
        <v>44645</v>
      </c>
      <c r="E81" s="19" t="s">
        <v>486</v>
      </c>
      <c r="F81" s="19" t="s">
        <v>660</v>
      </c>
      <c r="G81" s="19"/>
      <c r="H81" s="19" t="s">
        <v>661</v>
      </c>
      <c r="I81" s="19">
        <v>3</v>
      </c>
      <c r="J81" s="115" t="s">
        <v>490</v>
      </c>
    </row>
    <row r="82" spans="1:10" x14ac:dyDescent="0.2">
      <c r="A82" s="133" t="s">
        <v>10</v>
      </c>
      <c r="B82" s="19" t="s">
        <v>324</v>
      </c>
      <c r="C82" s="618"/>
      <c r="D82" s="17">
        <v>44647</v>
      </c>
      <c r="E82" s="19" t="s">
        <v>534</v>
      </c>
      <c r="F82" s="19" t="s">
        <v>662</v>
      </c>
      <c r="G82" s="19"/>
      <c r="H82" s="19" t="s">
        <v>663</v>
      </c>
      <c r="I82" s="19">
        <v>3</v>
      </c>
      <c r="J82" s="115" t="s">
        <v>490</v>
      </c>
    </row>
    <row r="83" spans="1:10" x14ac:dyDescent="0.2">
      <c r="A83" s="133" t="s">
        <v>10</v>
      </c>
      <c r="B83" s="19" t="s">
        <v>324</v>
      </c>
      <c r="C83" s="618"/>
      <c r="D83" s="17">
        <v>44647</v>
      </c>
      <c r="E83" s="19" t="s">
        <v>486</v>
      </c>
      <c r="F83" s="19" t="s">
        <v>664</v>
      </c>
      <c r="G83" s="19"/>
      <c r="H83" s="19" t="s">
        <v>665</v>
      </c>
      <c r="I83" s="19">
        <v>2</v>
      </c>
      <c r="J83" s="115" t="s">
        <v>490</v>
      </c>
    </row>
    <row r="84" spans="1:10" x14ac:dyDescent="0.2">
      <c r="A84" s="133" t="s">
        <v>10</v>
      </c>
      <c r="B84" s="19" t="s">
        <v>324</v>
      </c>
      <c r="C84" s="618"/>
      <c r="D84" s="17">
        <v>44647</v>
      </c>
      <c r="E84" s="19" t="s">
        <v>493</v>
      </c>
      <c r="F84" s="19" t="s">
        <v>666</v>
      </c>
      <c r="G84" s="19"/>
      <c r="H84" s="19" t="s">
        <v>667</v>
      </c>
      <c r="I84" s="19">
        <v>3</v>
      </c>
      <c r="J84" s="115" t="s">
        <v>490</v>
      </c>
    </row>
    <row r="85" spans="1:10" x14ac:dyDescent="0.2">
      <c r="A85" s="133" t="s">
        <v>10</v>
      </c>
      <c r="B85" s="19" t="s">
        <v>244</v>
      </c>
      <c r="C85" s="618"/>
      <c r="D85" s="17">
        <v>44647</v>
      </c>
      <c r="E85" s="19" t="s">
        <v>534</v>
      </c>
      <c r="F85" s="19" t="s">
        <v>139</v>
      </c>
      <c r="G85" s="19"/>
      <c r="H85" s="19" t="s">
        <v>668</v>
      </c>
      <c r="I85" s="19">
        <v>5</v>
      </c>
      <c r="J85" s="115" t="s">
        <v>10</v>
      </c>
    </row>
    <row r="86" spans="1:10" x14ac:dyDescent="0.2">
      <c r="A86" s="133" t="s">
        <v>35</v>
      </c>
      <c r="B86" s="19" t="s">
        <v>2164</v>
      </c>
      <c r="C86" s="618"/>
      <c r="D86" s="17">
        <v>44647</v>
      </c>
      <c r="E86" s="19" t="s">
        <v>657</v>
      </c>
      <c r="F86" s="19" t="s">
        <v>669</v>
      </c>
      <c r="G86" s="19"/>
      <c r="H86" s="19" t="s">
        <v>670</v>
      </c>
      <c r="I86" s="19">
        <v>7</v>
      </c>
      <c r="J86" s="115" t="s">
        <v>490</v>
      </c>
    </row>
    <row r="87" spans="1:10" x14ac:dyDescent="0.2">
      <c r="A87" s="133" t="s">
        <v>10</v>
      </c>
      <c r="B87" s="19" t="s">
        <v>324</v>
      </c>
      <c r="C87" s="619"/>
      <c r="D87" s="17">
        <v>44647</v>
      </c>
      <c r="E87" s="19" t="s">
        <v>671</v>
      </c>
      <c r="F87" s="19" t="s">
        <v>672</v>
      </c>
      <c r="G87" s="19" t="s">
        <v>672</v>
      </c>
      <c r="H87" s="19" t="s">
        <v>673</v>
      </c>
      <c r="I87" s="19">
        <v>4</v>
      </c>
      <c r="J87" s="115" t="s">
        <v>508</v>
      </c>
    </row>
    <row r="88" spans="1:10" ht="13.6" x14ac:dyDescent="0.2">
      <c r="A88" s="116" t="s">
        <v>403</v>
      </c>
      <c r="B88" s="92"/>
      <c r="C88" s="27"/>
      <c r="D88" s="26"/>
      <c r="E88" s="92"/>
      <c r="F88" s="92"/>
      <c r="G88" s="92"/>
      <c r="H88" s="92"/>
      <c r="I88" s="92"/>
      <c r="J88" s="117"/>
    </row>
    <row r="89" spans="1:10" x14ac:dyDescent="0.2">
      <c r="A89" s="133" t="s">
        <v>10</v>
      </c>
      <c r="B89" s="19" t="s">
        <v>11</v>
      </c>
      <c r="C89" s="611">
        <f>COUNTIF(B89:B128,C2)</f>
        <v>0</v>
      </c>
      <c r="D89" s="17">
        <v>44655</v>
      </c>
      <c r="E89" s="19" t="s">
        <v>337</v>
      </c>
      <c r="F89" s="19" t="s">
        <v>222</v>
      </c>
      <c r="G89" s="19" t="s">
        <v>617</v>
      </c>
      <c r="H89" s="19" t="s">
        <v>618</v>
      </c>
      <c r="I89" s="19">
        <v>4</v>
      </c>
      <c r="J89" s="115" t="s">
        <v>490</v>
      </c>
    </row>
    <row r="90" spans="1:10" x14ac:dyDescent="0.2">
      <c r="A90" s="133" t="s">
        <v>10</v>
      </c>
      <c r="B90" s="19" t="s">
        <v>64</v>
      </c>
      <c r="C90" s="612"/>
      <c r="D90" s="17">
        <v>44656</v>
      </c>
      <c r="E90" s="19" t="s">
        <v>642</v>
      </c>
      <c r="F90" s="19" t="s">
        <v>643</v>
      </c>
      <c r="G90" s="19" t="s">
        <v>246</v>
      </c>
      <c r="H90" s="19" t="s">
        <v>644</v>
      </c>
      <c r="I90" s="19">
        <v>3</v>
      </c>
      <c r="J90" s="115" t="s">
        <v>599</v>
      </c>
    </row>
    <row r="91" spans="1:10" x14ac:dyDescent="0.2">
      <c r="A91" s="133" t="s">
        <v>10</v>
      </c>
      <c r="B91" s="19" t="s">
        <v>2162</v>
      </c>
      <c r="C91" s="612"/>
      <c r="D91" s="17">
        <v>44656</v>
      </c>
      <c r="E91" s="19" t="s">
        <v>368</v>
      </c>
      <c r="F91" s="19" t="s">
        <v>281</v>
      </c>
      <c r="G91" s="19" t="s">
        <v>281</v>
      </c>
      <c r="H91" s="19" t="s">
        <v>645</v>
      </c>
      <c r="I91" s="19">
        <v>4</v>
      </c>
      <c r="J91" s="115" t="s">
        <v>599</v>
      </c>
    </row>
    <row r="92" spans="1:10" x14ac:dyDescent="0.2">
      <c r="A92" s="133" t="s">
        <v>10</v>
      </c>
      <c r="B92" s="19" t="s">
        <v>2161</v>
      </c>
      <c r="C92" s="612"/>
      <c r="D92" s="17">
        <v>44657</v>
      </c>
      <c r="E92" s="19" t="s">
        <v>57</v>
      </c>
      <c r="F92" s="19" t="s">
        <v>674</v>
      </c>
      <c r="G92" s="19"/>
      <c r="H92" s="19" t="s">
        <v>675</v>
      </c>
      <c r="I92" s="19">
        <v>3</v>
      </c>
      <c r="J92" s="115" t="s">
        <v>490</v>
      </c>
    </row>
    <row r="93" spans="1:10" x14ac:dyDescent="0.2">
      <c r="A93" s="133" t="s">
        <v>10</v>
      </c>
      <c r="B93" s="19" t="s">
        <v>2161</v>
      </c>
      <c r="C93" s="612"/>
      <c r="D93" s="17">
        <v>44657</v>
      </c>
      <c r="E93" s="19" t="s">
        <v>676</v>
      </c>
      <c r="F93" s="19" t="s">
        <v>677</v>
      </c>
      <c r="G93" s="19"/>
      <c r="H93" s="19" t="s">
        <v>678</v>
      </c>
      <c r="I93" s="19">
        <v>2</v>
      </c>
      <c r="J93" s="115" t="s">
        <v>508</v>
      </c>
    </row>
    <row r="94" spans="1:10" x14ac:dyDescent="0.2">
      <c r="A94" s="133" t="s">
        <v>17</v>
      </c>
      <c r="B94" s="19" t="s">
        <v>24</v>
      </c>
      <c r="C94" s="612"/>
      <c r="D94" s="17">
        <v>44660</v>
      </c>
      <c r="E94" s="19" t="s">
        <v>164</v>
      </c>
      <c r="F94" s="19" t="s">
        <v>679</v>
      </c>
      <c r="G94" s="19" t="s">
        <v>680</v>
      </c>
      <c r="H94" s="19" t="s">
        <v>681</v>
      </c>
      <c r="I94" s="19">
        <v>1</v>
      </c>
      <c r="J94" s="115" t="s">
        <v>525</v>
      </c>
    </row>
    <row r="95" spans="1:10" x14ac:dyDescent="0.2">
      <c r="A95" s="133" t="s">
        <v>10</v>
      </c>
      <c r="B95" s="19" t="s">
        <v>188</v>
      </c>
      <c r="C95" s="612"/>
      <c r="D95" s="17">
        <v>44663</v>
      </c>
      <c r="E95" s="19" t="s">
        <v>682</v>
      </c>
      <c r="F95" s="19" t="s">
        <v>381</v>
      </c>
      <c r="G95" s="19" t="s">
        <v>27</v>
      </c>
      <c r="H95" s="19" t="s">
        <v>683</v>
      </c>
      <c r="I95" s="19">
        <v>8</v>
      </c>
      <c r="J95" s="115" t="s">
        <v>684</v>
      </c>
    </row>
    <row r="96" spans="1:10" x14ac:dyDescent="0.2">
      <c r="A96" s="133" t="s">
        <v>10</v>
      </c>
      <c r="B96" s="19" t="s">
        <v>2162</v>
      </c>
      <c r="C96" s="612"/>
      <c r="D96" s="17">
        <v>44663</v>
      </c>
      <c r="E96" s="19" t="s">
        <v>685</v>
      </c>
      <c r="F96" s="19" t="s">
        <v>381</v>
      </c>
      <c r="G96" s="19"/>
      <c r="H96" s="19" t="s">
        <v>686</v>
      </c>
      <c r="I96" s="19">
        <v>8</v>
      </c>
      <c r="J96" s="115" t="s">
        <v>687</v>
      </c>
    </row>
    <row r="97" spans="1:10" x14ac:dyDescent="0.2">
      <c r="A97" s="133" t="s">
        <v>10</v>
      </c>
      <c r="B97" s="19" t="s">
        <v>2162</v>
      </c>
      <c r="C97" s="612"/>
      <c r="D97" s="17">
        <v>44666</v>
      </c>
      <c r="E97" s="19" t="s">
        <v>688</v>
      </c>
      <c r="F97" s="19" t="s">
        <v>689</v>
      </c>
      <c r="G97" s="19" t="s">
        <v>433</v>
      </c>
      <c r="H97" s="19" t="s">
        <v>690</v>
      </c>
      <c r="I97" s="19">
        <v>14</v>
      </c>
      <c r="J97" s="115" t="s">
        <v>487</v>
      </c>
    </row>
    <row r="98" spans="1:10" x14ac:dyDescent="0.2">
      <c r="A98" s="133" t="s">
        <v>10</v>
      </c>
      <c r="B98" s="19" t="s">
        <v>2162</v>
      </c>
      <c r="C98" s="612"/>
      <c r="D98" s="17">
        <v>44665</v>
      </c>
      <c r="E98" s="19" t="s">
        <v>549</v>
      </c>
      <c r="F98" s="19" t="s">
        <v>381</v>
      </c>
      <c r="G98" s="19"/>
      <c r="H98" s="19" t="s">
        <v>691</v>
      </c>
      <c r="I98" s="19">
        <v>14</v>
      </c>
      <c r="J98" s="115" t="s">
        <v>692</v>
      </c>
    </row>
    <row r="99" spans="1:10" x14ac:dyDescent="0.2">
      <c r="A99" s="133" t="s">
        <v>17</v>
      </c>
      <c r="B99" s="19" t="s">
        <v>24</v>
      </c>
      <c r="C99" s="612"/>
      <c r="D99" s="17">
        <v>44664</v>
      </c>
      <c r="E99" s="19" t="s">
        <v>486</v>
      </c>
      <c r="F99" s="19" t="s">
        <v>693</v>
      </c>
      <c r="G99" s="19"/>
      <c r="H99" s="19" t="s">
        <v>28</v>
      </c>
      <c r="I99" s="19">
        <v>1</v>
      </c>
      <c r="J99" s="115" t="s">
        <v>544</v>
      </c>
    </row>
    <row r="100" spans="1:10" x14ac:dyDescent="0.2">
      <c r="A100" s="133" t="s">
        <v>17</v>
      </c>
      <c r="B100" s="19" t="s">
        <v>24</v>
      </c>
      <c r="C100" s="612"/>
      <c r="D100" s="17">
        <v>44666</v>
      </c>
      <c r="E100" s="19" t="s">
        <v>486</v>
      </c>
      <c r="F100" s="19" t="s">
        <v>694</v>
      </c>
      <c r="G100" s="19"/>
      <c r="H100" s="19" t="s">
        <v>28</v>
      </c>
      <c r="I100" s="19">
        <v>1</v>
      </c>
      <c r="J100" s="115" t="s">
        <v>544</v>
      </c>
    </row>
    <row r="101" spans="1:10" x14ac:dyDescent="0.2">
      <c r="A101" s="133" t="s">
        <v>17</v>
      </c>
      <c r="B101" s="19" t="s">
        <v>24</v>
      </c>
      <c r="C101" s="612"/>
      <c r="D101" s="17">
        <v>44666</v>
      </c>
      <c r="E101" s="19" t="s">
        <v>486</v>
      </c>
      <c r="F101" s="19" t="s">
        <v>695</v>
      </c>
      <c r="G101" s="19"/>
      <c r="H101" s="19" t="s">
        <v>28</v>
      </c>
      <c r="I101" s="19">
        <v>1</v>
      </c>
      <c r="J101" s="115" t="s">
        <v>544</v>
      </c>
    </row>
    <row r="102" spans="1:10" x14ac:dyDescent="0.2">
      <c r="A102" s="133" t="s">
        <v>17</v>
      </c>
      <c r="B102" s="19" t="s">
        <v>24</v>
      </c>
      <c r="C102" s="612"/>
      <c r="D102" s="17">
        <v>44666</v>
      </c>
      <c r="E102" s="19" t="s">
        <v>486</v>
      </c>
      <c r="F102" s="19" t="s">
        <v>696</v>
      </c>
      <c r="G102" s="19"/>
      <c r="H102" s="19" t="s">
        <v>28</v>
      </c>
      <c r="I102" s="19">
        <v>1</v>
      </c>
      <c r="J102" s="115" t="s">
        <v>544</v>
      </c>
    </row>
    <row r="103" spans="1:10" x14ac:dyDescent="0.2">
      <c r="A103" s="133" t="s">
        <v>10</v>
      </c>
      <c r="B103" s="19" t="s">
        <v>2161</v>
      </c>
      <c r="C103" s="612"/>
      <c r="D103" s="17">
        <v>44656</v>
      </c>
      <c r="E103" s="19" t="s">
        <v>493</v>
      </c>
      <c r="F103" s="19" t="s">
        <v>501</v>
      </c>
      <c r="G103" s="19"/>
      <c r="H103" s="19" t="s">
        <v>697</v>
      </c>
      <c r="I103" s="19">
        <v>3</v>
      </c>
      <c r="J103" s="115" t="s">
        <v>490</v>
      </c>
    </row>
    <row r="104" spans="1:10" x14ac:dyDescent="0.2">
      <c r="A104" s="133" t="s">
        <v>10</v>
      </c>
      <c r="B104" s="19" t="s">
        <v>2162</v>
      </c>
      <c r="C104" s="612"/>
      <c r="D104" s="17">
        <v>44667</v>
      </c>
      <c r="E104" s="19" t="s">
        <v>388</v>
      </c>
      <c r="F104" s="19" t="s">
        <v>698</v>
      </c>
      <c r="G104" s="19" t="s">
        <v>699</v>
      </c>
      <c r="H104" s="19" t="s">
        <v>700</v>
      </c>
      <c r="I104" s="19">
        <v>2</v>
      </c>
      <c r="J104" s="115" t="s">
        <v>525</v>
      </c>
    </row>
    <row r="105" spans="1:10" x14ac:dyDescent="0.2">
      <c r="A105" s="133" t="s">
        <v>35</v>
      </c>
      <c r="B105" s="19" t="s">
        <v>137</v>
      </c>
      <c r="C105" s="612"/>
      <c r="D105" s="17">
        <v>44669</v>
      </c>
      <c r="E105" s="19" t="s">
        <v>305</v>
      </c>
      <c r="F105" s="19" t="s">
        <v>701</v>
      </c>
      <c r="G105" s="19" t="s">
        <v>702</v>
      </c>
      <c r="H105" s="19" t="s">
        <v>703</v>
      </c>
      <c r="I105" s="19">
        <v>4</v>
      </c>
      <c r="J105" s="115" t="s">
        <v>490</v>
      </c>
    </row>
    <row r="106" spans="1:10" x14ac:dyDescent="0.2">
      <c r="A106" s="133" t="s">
        <v>10</v>
      </c>
      <c r="B106" s="19" t="s">
        <v>2162</v>
      </c>
      <c r="C106" s="612"/>
      <c r="D106" s="17">
        <v>44666</v>
      </c>
      <c r="E106" s="19" t="s">
        <v>549</v>
      </c>
      <c r="F106" s="19" t="s">
        <v>381</v>
      </c>
      <c r="G106" s="19"/>
      <c r="H106" s="19" t="s">
        <v>704</v>
      </c>
      <c r="I106" s="19">
        <v>13</v>
      </c>
      <c r="J106" s="115" t="s">
        <v>705</v>
      </c>
    </row>
    <row r="107" spans="1:10" x14ac:dyDescent="0.2">
      <c r="A107" s="133" t="s">
        <v>10</v>
      </c>
      <c r="B107" s="19" t="s">
        <v>29</v>
      </c>
      <c r="C107" s="612"/>
      <c r="D107" s="17">
        <v>44670</v>
      </c>
      <c r="E107" s="19" t="s">
        <v>493</v>
      </c>
      <c r="F107" s="19" t="s">
        <v>706</v>
      </c>
      <c r="G107" s="19"/>
      <c r="H107" s="19" t="s">
        <v>707</v>
      </c>
      <c r="I107" s="19">
        <v>1</v>
      </c>
      <c r="J107" s="115" t="s">
        <v>525</v>
      </c>
    </row>
    <row r="108" spans="1:10" x14ac:dyDescent="0.2">
      <c r="A108" s="133" t="s">
        <v>10</v>
      </c>
      <c r="B108" s="19" t="s">
        <v>2162</v>
      </c>
      <c r="C108" s="612"/>
      <c r="D108" s="17">
        <v>44671</v>
      </c>
      <c r="E108" s="19" t="s">
        <v>708</v>
      </c>
      <c r="F108" s="19" t="s">
        <v>381</v>
      </c>
      <c r="G108" s="19"/>
      <c r="H108" s="19" t="s">
        <v>709</v>
      </c>
      <c r="I108" s="19">
        <v>10</v>
      </c>
      <c r="J108" s="115" t="s">
        <v>710</v>
      </c>
    </row>
    <row r="109" spans="1:10" x14ac:dyDescent="0.2">
      <c r="A109" s="133" t="s">
        <v>10</v>
      </c>
      <c r="B109" s="19" t="s">
        <v>11</v>
      </c>
      <c r="C109" s="612"/>
      <c r="D109" s="17">
        <v>44671</v>
      </c>
      <c r="E109" s="19" t="s">
        <v>493</v>
      </c>
      <c r="F109" s="19" t="s">
        <v>711</v>
      </c>
      <c r="G109" s="19" t="s">
        <v>712</v>
      </c>
      <c r="H109" s="19" t="s">
        <v>713</v>
      </c>
      <c r="I109" s="19">
        <v>4</v>
      </c>
      <c r="J109" s="115" t="s">
        <v>490</v>
      </c>
    </row>
    <row r="110" spans="1:10" x14ac:dyDescent="0.2">
      <c r="A110" s="133" t="s">
        <v>10</v>
      </c>
      <c r="B110" s="19" t="s">
        <v>29</v>
      </c>
      <c r="C110" s="612"/>
      <c r="D110" s="17">
        <v>44671</v>
      </c>
      <c r="E110" s="19" t="s">
        <v>714</v>
      </c>
      <c r="F110" s="19" t="s">
        <v>715</v>
      </c>
      <c r="G110" s="19" t="s">
        <v>716</v>
      </c>
      <c r="H110" s="19" t="s">
        <v>717</v>
      </c>
      <c r="I110" s="19">
        <v>3</v>
      </c>
      <c r="J110" s="115" t="s">
        <v>525</v>
      </c>
    </row>
    <row r="111" spans="1:10" x14ac:dyDescent="0.2">
      <c r="A111" s="133" t="s">
        <v>10</v>
      </c>
      <c r="B111" s="19" t="s">
        <v>2162</v>
      </c>
      <c r="C111" s="612"/>
      <c r="D111" s="17">
        <v>44671</v>
      </c>
      <c r="E111" s="19" t="s">
        <v>718</v>
      </c>
      <c r="F111" s="19" t="s">
        <v>719</v>
      </c>
      <c r="G111" s="19" t="s">
        <v>27</v>
      </c>
      <c r="H111" s="19" t="s">
        <v>720</v>
      </c>
      <c r="I111" s="19">
        <v>7</v>
      </c>
      <c r="J111" s="115" t="s">
        <v>490</v>
      </c>
    </row>
    <row r="112" spans="1:10" x14ac:dyDescent="0.2">
      <c r="A112" s="133" t="s">
        <v>10</v>
      </c>
      <c r="B112" s="19" t="s">
        <v>2161</v>
      </c>
      <c r="C112" s="612"/>
      <c r="D112" s="17">
        <v>44674</v>
      </c>
      <c r="E112" s="19" t="s">
        <v>619</v>
      </c>
      <c r="F112" s="19" t="s">
        <v>721</v>
      </c>
      <c r="G112" s="19" t="s">
        <v>722</v>
      </c>
      <c r="H112" s="19" t="s">
        <v>723</v>
      </c>
      <c r="I112" s="19">
        <v>3</v>
      </c>
      <c r="J112" s="115" t="s">
        <v>525</v>
      </c>
    </row>
    <row r="113" spans="1:10" x14ac:dyDescent="0.2">
      <c r="A113" s="133" t="s">
        <v>10</v>
      </c>
      <c r="B113" s="19" t="s">
        <v>64</v>
      </c>
      <c r="C113" s="612"/>
      <c r="D113" s="17">
        <v>44676</v>
      </c>
      <c r="E113" s="19" t="s">
        <v>112</v>
      </c>
      <c r="F113" s="19" t="s">
        <v>724</v>
      </c>
      <c r="G113" s="19" t="s">
        <v>725</v>
      </c>
      <c r="H113" s="19" t="s">
        <v>726</v>
      </c>
      <c r="I113" s="19">
        <v>3</v>
      </c>
      <c r="J113" s="115" t="s">
        <v>525</v>
      </c>
    </row>
    <row r="114" spans="1:10" x14ac:dyDescent="0.2">
      <c r="A114" s="133" t="s">
        <v>10</v>
      </c>
      <c r="B114" s="19" t="s">
        <v>24</v>
      </c>
      <c r="C114" s="612"/>
      <c r="D114" s="17">
        <v>44673</v>
      </c>
      <c r="E114" s="19" t="s">
        <v>493</v>
      </c>
      <c r="F114" s="19" t="s">
        <v>727</v>
      </c>
      <c r="G114" s="19"/>
      <c r="H114" s="19" t="s">
        <v>28</v>
      </c>
      <c r="I114" s="19">
        <v>1</v>
      </c>
      <c r="J114" s="115" t="s">
        <v>10</v>
      </c>
    </row>
    <row r="115" spans="1:10" x14ac:dyDescent="0.2">
      <c r="A115" s="133" t="s">
        <v>10</v>
      </c>
      <c r="B115" s="19" t="s">
        <v>324</v>
      </c>
      <c r="C115" s="612"/>
      <c r="D115" s="17">
        <v>44314</v>
      </c>
      <c r="E115" s="19" t="s">
        <v>728</v>
      </c>
      <c r="F115" s="19" t="s">
        <v>729</v>
      </c>
      <c r="G115" s="19" t="s">
        <v>730</v>
      </c>
      <c r="H115" s="19" t="s">
        <v>731</v>
      </c>
      <c r="I115" s="19">
        <v>5</v>
      </c>
      <c r="J115" s="115" t="s">
        <v>599</v>
      </c>
    </row>
    <row r="116" spans="1:10" x14ac:dyDescent="0.2">
      <c r="A116" s="133" t="s">
        <v>10</v>
      </c>
      <c r="B116" s="19" t="s">
        <v>324</v>
      </c>
      <c r="C116" s="612"/>
      <c r="D116" s="17">
        <v>44679</v>
      </c>
      <c r="E116" s="19" t="s">
        <v>732</v>
      </c>
      <c r="F116" s="19" t="s">
        <v>733</v>
      </c>
      <c r="G116" s="19" t="s">
        <v>734</v>
      </c>
      <c r="H116" s="19" t="s">
        <v>735</v>
      </c>
      <c r="I116" s="19">
        <v>3</v>
      </c>
      <c r="J116" s="115" t="s">
        <v>525</v>
      </c>
    </row>
    <row r="117" spans="1:10" x14ac:dyDescent="0.2">
      <c r="A117" s="133" t="s">
        <v>10</v>
      </c>
      <c r="B117" s="19" t="s">
        <v>2161</v>
      </c>
      <c r="C117" s="612"/>
      <c r="D117" s="17">
        <v>44679</v>
      </c>
      <c r="E117" s="19" t="s">
        <v>240</v>
      </c>
      <c r="F117" s="19" t="s">
        <v>736</v>
      </c>
      <c r="G117" s="19" t="s">
        <v>737</v>
      </c>
      <c r="H117" s="19" t="s">
        <v>738</v>
      </c>
      <c r="I117" s="19">
        <v>3</v>
      </c>
      <c r="J117" s="115" t="s">
        <v>525</v>
      </c>
    </row>
    <row r="118" spans="1:10" x14ac:dyDescent="0.2">
      <c r="A118" s="133" t="s">
        <v>51</v>
      </c>
      <c r="B118" s="19" t="s">
        <v>397</v>
      </c>
      <c r="C118" s="612"/>
      <c r="D118" s="17">
        <v>44680</v>
      </c>
      <c r="E118" s="19" t="s">
        <v>112</v>
      </c>
      <c r="F118" s="19" t="s">
        <v>739</v>
      </c>
      <c r="G118" s="19" t="s">
        <v>110</v>
      </c>
      <c r="H118" s="19" t="s">
        <v>740</v>
      </c>
      <c r="I118" s="19">
        <v>3</v>
      </c>
      <c r="J118" s="115" t="s">
        <v>490</v>
      </c>
    </row>
    <row r="119" spans="1:10" x14ac:dyDescent="0.2">
      <c r="A119" s="133" t="s">
        <v>146</v>
      </c>
      <c r="B119" s="19" t="s">
        <v>2163</v>
      </c>
      <c r="C119" s="612"/>
      <c r="D119" s="17">
        <v>44680</v>
      </c>
      <c r="E119" s="19" t="s">
        <v>388</v>
      </c>
      <c r="F119" s="19" t="s">
        <v>741</v>
      </c>
      <c r="G119" s="19" t="s">
        <v>246</v>
      </c>
      <c r="H119" s="19" t="s">
        <v>742</v>
      </c>
      <c r="I119" s="19">
        <v>2</v>
      </c>
      <c r="J119" s="115" t="s">
        <v>599</v>
      </c>
    </row>
    <row r="120" spans="1:10" x14ac:dyDescent="0.2">
      <c r="A120" s="133" t="s">
        <v>51</v>
      </c>
      <c r="B120" s="19" t="s">
        <v>481</v>
      </c>
      <c r="C120" s="612"/>
      <c r="D120" s="17">
        <v>44680</v>
      </c>
      <c r="E120" s="19" t="s">
        <v>388</v>
      </c>
      <c r="F120" s="19" t="s">
        <v>743</v>
      </c>
      <c r="G120" s="19" t="s">
        <v>246</v>
      </c>
      <c r="H120" s="19" t="s">
        <v>744</v>
      </c>
      <c r="I120" s="19">
        <v>2</v>
      </c>
      <c r="J120" s="115" t="s">
        <v>599</v>
      </c>
    </row>
    <row r="121" spans="1:10" x14ac:dyDescent="0.2">
      <c r="A121" s="133" t="s">
        <v>10</v>
      </c>
      <c r="B121" s="19" t="s">
        <v>397</v>
      </c>
      <c r="C121" s="612"/>
      <c r="D121" s="17">
        <v>43951</v>
      </c>
      <c r="E121" s="19" t="s">
        <v>745</v>
      </c>
      <c r="F121" s="19" t="s">
        <v>746</v>
      </c>
      <c r="G121" s="19" t="s">
        <v>747</v>
      </c>
      <c r="H121" s="19" t="s">
        <v>748</v>
      </c>
      <c r="I121" s="19">
        <v>2</v>
      </c>
      <c r="J121" s="115" t="s">
        <v>508</v>
      </c>
    </row>
    <row r="122" spans="1:10" x14ac:dyDescent="0.2">
      <c r="A122" s="133" t="s">
        <v>146</v>
      </c>
      <c r="B122" s="19" t="s">
        <v>11</v>
      </c>
      <c r="C122" s="612"/>
      <c r="D122" s="17">
        <v>44652</v>
      </c>
      <c r="E122" s="19" t="s">
        <v>759</v>
      </c>
      <c r="F122" s="19" t="s">
        <v>760</v>
      </c>
      <c r="G122" s="19" t="s">
        <v>246</v>
      </c>
      <c r="H122" s="19" t="s">
        <v>761</v>
      </c>
      <c r="I122" s="19">
        <v>2</v>
      </c>
      <c r="J122" s="115" t="s">
        <v>490</v>
      </c>
    </row>
    <row r="123" spans="1:10" x14ac:dyDescent="0.2">
      <c r="A123" s="133" t="s">
        <v>10</v>
      </c>
      <c r="B123" s="19" t="s">
        <v>2161</v>
      </c>
      <c r="C123" s="612"/>
      <c r="D123" s="17">
        <v>44652</v>
      </c>
      <c r="E123" s="19" t="s">
        <v>486</v>
      </c>
      <c r="F123" s="19" t="s">
        <v>722</v>
      </c>
      <c r="G123" s="19"/>
      <c r="H123" s="19" t="s">
        <v>762</v>
      </c>
      <c r="I123" s="19">
        <v>2</v>
      </c>
      <c r="J123" s="115" t="s">
        <v>599</v>
      </c>
    </row>
    <row r="124" spans="1:10" x14ac:dyDescent="0.2">
      <c r="A124" s="133" t="s">
        <v>10</v>
      </c>
      <c r="B124" s="19" t="s">
        <v>2162</v>
      </c>
      <c r="C124" s="612"/>
      <c r="D124" s="17">
        <v>44666</v>
      </c>
      <c r="E124" s="19" t="s">
        <v>549</v>
      </c>
      <c r="F124" s="19" t="s">
        <v>763</v>
      </c>
      <c r="G124" s="19"/>
      <c r="H124" s="19" t="s">
        <v>764</v>
      </c>
      <c r="I124" s="19">
        <v>10</v>
      </c>
      <c r="J124" s="115" t="s">
        <v>490</v>
      </c>
    </row>
    <row r="125" spans="1:10" x14ac:dyDescent="0.2">
      <c r="A125" s="133" t="s">
        <v>10</v>
      </c>
      <c r="B125" s="19" t="s">
        <v>2162</v>
      </c>
      <c r="C125" s="612"/>
      <c r="D125" s="17">
        <v>44667</v>
      </c>
      <c r="E125" s="19" t="s">
        <v>493</v>
      </c>
      <c r="F125" s="19" t="s">
        <v>722</v>
      </c>
      <c r="G125" s="19"/>
      <c r="H125" s="19" t="s">
        <v>765</v>
      </c>
      <c r="I125" s="19">
        <v>2</v>
      </c>
      <c r="J125" s="115" t="s">
        <v>525</v>
      </c>
    </row>
    <row r="126" spans="1:10" x14ac:dyDescent="0.2">
      <c r="A126" s="133" t="s">
        <v>10</v>
      </c>
      <c r="B126" s="19" t="s">
        <v>2162</v>
      </c>
      <c r="C126" s="612"/>
      <c r="D126" s="17">
        <v>44676</v>
      </c>
      <c r="E126" s="19" t="s">
        <v>549</v>
      </c>
      <c r="F126" s="19" t="s">
        <v>722</v>
      </c>
      <c r="G126" s="19"/>
      <c r="H126" s="19" t="s">
        <v>766</v>
      </c>
      <c r="I126" s="19">
        <v>3</v>
      </c>
      <c r="J126" s="115" t="s">
        <v>485</v>
      </c>
    </row>
    <row r="127" spans="1:10" x14ac:dyDescent="0.2">
      <c r="A127" s="133" t="s">
        <v>10</v>
      </c>
      <c r="B127" s="19" t="s">
        <v>2162</v>
      </c>
      <c r="C127" s="612"/>
      <c r="D127" s="17">
        <v>44676</v>
      </c>
      <c r="E127" s="19" t="s">
        <v>500</v>
      </c>
      <c r="F127" s="19" t="s">
        <v>722</v>
      </c>
      <c r="G127" s="19"/>
      <c r="H127" s="19" t="s">
        <v>129</v>
      </c>
      <c r="I127" s="19">
        <v>3</v>
      </c>
      <c r="J127" s="115" t="s">
        <v>485</v>
      </c>
    </row>
    <row r="128" spans="1:10" x14ac:dyDescent="0.2">
      <c r="A128" s="133" t="s">
        <v>10</v>
      </c>
      <c r="B128" s="19" t="s">
        <v>188</v>
      </c>
      <c r="C128" s="613"/>
      <c r="D128" s="17">
        <v>44656</v>
      </c>
      <c r="E128" s="19" t="s">
        <v>1127</v>
      </c>
      <c r="F128" s="19" t="s">
        <v>1128</v>
      </c>
      <c r="G128" s="19" t="s">
        <v>1129</v>
      </c>
      <c r="H128" s="19" t="s">
        <v>1130</v>
      </c>
      <c r="I128" s="19">
        <v>2</v>
      </c>
      <c r="J128" s="115" t="s">
        <v>424</v>
      </c>
    </row>
    <row r="129" spans="1:10" ht="13.6" x14ac:dyDescent="0.2">
      <c r="A129" s="118" t="s">
        <v>2145</v>
      </c>
      <c r="B129" s="27"/>
      <c r="C129" s="27"/>
      <c r="D129" s="28"/>
      <c r="E129" s="27"/>
      <c r="F129" s="27"/>
      <c r="G129" s="27"/>
      <c r="H129" s="27"/>
      <c r="I129" s="27"/>
      <c r="J129" s="119"/>
    </row>
    <row r="130" spans="1:10" x14ac:dyDescent="0.2">
      <c r="A130" s="133" t="s">
        <v>35</v>
      </c>
      <c r="B130" s="19" t="s">
        <v>137</v>
      </c>
      <c r="C130" s="611">
        <f>COUNTIF(B130:B167,C2)</f>
        <v>2</v>
      </c>
      <c r="D130" s="17">
        <v>44685</v>
      </c>
      <c r="E130" s="19" t="s">
        <v>534</v>
      </c>
      <c r="F130" s="19" t="s">
        <v>749</v>
      </c>
      <c r="G130" s="19"/>
      <c r="H130" s="19" t="s">
        <v>750</v>
      </c>
      <c r="I130" s="19">
        <v>2</v>
      </c>
      <c r="J130" s="115" t="s">
        <v>599</v>
      </c>
    </row>
    <row r="131" spans="1:10" x14ac:dyDescent="0.2">
      <c r="A131" s="133" t="s">
        <v>10</v>
      </c>
      <c r="B131" s="19" t="s">
        <v>29</v>
      </c>
      <c r="C131" s="612"/>
      <c r="D131" s="17">
        <v>44682</v>
      </c>
      <c r="E131" s="19" t="s">
        <v>534</v>
      </c>
      <c r="F131" s="19" t="s">
        <v>751</v>
      </c>
      <c r="G131" s="19"/>
      <c r="H131" s="19" t="s">
        <v>64</v>
      </c>
      <c r="I131" s="19">
        <v>2</v>
      </c>
      <c r="J131" s="115" t="s">
        <v>599</v>
      </c>
    </row>
    <row r="132" spans="1:10" x14ac:dyDescent="0.2">
      <c r="A132" s="133" t="s">
        <v>35</v>
      </c>
      <c r="B132" s="19" t="s">
        <v>137</v>
      </c>
      <c r="C132" s="612"/>
      <c r="D132" s="17">
        <v>44683</v>
      </c>
      <c r="E132" s="19" t="s">
        <v>493</v>
      </c>
      <c r="F132" s="19" t="s">
        <v>752</v>
      </c>
      <c r="G132" s="19"/>
      <c r="H132" s="19" t="s">
        <v>753</v>
      </c>
      <c r="I132" s="19">
        <v>2</v>
      </c>
      <c r="J132" s="115" t="s">
        <v>10</v>
      </c>
    </row>
    <row r="133" spans="1:10" x14ac:dyDescent="0.2">
      <c r="A133" s="133" t="s">
        <v>51</v>
      </c>
      <c r="B133" s="19" t="s">
        <v>52</v>
      </c>
      <c r="C133" s="612"/>
      <c r="D133" s="17">
        <v>44683</v>
      </c>
      <c r="E133" s="19" t="s">
        <v>167</v>
      </c>
      <c r="F133" s="19" t="s">
        <v>754</v>
      </c>
      <c r="G133" s="19"/>
      <c r="H133" s="19" t="s">
        <v>755</v>
      </c>
      <c r="I133" s="19">
        <v>4</v>
      </c>
      <c r="J133" s="115" t="s">
        <v>10</v>
      </c>
    </row>
    <row r="134" spans="1:10" x14ac:dyDescent="0.2">
      <c r="A134" s="133" t="s">
        <v>10</v>
      </c>
      <c r="B134" s="19" t="s">
        <v>11</v>
      </c>
      <c r="C134" s="612"/>
      <c r="D134" s="17">
        <v>44683</v>
      </c>
      <c r="E134" s="19" t="s">
        <v>534</v>
      </c>
      <c r="F134" s="19" t="s">
        <v>756</v>
      </c>
      <c r="G134" s="19"/>
      <c r="H134" s="19" t="s">
        <v>757</v>
      </c>
      <c r="I134" s="19">
        <v>4</v>
      </c>
      <c r="J134" s="115" t="s">
        <v>10</v>
      </c>
    </row>
    <row r="135" spans="1:10" x14ac:dyDescent="0.2">
      <c r="A135" s="133" t="s">
        <v>10</v>
      </c>
      <c r="B135" s="19" t="s">
        <v>188</v>
      </c>
      <c r="C135" s="612"/>
      <c r="D135" s="17">
        <v>44683</v>
      </c>
      <c r="E135" s="19" t="s">
        <v>486</v>
      </c>
      <c r="F135" s="19" t="s">
        <v>758</v>
      </c>
      <c r="G135" s="19"/>
      <c r="H135" s="19" t="s">
        <v>191</v>
      </c>
      <c r="I135" s="19">
        <v>2</v>
      </c>
      <c r="J135" s="115" t="s">
        <v>10</v>
      </c>
    </row>
    <row r="136" spans="1:10" x14ac:dyDescent="0.2">
      <c r="A136" s="133" t="s">
        <v>17</v>
      </c>
      <c r="B136" s="19" t="s">
        <v>24</v>
      </c>
      <c r="C136" s="612"/>
      <c r="D136" s="17">
        <v>44684</v>
      </c>
      <c r="E136" s="24" t="s">
        <v>767</v>
      </c>
      <c r="F136" s="19" t="s">
        <v>768</v>
      </c>
      <c r="G136" s="19"/>
      <c r="H136" s="19" t="s">
        <v>28</v>
      </c>
      <c r="I136" s="19">
        <v>1</v>
      </c>
      <c r="J136" s="115" t="s">
        <v>544</v>
      </c>
    </row>
    <row r="137" spans="1:10" x14ac:dyDescent="0.2">
      <c r="A137" s="133" t="s">
        <v>10</v>
      </c>
      <c r="B137" s="19" t="s">
        <v>2161</v>
      </c>
      <c r="C137" s="612"/>
      <c r="D137" s="17">
        <v>44685</v>
      </c>
      <c r="E137" s="19" t="s">
        <v>91</v>
      </c>
      <c r="F137" s="19" t="s">
        <v>769</v>
      </c>
      <c r="G137" s="19" t="s">
        <v>446</v>
      </c>
      <c r="H137" s="19" t="s">
        <v>770</v>
      </c>
      <c r="I137" s="19">
        <v>2</v>
      </c>
      <c r="J137" s="115" t="s">
        <v>508</v>
      </c>
    </row>
    <row r="138" spans="1:10" x14ac:dyDescent="0.2">
      <c r="A138" s="133" t="s">
        <v>17</v>
      </c>
      <c r="B138" s="19" t="s">
        <v>24</v>
      </c>
      <c r="C138" s="612"/>
      <c r="D138" s="17">
        <v>44687</v>
      </c>
      <c r="E138" s="24" t="s">
        <v>771</v>
      </c>
      <c r="F138" s="19" t="s">
        <v>772</v>
      </c>
      <c r="G138" s="19"/>
      <c r="H138" s="19" t="s">
        <v>773</v>
      </c>
      <c r="I138" s="19">
        <v>3</v>
      </c>
      <c r="J138" s="115" t="s">
        <v>525</v>
      </c>
    </row>
    <row r="139" spans="1:10" x14ac:dyDescent="0.2">
      <c r="A139" s="133" t="s">
        <v>51</v>
      </c>
      <c r="B139" s="19" t="s">
        <v>481</v>
      </c>
      <c r="C139" s="612"/>
      <c r="D139" s="17">
        <v>44689</v>
      </c>
      <c r="E139" s="19" t="s">
        <v>240</v>
      </c>
      <c r="F139" s="19" t="s">
        <v>774</v>
      </c>
      <c r="G139" s="19" t="s">
        <v>246</v>
      </c>
      <c r="H139" s="19" t="s">
        <v>775</v>
      </c>
      <c r="I139" s="19">
        <v>7</v>
      </c>
      <c r="J139" s="115" t="s">
        <v>540</v>
      </c>
    </row>
    <row r="140" spans="1:10" x14ac:dyDescent="0.2">
      <c r="A140" s="133" t="s">
        <v>10</v>
      </c>
      <c r="B140" s="19" t="s">
        <v>64</v>
      </c>
      <c r="C140" s="612"/>
      <c r="D140" s="17">
        <v>44690</v>
      </c>
      <c r="E140" s="19" t="s">
        <v>428</v>
      </c>
      <c r="F140" s="19" t="s">
        <v>776</v>
      </c>
      <c r="G140" s="19" t="s">
        <v>441</v>
      </c>
      <c r="H140" s="19" t="s">
        <v>777</v>
      </c>
      <c r="I140" s="19">
        <v>2</v>
      </c>
      <c r="J140" s="115" t="s">
        <v>599</v>
      </c>
    </row>
    <row r="141" spans="1:10" x14ac:dyDescent="0.2">
      <c r="A141" s="133" t="s">
        <v>51</v>
      </c>
      <c r="B141" s="19" t="s">
        <v>52</v>
      </c>
      <c r="C141" s="612"/>
      <c r="D141" s="17">
        <v>44684</v>
      </c>
      <c r="E141" s="19" t="s">
        <v>493</v>
      </c>
      <c r="F141" s="19" t="s">
        <v>778</v>
      </c>
      <c r="G141" s="19"/>
      <c r="H141" s="19" t="s">
        <v>52</v>
      </c>
      <c r="I141" s="19">
        <v>4</v>
      </c>
      <c r="J141" s="115" t="s">
        <v>490</v>
      </c>
    </row>
    <row r="142" spans="1:10" x14ac:dyDescent="0.2">
      <c r="A142" s="133" t="s">
        <v>35</v>
      </c>
      <c r="B142" s="19" t="s">
        <v>137</v>
      </c>
      <c r="C142" s="612"/>
      <c r="D142" s="17">
        <v>44684</v>
      </c>
      <c r="E142" s="19" t="s">
        <v>493</v>
      </c>
      <c r="F142" s="19" t="s">
        <v>779</v>
      </c>
      <c r="G142" s="19"/>
      <c r="H142" s="19" t="s">
        <v>780</v>
      </c>
      <c r="I142" s="19">
        <v>2</v>
      </c>
      <c r="J142" s="115" t="s">
        <v>10</v>
      </c>
    </row>
    <row r="143" spans="1:10" x14ac:dyDescent="0.2">
      <c r="A143" s="133" t="s">
        <v>10</v>
      </c>
      <c r="B143" s="19" t="s">
        <v>29</v>
      </c>
      <c r="C143" s="612"/>
      <c r="D143" s="17">
        <v>44684</v>
      </c>
      <c r="E143" s="19" t="s">
        <v>493</v>
      </c>
      <c r="F143" s="19" t="s">
        <v>128</v>
      </c>
      <c r="G143" s="19"/>
      <c r="H143" s="19" t="s">
        <v>781</v>
      </c>
      <c r="I143" s="19">
        <v>3</v>
      </c>
      <c r="J143" s="115" t="s">
        <v>525</v>
      </c>
    </row>
    <row r="144" spans="1:10" x14ac:dyDescent="0.2">
      <c r="A144" s="133" t="s">
        <v>146</v>
      </c>
      <c r="B144" s="19" t="s">
        <v>2163</v>
      </c>
      <c r="C144" s="612"/>
      <c r="D144" s="17">
        <v>44690</v>
      </c>
      <c r="E144" s="19" t="s">
        <v>782</v>
      </c>
      <c r="F144" s="19" t="s">
        <v>783</v>
      </c>
      <c r="G144" s="19"/>
      <c r="H144" s="19" t="s">
        <v>784</v>
      </c>
      <c r="I144" s="19">
        <v>6</v>
      </c>
      <c r="J144" s="115" t="s">
        <v>487</v>
      </c>
    </row>
    <row r="145" spans="1:10" x14ac:dyDescent="0.2">
      <c r="A145" s="133" t="s">
        <v>17</v>
      </c>
      <c r="B145" s="19" t="s">
        <v>24</v>
      </c>
      <c r="C145" s="612"/>
      <c r="D145" s="17">
        <v>44694</v>
      </c>
      <c r="E145" s="19" t="s">
        <v>57</v>
      </c>
      <c r="F145" s="19" t="s">
        <v>785</v>
      </c>
      <c r="G145" s="19" t="s">
        <v>27</v>
      </c>
      <c r="H145" s="19" t="s">
        <v>786</v>
      </c>
      <c r="I145" s="19">
        <v>2</v>
      </c>
      <c r="J145" s="115" t="s">
        <v>10</v>
      </c>
    </row>
    <row r="146" spans="1:10" x14ac:dyDescent="0.2">
      <c r="A146" s="133" t="s">
        <v>10</v>
      </c>
      <c r="B146" s="19" t="s">
        <v>2162</v>
      </c>
      <c r="C146" s="612"/>
      <c r="D146" s="17">
        <v>44694</v>
      </c>
      <c r="E146" s="19" t="s">
        <v>91</v>
      </c>
      <c r="F146" s="19" t="s">
        <v>787</v>
      </c>
      <c r="G146" s="19" t="s">
        <v>21</v>
      </c>
      <c r="H146" s="19" t="s">
        <v>788</v>
      </c>
      <c r="I146" s="19">
        <v>2</v>
      </c>
      <c r="J146" s="115" t="s">
        <v>599</v>
      </c>
    </row>
    <row r="147" spans="1:10" x14ac:dyDescent="0.2">
      <c r="A147" s="133" t="s">
        <v>17</v>
      </c>
      <c r="B147" s="19" t="s">
        <v>24</v>
      </c>
      <c r="C147" s="612"/>
      <c r="D147" s="17">
        <v>44695</v>
      </c>
      <c r="E147" s="19" t="s">
        <v>72</v>
      </c>
      <c r="F147" s="19" t="s">
        <v>789</v>
      </c>
      <c r="G147" s="19"/>
      <c r="H147" s="19" t="s">
        <v>28</v>
      </c>
      <c r="I147" s="19">
        <v>1</v>
      </c>
      <c r="J147" s="115" t="s">
        <v>10</v>
      </c>
    </row>
    <row r="148" spans="1:10" x14ac:dyDescent="0.2">
      <c r="A148" s="133" t="s">
        <v>17</v>
      </c>
      <c r="B148" s="19" t="s">
        <v>24</v>
      </c>
      <c r="C148" s="612"/>
      <c r="D148" s="17">
        <v>44695</v>
      </c>
      <c r="E148" s="19" t="s">
        <v>72</v>
      </c>
      <c r="F148" s="19" t="s">
        <v>790</v>
      </c>
      <c r="G148" s="19"/>
      <c r="H148" s="19" t="s">
        <v>28</v>
      </c>
      <c r="I148" s="19">
        <v>1</v>
      </c>
      <c r="J148" s="115" t="s">
        <v>10</v>
      </c>
    </row>
    <row r="149" spans="1:10" x14ac:dyDescent="0.2">
      <c r="A149" s="133" t="s">
        <v>10</v>
      </c>
      <c r="B149" s="19" t="s">
        <v>2162</v>
      </c>
      <c r="C149" s="612"/>
      <c r="D149" s="17">
        <v>44695</v>
      </c>
      <c r="E149" s="19" t="s">
        <v>215</v>
      </c>
      <c r="F149" s="19" t="s">
        <v>787</v>
      </c>
      <c r="G149" s="19" t="s">
        <v>21</v>
      </c>
      <c r="H149" s="19" t="s">
        <v>791</v>
      </c>
      <c r="I149" s="19">
        <v>2</v>
      </c>
      <c r="J149" s="115" t="s">
        <v>525</v>
      </c>
    </row>
    <row r="150" spans="1:10" x14ac:dyDescent="0.2">
      <c r="A150" s="133" t="s">
        <v>10</v>
      </c>
      <c r="B150" s="19" t="s">
        <v>11</v>
      </c>
      <c r="C150" s="612"/>
      <c r="D150" s="17">
        <v>44697</v>
      </c>
      <c r="E150" s="19" t="s">
        <v>57</v>
      </c>
      <c r="F150" s="19" t="s">
        <v>792</v>
      </c>
      <c r="G150" s="19" t="s">
        <v>85</v>
      </c>
      <c r="H150" s="19" t="s">
        <v>793</v>
      </c>
      <c r="I150" s="19">
        <v>5</v>
      </c>
      <c r="J150" s="115" t="s">
        <v>490</v>
      </c>
    </row>
    <row r="151" spans="1:10" x14ac:dyDescent="0.2">
      <c r="A151" s="133" t="s">
        <v>10</v>
      </c>
      <c r="B151" s="19" t="s">
        <v>2162</v>
      </c>
      <c r="C151" s="612"/>
      <c r="D151" s="17">
        <v>44697</v>
      </c>
      <c r="E151" s="19" t="s">
        <v>368</v>
      </c>
      <c r="F151" s="19" t="s">
        <v>794</v>
      </c>
      <c r="G151" s="19"/>
      <c r="H151" s="19" t="s">
        <v>795</v>
      </c>
      <c r="I151" s="19">
        <v>25</v>
      </c>
      <c r="J151" s="115" t="s">
        <v>167</v>
      </c>
    </row>
    <row r="152" spans="1:10" x14ac:dyDescent="0.2">
      <c r="A152" s="133" t="s">
        <v>10</v>
      </c>
      <c r="B152" s="19" t="s">
        <v>11</v>
      </c>
      <c r="C152" s="612"/>
      <c r="D152" s="17">
        <v>44698</v>
      </c>
      <c r="E152" s="19" t="s">
        <v>57</v>
      </c>
      <c r="F152" s="19" t="s">
        <v>796</v>
      </c>
      <c r="G152" s="19"/>
      <c r="H152" s="19" t="s">
        <v>797</v>
      </c>
      <c r="I152" s="19">
        <v>1</v>
      </c>
      <c r="J152" s="115" t="s">
        <v>167</v>
      </c>
    </row>
    <row r="153" spans="1:10" x14ac:dyDescent="0.2">
      <c r="A153" s="133" t="s">
        <v>10</v>
      </c>
      <c r="B153" s="19" t="s">
        <v>2162</v>
      </c>
      <c r="C153" s="612"/>
      <c r="D153" s="17">
        <v>44698</v>
      </c>
      <c r="E153" s="19" t="s">
        <v>798</v>
      </c>
      <c r="F153" s="19" t="s">
        <v>794</v>
      </c>
      <c r="G153" s="19"/>
      <c r="H153" s="19" t="s">
        <v>799</v>
      </c>
      <c r="I153" s="19">
        <v>22</v>
      </c>
      <c r="J153" s="115" t="s">
        <v>167</v>
      </c>
    </row>
    <row r="154" spans="1:10" x14ac:dyDescent="0.2">
      <c r="A154" s="133" t="s">
        <v>10</v>
      </c>
      <c r="B154" s="19" t="s">
        <v>2162</v>
      </c>
      <c r="C154" s="612"/>
      <c r="D154" s="17">
        <v>44700</v>
      </c>
      <c r="E154" s="19" t="s">
        <v>800</v>
      </c>
      <c r="F154" s="19" t="s">
        <v>722</v>
      </c>
      <c r="G154" s="19" t="s">
        <v>801</v>
      </c>
      <c r="H154" s="19" t="s">
        <v>802</v>
      </c>
      <c r="I154" s="19">
        <v>2</v>
      </c>
      <c r="J154" s="115" t="s">
        <v>508</v>
      </c>
    </row>
    <row r="155" spans="1:10" x14ac:dyDescent="0.2">
      <c r="A155" s="133" t="s">
        <v>10</v>
      </c>
      <c r="B155" s="19" t="s">
        <v>2161</v>
      </c>
      <c r="C155" s="612"/>
      <c r="D155" s="17">
        <v>44701</v>
      </c>
      <c r="E155" s="19" t="s">
        <v>91</v>
      </c>
      <c r="F155" s="19" t="s">
        <v>803</v>
      </c>
      <c r="G155" s="19" t="s">
        <v>95</v>
      </c>
      <c r="H155" s="19" t="s">
        <v>804</v>
      </c>
      <c r="I155" s="19">
        <v>2</v>
      </c>
      <c r="J155" s="115" t="s">
        <v>525</v>
      </c>
    </row>
    <row r="156" spans="1:10" x14ac:dyDescent="0.2">
      <c r="A156" s="133" t="s">
        <v>10</v>
      </c>
      <c r="B156" s="19" t="s">
        <v>312</v>
      </c>
      <c r="C156" s="612"/>
      <c r="D156" s="17">
        <v>44704</v>
      </c>
      <c r="E156" s="19" t="s">
        <v>486</v>
      </c>
      <c r="F156" s="19" t="s">
        <v>805</v>
      </c>
      <c r="G156" s="19"/>
      <c r="H156" s="19" t="s">
        <v>806</v>
      </c>
      <c r="I156" s="19">
        <v>1</v>
      </c>
      <c r="J156" s="115" t="s">
        <v>167</v>
      </c>
    </row>
    <row r="157" spans="1:10" x14ac:dyDescent="0.2">
      <c r="A157" s="133" t="s">
        <v>10</v>
      </c>
      <c r="B157" s="19" t="s">
        <v>29</v>
      </c>
      <c r="C157" s="612"/>
      <c r="D157" s="17">
        <v>44704</v>
      </c>
      <c r="E157" s="19" t="s">
        <v>493</v>
      </c>
      <c r="F157" s="19" t="s">
        <v>807</v>
      </c>
      <c r="G157" s="19"/>
      <c r="H157" s="19" t="s">
        <v>29</v>
      </c>
      <c r="I157" s="19">
        <v>3</v>
      </c>
      <c r="J157" s="115" t="s">
        <v>525</v>
      </c>
    </row>
    <row r="158" spans="1:10" x14ac:dyDescent="0.2">
      <c r="A158" s="133" t="s">
        <v>17</v>
      </c>
      <c r="B158" s="19" t="s">
        <v>24</v>
      </c>
      <c r="C158" s="612"/>
      <c r="D158" s="17">
        <v>44707</v>
      </c>
      <c r="E158" s="24" t="s">
        <v>808</v>
      </c>
      <c r="F158" s="19" t="s">
        <v>809</v>
      </c>
      <c r="G158" s="19"/>
      <c r="H158" s="19" t="s">
        <v>810</v>
      </c>
      <c r="I158" s="19">
        <v>2</v>
      </c>
      <c r="J158" s="115" t="s">
        <v>525</v>
      </c>
    </row>
    <row r="159" spans="1:10" x14ac:dyDescent="0.2">
      <c r="A159" s="133" t="s">
        <v>51</v>
      </c>
      <c r="B159" s="19" t="s">
        <v>481</v>
      </c>
      <c r="C159" s="612"/>
      <c r="D159" s="17">
        <v>44709</v>
      </c>
      <c r="E159" s="19" t="s">
        <v>91</v>
      </c>
      <c r="F159" s="19" t="s">
        <v>811</v>
      </c>
      <c r="G159" s="19" t="s">
        <v>812</v>
      </c>
      <c r="H159" s="19" t="s">
        <v>813</v>
      </c>
      <c r="I159" s="19">
        <v>6</v>
      </c>
      <c r="J159" s="115" t="s">
        <v>540</v>
      </c>
    </row>
    <row r="160" spans="1:10" x14ac:dyDescent="0.2">
      <c r="A160" s="133" t="s">
        <v>10</v>
      </c>
      <c r="B160" s="19" t="s">
        <v>2163</v>
      </c>
      <c r="C160" s="612"/>
      <c r="D160" s="17" t="s">
        <v>814</v>
      </c>
      <c r="E160" s="19" t="s">
        <v>305</v>
      </c>
      <c r="F160" s="19" t="s">
        <v>815</v>
      </c>
      <c r="G160" s="19" t="s">
        <v>816</v>
      </c>
      <c r="H160" s="19" t="s">
        <v>817</v>
      </c>
      <c r="I160" s="19">
        <v>3</v>
      </c>
      <c r="J160" s="115" t="s">
        <v>508</v>
      </c>
    </row>
    <row r="161" spans="1:10" x14ac:dyDescent="0.2">
      <c r="A161" s="133" t="s">
        <v>10</v>
      </c>
      <c r="B161" s="19" t="s">
        <v>29</v>
      </c>
      <c r="C161" s="612"/>
      <c r="D161" s="17">
        <v>44711</v>
      </c>
      <c r="E161" s="19" t="s">
        <v>818</v>
      </c>
      <c r="F161" s="19" t="s">
        <v>819</v>
      </c>
      <c r="G161" s="19"/>
      <c r="H161" s="19" t="s">
        <v>820</v>
      </c>
      <c r="I161" s="19">
        <v>9</v>
      </c>
      <c r="J161" s="115" t="s">
        <v>821</v>
      </c>
    </row>
    <row r="162" spans="1:10" x14ac:dyDescent="0.2">
      <c r="A162" s="133" t="s">
        <v>10</v>
      </c>
      <c r="B162" s="19" t="s">
        <v>2162</v>
      </c>
      <c r="C162" s="612"/>
      <c r="D162" s="17">
        <v>44712</v>
      </c>
      <c r="E162" s="19" t="s">
        <v>164</v>
      </c>
      <c r="F162" s="19" t="s">
        <v>822</v>
      </c>
      <c r="G162" s="19"/>
      <c r="H162" s="19" t="s">
        <v>823</v>
      </c>
      <c r="I162" s="19">
        <v>2</v>
      </c>
      <c r="J162" s="115" t="s">
        <v>525</v>
      </c>
    </row>
    <row r="163" spans="1:10" x14ac:dyDescent="0.2">
      <c r="A163" s="133" t="s">
        <v>10</v>
      </c>
      <c r="B163" s="19" t="s">
        <v>29</v>
      </c>
      <c r="C163" s="612"/>
      <c r="D163" s="17">
        <v>44711</v>
      </c>
      <c r="E163" s="19" t="s">
        <v>164</v>
      </c>
      <c r="F163" s="19" t="s">
        <v>824</v>
      </c>
      <c r="G163" s="19" t="s">
        <v>366</v>
      </c>
      <c r="H163" s="19" t="s">
        <v>825</v>
      </c>
      <c r="I163" s="19">
        <v>9</v>
      </c>
      <c r="J163" s="115" t="s">
        <v>826</v>
      </c>
    </row>
    <row r="164" spans="1:10" x14ac:dyDescent="0.2">
      <c r="A164" s="133" t="s">
        <v>10</v>
      </c>
      <c r="B164" s="19" t="s">
        <v>64</v>
      </c>
      <c r="C164" s="612"/>
      <c r="D164" s="17">
        <v>44711</v>
      </c>
      <c r="E164" s="19" t="s">
        <v>57</v>
      </c>
      <c r="F164" s="19" t="s">
        <v>827</v>
      </c>
      <c r="G164" s="19" t="s">
        <v>76</v>
      </c>
      <c r="H164" s="19" t="s">
        <v>828</v>
      </c>
      <c r="I164" s="19">
        <v>2</v>
      </c>
      <c r="J164" s="115" t="s">
        <v>167</v>
      </c>
    </row>
    <row r="165" spans="1:10" x14ac:dyDescent="0.2">
      <c r="A165" s="133" t="s">
        <v>387</v>
      </c>
      <c r="B165" s="19" t="s">
        <v>481</v>
      </c>
      <c r="C165" s="612"/>
      <c r="D165" s="17">
        <v>44712</v>
      </c>
      <c r="E165" s="19" t="s">
        <v>829</v>
      </c>
      <c r="F165" s="19" t="s">
        <v>830</v>
      </c>
      <c r="G165" s="19" t="s">
        <v>831</v>
      </c>
      <c r="H165" s="19" t="s">
        <v>832</v>
      </c>
      <c r="I165" s="19">
        <v>7</v>
      </c>
      <c r="J165" s="115" t="s">
        <v>540</v>
      </c>
    </row>
    <row r="166" spans="1:10" x14ac:dyDescent="0.2">
      <c r="A166" s="133" t="s">
        <v>17</v>
      </c>
      <c r="B166" s="19" t="s">
        <v>24</v>
      </c>
      <c r="C166" s="612"/>
      <c r="D166" s="17">
        <v>44712</v>
      </c>
      <c r="E166" s="19" t="s">
        <v>91</v>
      </c>
      <c r="F166" s="19" t="s">
        <v>833</v>
      </c>
      <c r="G166" s="19"/>
      <c r="H166" s="19" t="s">
        <v>28</v>
      </c>
      <c r="I166" s="19">
        <v>1</v>
      </c>
      <c r="J166" s="115" t="s">
        <v>544</v>
      </c>
    </row>
    <row r="167" spans="1:10" x14ac:dyDescent="0.2">
      <c r="A167" s="133" t="s">
        <v>17</v>
      </c>
      <c r="B167" s="19" t="s">
        <v>24</v>
      </c>
      <c r="C167" s="613"/>
      <c r="D167" s="17">
        <v>44712</v>
      </c>
      <c r="E167" s="19" t="s">
        <v>57</v>
      </c>
      <c r="F167" s="19" t="s">
        <v>834</v>
      </c>
      <c r="G167" s="19" t="s">
        <v>27</v>
      </c>
      <c r="H167" s="19" t="s">
        <v>28</v>
      </c>
      <c r="I167" s="19">
        <v>1</v>
      </c>
      <c r="J167" s="115" t="s">
        <v>544</v>
      </c>
    </row>
    <row r="168" spans="1:10" ht="13.6" x14ac:dyDescent="0.2">
      <c r="A168" s="116" t="s">
        <v>835</v>
      </c>
      <c r="B168" s="92"/>
      <c r="C168" s="27"/>
      <c r="D168" s="26"/>
      <c r="E168" s="92"/>
      <c r="F168" s="92" t="s">
        <v>835</v>
      </c>
      <c r="G168" s="92"/>
      <c r="H168" s="92"/>
      <c r="I168" s="92"/>
      <c r="J168" s="117"/>
    </row>
    <row r="169" spans="1:10" x14ac:dyDescent="0.2">
      <c r="A169" s="133" t="s">
        <v>10</v>
      </c>
      <c r="B169" s="19" t="s">
        <v>29</v>
      </c>
      <c r="C169" s="611">
        <f>COUNTIF(B169:B210,C2)</f>
        <v>0</v>
      </c>
      <c r="D169" s="17">
        <v>44713</v>
      </c>
      <c r="E169" s="19" t="s">
        <v>836</v>
      </c>
      <c r="F169" s="19" t="s">
        <v>837</v>
      </c>
      <c r="G169" s="19" t="s">
        <v>838</v>
      </c>
      <c r="H169" s="19" t="s">
        <v>839</v>
      </c>
      <c r="I169" s="19">
        <v>5</v>
      </c>
      <c r="J169" s="115" t="s">
        <v>525</v>
      </c>
    </row>
    <row r="170" spans="1:10" x14ac:dyDescent="0.2">
      <c r="A170" s="133" t="s">
        <v>10</v>
      </c>
      <c r="B170" s="19" t="s">
        <v>29</v>
      </c>
      <c r="C170" s="612"/>
      <c r="D170" s="17">
        <v>44713</v>
      </c>
      <c r="E170" s="19" t="s">
        <v>840</v>
      </c>
      <c r="F170" s="19" t="s">
        <v>841</v>
      </c>
      <c r="G170" s="19" t="s">
        <v>842</v>
      </c>
      <c r="H170" s="19" t="s">
        <v>839</v>
      </c>
      <c r="I170" s="19">
        <v>5</v>
      </c>
      <c r="J170" s="115" t="s">
        <v>525</v>
      </c>
    </row>
    <row r="171" spans="1:10" x14ac:dyDescent="0.2">
      <c r="A171" s="133" t="s">
        <v>10</v>
      </c>
      <c r="B171" s="19" t="s">
        <v>11</v>
      </c>
      <c r="C171" s="612"/>
      <c r="D171" s="17">
        <v>44713</v>
      </c>
      <c r="E171" s="19" t="s">
        <v>493</v>
      </c>
      <c r="F171" s="19" t="s">
        <v>843</v>
      </c>
      <c r="G171" s="19"/>
      <c r="H171" s="19" t="s">
        <v>844</v>
      </c>
      <c r="I171" s="19">
        <v>4</v>
      </c>
      <c r="J171" s="115" t="s">
        <v>490</v>
      </c>
    </row>
    <row r="172" spans="1:10" x14ac:dyDescent="0.2">
      <c r="A172" s="133" t="s">
        <v>17</v>
      </c>
      <c r="B172" s="19" t="s">
        <v>24</v>
      </c>
      <c r="C172" s="612"/>
      <c r="D172" s="17">
        <v>44713</v>
      </c>
      <c r="E172" s="19" t="s">
        <v>549</v>
      </c>
      <c r="F172" s="19" t="s">
        <v>845</v>
      </c>
      <c r="G172" s="19"/>
      <c r="H172" s="19" t="s">
        <v>28</v>
      </c>
      <c r="I172" s="19">
        <v>1</v>
      </c>
      <c r="J172" s="115" t="s">
        <v>10</v>
      </c>
    </row>
    <row r="173" spans="1:10" x14ac:dyDescent="0.2">
      <c r="A173" s="133" t="s">
        <v>17</v>
      </c>
      <c r="B173" s="19" t="s">
        <v>24</v>
      </c>
      <c r="C173" s="612"/>
      <c r="D173" s="17">
        <v>44713</v>
      </c>
      <c r="E173" s="19" t="s">
        <v>549</v>
      </c>
      <c r="F173" s="19" t="s">
        <v>846</v>
      </c>
      <c r="G173" s="19"/>
      <c r="H173" s="19" t="s">
        <v>28</v>
      </c>
      <c r="I173" s="19">
        <v>1</v>
      </c>
      <c r="J173" s="115" t="s">
        <v>10</v>
      </c>
    </row>
    <row r="174" spans="1:10" x14ac:dyDescent="0.2">
      <c r="A174" s="133" t="s">
        <v>10</v>
      </c>
      <c r="B174" s="19" t="s">
        <v>29</v>
      </c>
      <c r="C174" s="612"/>
      <c r="D174" s="17">
        <v>44714</v>
      </c>
      <c r="E174" s="19" t="s">
        <v>847</v>
      </c>
      <c r="F174" s="19" t="s">
        <v>848</v>
      </c>
      <c r="G174" s="19" t="s">
        <v>849</v>
      </c>
      <c r="H174" s="19" t="s">
        <v>839</v>
      </c>
      <c r="I174" s="19">
        <v>5</v>
      </c>
      <c r="J174" s="115" t="s">
        <v>513</v>
      </c>
    </row>
    <row r="175" spans="1:10" x14ac:dyDescent="0.2">
      <c r="A175" s="133" t="s">
        <v>17</v>
      </c>
      <c r="B175" s="19" t="s">
        <v>24</v>
      </c>
      <c r="C175" s="612"/>
      <c r="D175" s="17">
        <v>44717</v>
      </c>
      <c r="E175" s="19" t="s">
        <v>493</v>
      </c>
      <c r="F175" s="19" t="s">
        <v>850</v>
      </c>
      <c r="G175" s="19"/>
      <c r="H175" s="19" t="s">
        <v>28</v>
      </c>
      <c r="I175" s="19">
        <v>1</v>
      </c>
      <c r="J175" s="115" t="s">
        <v>544</v>
      </c>
    </row>
    <row r="176" spans="1:10" x14ac:dyDescent="0.2">
      <c r="A176" s="133" t="s">
        <v>17</v>
      </c>
      <c r="B176" s="19" t="s">
        <v>24</v>
      </c>
      <c r="C176" s="612"/>
      <c r="D176" s="17">
        <v>44717</v>
      </c>
      <c r="E176" s="19" t="s">
        <v>493</v>
      </c>
      <c r="F176" s="19" t="s">
        <v>851</v>
      </c>
      <c r="G176" s="19"/>
      <c r="H176" s="19" t="s">
        <v>28</v>
      </c>
      <c r="I176" s="19">
        <v>1</v>
      </c>
      <c r="J176" s="115" t="s">
        <v>544</v>
      </c>
    </row>
    <row r="177" spans="1:10" x14ac:dyDescent="0.2">
      <c r="A177" s="133" t="s">
        <v>10</v>
      </c>
      <c r="B177" s="19" t="s">
        <v>29</v>
      </c>
      <c r="C177" s="612"/>
      <c r="D177" s="17">
        <v>44717</v>
      </c>
      <c r="E177" s="19" t="s">
        <v>388</v>
      </c>
      <c r="F177" s="19" t="s">
        <v>852</v>
      </c>
      <c r="G177" s="19" t="s">
        <v>85</v>
      </c>
      <c r="H177" s="19" t="s">
        <v>853</v>
      </c>
      <c r="I177" s="19">
        <v>2</v>
      </c>
      <c r="J177" s="115" t="s">
        <v>525</v>
      </c>
    </row>
    <row r="178" spans="1:10" x14ac:dyDescent="0.2">
      <c r="A178" s="133" t="s">
        <v>10</v>
      </c>
      <c r="B178" s="19" t="s">
        <v>2162</v>
      </c>
      <c r="C178" s="612"/>
      <c r="D178" s="17">
        <v>44717</v>
      </c>
      <c r="E178" s="19" t="s">
        <v>549</v>
      </c>
      <c r="F178" s="19" t="s">
        <v>854</v>
      </c>
      <c r="G178" s="19"/>
      <c r="H178" s="19" t="s">
        <v>166</v>
      </c>
      <c r="I178" s="19">
        <v>20</v>
      </c>
      <c r="J178" s="115" t="s">
        <v>167</v>
      </c>
    </row>
    <row r="179" spans="1:10" x14ac:dyDescent="0.2">
      <c r="A179" s="133" t="s">
        <v>10</v>
      </c>
      <c r="B179" s="19" t="s">
        <v>2162</v>
      </c>
      <c r="C179" s="612"/>
      <c r="D179" s="17">
        <v>44718</v>
      </c>
      <c r="E179" s="19" t="s">
        <v>343</v>
      </c>
      <c r="F179" s="19" t="s">
        <v>855</v>
      </c>
      <c r="G179" s="19" t="s">
        <v>856</v>
      </c>
      <c r="H179" s="19" t="s">
        <v>857</v>
      </c>
      <c r="I179" s="19">
        <v>1</v>
      </c>
      <c r="J179" s="115" t="s">
        <v>167</v>
      </c>
    </row>
    <row r="180" spans="1:10" x14ac:dyDescent="0.2">
      <c r="A180" s="133" t="s">
        <v>10</v>
      </c>
      <c r="B180" s="19" t="s">
        <v>2162</v>
      </c>
      <c r="C180" s="612"/>
      <c r="D180" s="17">
        <v>44719</v>
      </c>
      <c r="E180" s="19" t="s">
        <v>337</v>
      </c>
      <c r="F180" s="19" t="s">
        <v>858</v>
      </c>
      <c r="G180" s="19" t="s">
        <v>234</v>
      </c>
      <c r="H180" s="19" t="s">
        <v>859</v>
      </c>
      <c r="I180" s="19">
        <v>1</v>
      </c>
      <c r="J180" s="115" t="s">
        <v>167</v>
      </c>
    </row>
    <row r="181" spans="1:10" x14ac:dyDescent="0.2">
      <c r="A181" s="133" t="s">
        <v>17</v>
      </c>
      <c r="B181" s="19" t="s">
        <v>24</v>
      </c>
      <c r="C181" s="612"/>
      <c r="D181" s="17">
        <v>44720</v>
      </c>
      <c r="E181" s="19" t="s">
        <v>232</v>
      </c>
      <c r="F181" s="19" t="s">
        <v>860</v>
      </c>
      <c r="G181" s="19" t="s">
        <v>234</v>
      </c>
      <c r="H181" s="19" t="s">
        <v>861</v>
      </c>
      <c r="I181" s="19">
        <v>1</v>
      </c>
      <c r="J181" s="115" t="s">
        <v>167</v>
      </c>
    </row>
    <row r="182" spans="1:10" x14ac:dyDescent="0.2">
      <c r="A182" s="133" t="s">
        <v>10</v>
      </c>
      <c r="B182" s="19" t="s">
        <v>2162</v>
      </c>
      <c r="C182" s="612"/>
      <c r="D182" s="17" t="s">
        <v>2140</v>
      </c>
      <c r="E182" s="19" t="s">
        <v>549</v>
      </c>
      <c r="F182" s="19" t="s">
        <v>862</v>
      </c>
      <c r="G182" s="19"/>
      <c r="H182" s="19" t="s">
        <v>166</v>
      </c>
      <c r="I182" s="19">
        <v>1</v>
      </c>
      <c r="J182" s="115" t="s">
        <v>167</v>
      </c>
    </row>
    <row r="183" spans="1:10" x14ac:dyDescent="0.2">
      <c r="A183" s="133" t="s">
        <v>10</v>
      </c>
      <c r="B183" s="19" t="s">
        <v>11</v>
      </c>
      <c r="C183" s="612"/>
      <c r="D183" s="17">
        <v>44726</v>
      </c>
      <c r="E183" s="19" t="s">
        <v>863</v>
      </c>
      <c r="F183" s="19" t="s">
        <v>864</v>
      </c>
      <c r="G183" s="19" t="s">
        <v>865</v>
      </c>
      <c r="H183" s="19" t="s">
        <v>866</v>
      </c>
      <c r="I183" s="19">
        <v>5</v>
      </c>
      <c r="J183" s="115" t="s">
        <v>490</v>
      </c>
    </row>
    <row r="184" spans="1:10" x14ac:dyDescent="0.2">
      <c r="A184" s="133" t="s">
        <v>10</v>
      </c>
      <c r="B184" s="19" t="s">
        <v>11</v>
      </c>
      <c r="C184" s="612"/>
      <c r="D184" s="17">
        <v>44726</v>
      </c>
      <c r="E184" s="19" t="s">
        <v>863</v>
      </c>
      <c r="F184" s="19" t="s">
        <v>864</v>
      </c>
      <c r="G184" s="19" t="s">
        <v>865</v>
      </c>
      <c r="H184" s="19" t="s">
        <v>866</v>
      </c>
      <c r="I184" s="19">
        <v>5</v>
      </c>
      <c r="J184" s="115" t="s">
        <v>490</v>
      </c>
    </row>
    <row r="185" spans="1:10" x14ac:dyDescent="0.2">
      <c r="A185" s="133" t="s">
        <v>10</v>
      </c>
      <c r="B185" s="19" t="s">
        <v>2162</v>
      </c>
      <c r="C185" s="612"/>
      <c r="D185" s="17">
        <v>44726</v>
      </c>
      <c r="E185" s="19" t="s">
        <v>549</v>
      </c>
      <c r="F185" s="19" t="s">
        <v>854</v>
      </c>
      <c r="G185" s="19"/>
      <c r="H185" s="19" t="s">
        <v>444</v>
      </c>
      <c r="I185" s="19">
        <v>1</v>
      </c>
      <c r="J185" s="115" t="s">
        <v>167</v>
      </c>
    </row>
    <row r="186" spans="1:10" x14ac:dyDescent="0.2">
      <c r="A186" s="133" t="s">
        <v>17</v>
      </c>
      <c r="B186" s="19" t="s">
        <v>24</v>
      </c>
      <c r="C186" s="612"/>
      <c r="D186" s="17">
        <v>44727</v>
      </c>
      <c r="E186" s="19" t="s">
        <v>486</v>
      </c>
      <c r="F186" s="19" t="s">
        <v>867</v>
      </c>
      <c r="G186" s="19"/>
      <c r="H186" s="19" t="s">
        <v>28</v>
      </c>
      <c r="I186" s="19">
        <v>1</v>
      </c>
      <c r="J186" s="115" t="s">
        <v>508</v>
      </c>
    </row>
    <row r="187" spans="1:10" x14ac:dyDescent="0.2">
      <c r="A187" s="133" t="s">
        <v>10</v>
      </c>
      <c r="B187" s="19" t="s">
        <v>29</v>
      </c>
      <c r="C187" s="612"/>
      <c r="D187" s="17">
        <v>44727</v>
      </c>
      <c r="E187" s="19" t="s">
        <v>493</v>
      </c>
      <c r="F187" s="19" t="s">
        <v>868</v>
      </c>
      <c r="G187" s="19"/>
      <c r="H187" s="19" t="s">
        <v>29</v>
      </c>
      <c r="I187" s="19">
        <v>3</v>
      </c>
      <c r="J187" s="115" t="s">
        <v>490</v>
      </c>
    </row>
    <row r="188" spans="1:10" x14ac:dyDescent="0.2">
      <c r="A188" s="133" t="s">
        <v>10</v>
      </c>
      <c r="B188" s="19" t="s">
        <v>29</v>
      </c>
      <c r="C188" s="612"/>
      <c r="D188" s="17">
        <v>44727</v>
      </c>
      <c r="E188" s="19" t="s">
        <v>493</v>
      </c>
      <c r="F188" s="19" t="s">
        <v>869</v>
      </c>
      <c r="G188" s="19"/>
      <c r="H188" s="19" t="s">
        <v>29</v>
      </c>
      <c r="I188" s="19">
        <v>3</v>
      </c>
      <c r="J188" s="115" t="s">
        <v>490</v>
      </c>
    </row>
    <row r="189" spans="1:10" x14ac:dyDescent="0.2">
      <c r="A189" s="133" t="s">
        <v>10</v>
      </c>
      <c r="B189" s="19" t="s">
        <v>29</v>
      </c>
      <c r="C189" s="612"/>
      <c r="D189" s="17">
        <v>44727</v>
      </c>
      <c r="E189" s="19" t="s">
        <v>493</v>
      </c>
      <c r="F189" s="19" t="s">
        <v>870</v>
      </c>
      <c r="G189" s="19"/>
      <c r="H189" s="19" t="s">
        <v>29</v>
      </c>
      <c r="I189" s="19">
        <v>3</v>
      </c>
      <c r="J189" s="115" t="s">
        <v>490</v>
      </c>
    </row>
    <row r="190" spans="1:10" x14ac:dyDescent="0.2">
      <c r="A190" s="133" t="s">
        <v>17</v>
      </c>
      <c r="B190" s="19" t="s">
        <v>24</v>
      </c>
      <c r="C190" s="612"/>
      <c r="D190" s="17">
        <v>44728</v>
      </c>
      <c r="E190" s="19" t="s">
        <v>19</v>
      </c>
      <c r="F190" s="19" t="s">
        <v>242</v>
      </c>
      <c r="G190" s="19" t="s">
        <v>242</v>
      </c>
      <c r="H190" s="19" t="s">
        <v>871</v>
      </c>
      <c r="I190" s="19">
        <v>2</v>
      </c>
      <c r="J190" s="115" t="s">
        <v>525</v>
      </c>
    </row>
    <row r="191" spans="1:10" x14ac:dyDescent="0.2">
      <c r="A191" s="133" t="s">
        <v>17</v>
      </c>
      <c r="B191" s="19" t="s">
        <v>24</v>
      </c>
      <c r="C191" s="612"/>
      <c r="D191" s="17">
        <v>44728</v>
      </c>
      <c r="E191" s="19" t="s">
        <v>19</v>
      </c>
      <c r="F191" s="19" t="s">
        <v>872</v>
      </c>
      <c r="G191" s="19" t="s">
        <v>110</v>
      </c>
      <c r="H191" s="19" t="s">
        <v>873</v>
      </c>
      <c r="I191" s="19">
        <v>2</v>
      </c>
      <c r="J191" s="115" t="s">
        <v>525</v>
      </c>
    </row>
    <row r="192" spans="1:10" x14ac:dyDescent="0.2">
      <c r="A192" s="133" t="s">
        <v>10</v>
      </c>
      <c r="B192" s="19" t="s">
        <v>2162</v>
      </c>
      <c r="C192" s="612"/>
      <c r="D192" s="17">
        <v>44728</v>
      </c>
      <c r="E192" s="19" t="s">
        <v>534</v>
      </c>
      <c r="F192" s="19" t="s">
        <v>874</v>
      </c>
      <c r="G192" s="19"/>
      <c r="H192" s="19" t="s">
        <v>875</v>
      </c>
      <c r="I192" s="19">
        <v>2</v>
      </c>
      <c r="J192" s="115" t="s">
        <v>490</v>
      </c>
    </row>
    <row r="193" spans="1:10" x14ac:dyDescent="0.2">
      <c r="A193" s="133" t="s">
        <v>17</v>
      </c>
      <c r="B193" s="19" t="s">
        <v>24</v>
      </c>
      <c r="C193" s="612"/>
      <c r="D193" s="17">
        <v>44729</v>
      </c>
      <c r="E193" s="19" t="s">
        <v>493</v>
      </c>
      <c r="F193" s="19" t="s">
        <v>876</v>
      </c>
      <c r="G193" s="19"/>
      <c r="H193" s="19" t="s">
        <v>28</v>
      </c>
      <c r="I193" s="19">
        <v>1</v>
      </c>
      <c r="J193" s="115" t="s">
        <v>544</v>
      </c>
    </row>
    <row r="194" spans="1:10" x14ac:dyDescent="0.2">
      <c r="A194" s="133" t="s">
        <v>10</v>
      </c>
      <c r="B194" s="19" t="s">
        <v>11</v>
      </c>
      <c r="C194" s="612"/>
      <c r="D194" s="21">
        <v>44729</v>
      </c>
      <c r="E194" s="20" t="s">
        <v>425</v>
      </c>
      <c r="F194" s="20" t="s">
        <v>877</v>
      </c>
      <c r="G194" s="21" t="s">
        <v>95</v>
      </c>
      <c r="H194" s="20" t="s">
        <v>878</v>
      </c>
      <c r="I194" s="20">
        <v>3</v>
      </c>
      <c r="J194" s="120" t="s">
        <v>490</v>
      </c>
    </row>
    <row r="195" spans="1:10" x14ac:dyDescent="0.2">
      <c r="A195" s="133" t="s">
        <v>17</v>
      </c>
      <c r="B195" s="19" t="s">
        <v>24</v>
      </c>
      <c r="C195" s="612"/>
      <c r="D195" s="17">
        <v>44730</v>
      </c>
      <c r="E195" s="19" t="s">
        <v>882</v>
      </c>
      <c r="F195" s="19" t="s">
        <v>234</v>
      </c>
      <c r="G195" s="19" t="s">
        <v>234</v>
      </c>
      <c r="H195" s="19" t="s">
        <v>883</v>
      </c>
      <c r="I195" s="19">
        <v>1</v>
      </c>
      <c r="J195" s="115" t="s">
        <v>544</v>
      </c>
    </row>
    <row r="196" spans="1:10" x14ac:dyDescent="0.2">
      <c r="A196" s="133" t="s">
        <v>10</v>
      </c>
      <c r="B196" s="19" t="s">
        <v>2162</v>
      </c>
      <c r="C196" s="612"/>
      <c r="D196" s="17">
        <v>44733</v>
      </c>
      <c r="E196" s="19" t="s">
        <v>884</v>
      </c>
      <c r="F196" s="19" t="s">
        <v>885</v>
      </c>
      <c r="G196" s="19" t="s">
        <v>234</v>
      </c>
      <c r="H196" s="19" t="s">
        <v>857</v>
      </c>
      <c r="I196" s="19">
        <v>1</v>
      </c>
      <c r="J196" s="115" t="s">
        <v>167</v>
      </c>
    </row>
    <row r="197" spans="1:10" x14ac:dyDescent="0.2">
      <c r="A197" s="133" t="s">
        <v>35</v>
      </c>
      <c r="B197" s="19" t="s">
        <v>137</v>
      </c>
      <c r="C197" s="612"/>
      <c r="D197" s="17">
        <v>44733</v>
      </c>
      <c r="E197" s="19" t="s">
        <v>72</v>
      </c>
      <c r="F197" s="19" t="s">
        <v>886</v>
      </c>
      <c r="G197" s="19"/>
      <c r="H197" s="19" t="s">
        <v>887</v>
      </c>
      <c r="I197" s="19">
        <v>4</v>
      </c>
      <c r="J197" s="115" t="s">
        <v>508</v>
      </c>
    </row>
    <row r="198" spans="1:10" x14ac:dyDescent="0.2">
      <c r="A198" s="133" t="s">
        <v>10</v>
      </c>
      <c r="B198" s="19" t="s">
        <v>888</v>
      </c>
      <c r="C198" s="612"/>
      <c r="D198" s="17">
        <v>44733</v>
      </c>
      <c r="E198" s="19" t="s">
        <v>57</v>
      </c>
      <c r="F198" s="19" t="s">
        <v>889</v>
      </c>
      <c r="G198" s="19" t="s">
        <v>449</v>
      </c>
      <c r="H198" s="19" t="s">
        <v>890</v>
      </c>
      <c r="I198" s="19">
        <v>2</v>
      </c>
      <c r="J198" s="115" t="s">
        <v>525</v>
      </c>
    </row>
    <row r="199" spans="1:10" x14ac:dyDescent="0.2">
      <c r="A199" s="133" t="s">
        <v>10</v>
      </c>
      <c r="B199" s="19" t="s">
        <v>29</v>
      </c>
      <c r="C199" s="612"/>
      <c r="D199" s="17">
        <v>44734</v>
      </c>
      <c r="E199" s="19" t="s">
        <v>493</v>
      </c>
      <c r="F199" s="19" t="s">
        <v>891</v>
      </c>
      <c r="G199" s="19"/>
      <c r="H199" s="19" t="s">
        <v>892</v>
      </c>
      <c r="I199" s="19">
        <v>5</v>
      </c>
      <c r="J199" s="115" t="s">
        <v>490</v>
      </c>
    </row>
    <row r="200" spans="1:10" x14ac:dyDescent="0.2">
      <c r="A200" s="133" t="s">
        <v>17</v>
      </c>
      <c r="B200" s="19" t="s">
        <v>24</v>
      </c>
      <c r="C200" s="612"/>
      <c r="D200" s="17" t="s">
        <v>893</v>
      </c>
      <c r="E200" s="19" t="s">
        <v>493</v>
      </c>
      <c r="F200" s="19" t="s">
        <v>894</v>
      </c>
      <c r="G200" s="19"/>
      <c r="H200" s="19" t="s">
        <v>28</v>
      </c>
      <c r="I200" s="19">
        <v>1</v>
      </c>
      <c r="J200" s="115" t="s">
        <v>10</v>
      </c>
    </row>
    <row r="201" spans="1:10" x14ac:dyDescent="0.2">
      <c r="A201" s="133" t="s">
        <v>17</v>
      </c>
      <c r="B201" s="19" t="s">
        <v>24</v>
      </c>
      <c r="C201" s="612"/>
      <c r="D201" s="17">
        <v>44735</v>
      </c>
      <c r="E201" s="19" t="s">
        <v>493</v>
      </c>
      <c r="F201" s="19" t="s">
        <v>895</v>
      </c>
      <c r="G201" s="19"/>
      <c r="H201" s="19" t="s">
        <v>28</v>
      </c>
      <c r="I201" s="19">
        <v>1</v>
      </c>
      <c r="J201" s="115" t="s">
        <v>10</v>
      </c>
    </row>
    <row r="202" spans="1:10" x14ac:dyDescent="0.2">
      <c r="A202" s="133" t="s">
        <v>17</v>
      </c>
      <c r="B202" s="19" t="s">
        <v>24</v>
      </c>
      <c r="C202" s="612"/>
      <c r="D202" s="17">
        <v>44735</v>
      </c>
      <c r="E202" s="19" t="s">
        <v>493</v>
      </c>
      <c r="F202" s="19" t="s">
        <v>896</v>
      </c>
      <c r="G202" s="19"/>
      <c r="H202" s="19" t="s">
        <v>28</v>
      </c>
      <c r="I202" s="19">
        <v>1</v>
      </c>
      <c r="J202" s="115" t="s">
        <v>10</v>
      </c>
    </row>
    <row r="203" spans="1:10" x14ac:dyDescent="0.2">
      <c r="A203" s="133" t="s">
        <v>10</v>
      </c>
      <c r="B203" s="19" t="s">
        <v>2162</v>
      </c>
      <c r="C203" s="612"/>
      <c r="D203" s="17">
        <v>44736</v>
      </c>
      <c r="E203" s="19" t="s">
        <v>534</v>
      </c>
      <c r="F203" s="19" t="s">
        <v>897</v>
      </c>
      <c r="G203" s="19"/>
      <c r="H203" s="19" t="s">
        <v>898</v>
      </c>
      <c r="I203" s="19">
        <v>2</v>
      </c>
      <c r="J203" s="115" t="s">
        <v>490</v>
      </c>
    </row>
    <row r="204" spans="1:10" x14ac:dyDescent="0.2">
      <c r="A204" s="133" t="s">
        <v>10</v>
      </c>
      <c r="B204" s="19" t="s">
        <v>11</v>
      </c>
      <c r="C204" s="612"/>
      <c r="D204" s="17">
        <v>44736</v>
      </c>
      <c r="E204" s="19" t="s">
        <v>657</v>
      </c>
      <c r="F204" s="19" t="s">
        <v>899</v>
      </c>
      <c r="G204" s="19"/>
      <c r="H204" s="19" t="s">
        <v>844</v>
      </c>
      <c r="I204" s="19">
        <v>4</v>
      </c>
      <c r="J204" s="115" t="s">
        <v>490</v>
      </c>
    </row>
    <row r="205" spans="1:10" x14ac:dyDescent="0.2">
      <c r="A205" s="133" t="s">
        <v>17</v>
      </c>
      <c r="B205" s="19" t="s">
        <v>24</v>
      </c>
      <c r="C205" s="612"/>
      <c r="D205" s="17">
        <v>44736</v>
      </c>
      <c r="E205" s="19" t="s">
        <v>493</v>
      </c>
      <c r="F205" s="19" t="s">
        <v>900</v>
      </c>
      <c r="G205" s="19"/>
      <c r="H205" s="19" t="s">
        <v>28</v>
      </c>
      <c r="I205" s="19">
        <v>1</v>
      </c>
      <c r="J205" s="115" t="s">
        <v>544</v>
      </c>
    </row>
    <row r="206" spans="1:10" x14ac:dyDescent="0.2">
      <c r="A206" s="133" t="s">
        <v>10</v>
      </c>
      <c r="B206" s="19" t="s">
        <v>152</v>
      </c>
      <c r="C206" s="612"/>
      <c r="D206" s="17">
        <v>44737</v>
      </c>
      <c r="E206" s="19" t="s">
        <v>901</v>
      </c>
      <c r="F206" s="19" t="s">
        <v>902</v>
      </c>
      <c r="G206" s="19"/>
      <c r="H206" s="19" t="s">
        <v>903</v>
      </c>
      <c r="I206" s="19">
        <v>3</v>
      </c>
      <c r="J206" s="115" t="s">
        <v>599</v>
      </c>
    </row>
    <row r="207" spans="1:10" x14ac:dyDescent="0.2">
      <c r="A207" s="133" t="s">
        <v>10</v>
      </c>
      <c r="B207" s="19" t="s">
        <v>29</v>
      </c>
      <c r="C207" s="612"/>
      <c r="D207" s="17">
        <v>44738</v>
      </c>
      <c r="E207" s="19" t="s">
        <v>305</v>
      </c>
      <c r="F207" s="19" t="s">
        <v>787</v>
      </c>
      <c r="G207" s="19" t="s">
        <v>21</v>
      </c>
      <c r="H207" s="19" t="s">
        <v>904</v>
      </c>
      <c r="I207" s="19">
        <v>3</v>
      </c>
      <c r="J207" s="115" t="s">
        <v>525</v>
      </c>
    </row>
    <row r="208" spans="1:10" x14ac:dyDescent="0.2">
      <c r="A208" s="133" t="s">
        <v>10</v>
      </c>
      <c r="B208" s="19" t="s">
        <v>2162</v>
      </c>
      <c r="C208" s="612"/>
      <c r="D208" s="17">
        <v>44770</v>
      </c>
      <c r="E208" s="19" t="s">
        <v>337</v>
      </c>
      <c r="F208" s="19" t="s">
        <v>885</v>
      </c>
      <c r="G208" s="19" t="s">
        <v>234</v>
      </c>
      <c r="H208" s="19" t="s">
        <v>795</v>
      </c>
      <c r="I208" s="19">
        <v>30</v>
      </c>
      <c r="J208" s="115" t="s">
        <v>167</v>
      </c>
    </row>
    <row r="209" spans="1:10" x14ac:dyDescent="0.2">
      <c r="A209" s="133" t="s">
        <v>10</v>
      </c>
      <c r="B209" s="19" t="s">
        <v>656</v>
      </c>
      <c r="C209" s="612"/>
      <c r="D209" s="17">
        <v>44741</v>
      </c>
      <c r="E209" s="19" t="s">
        <v>19</v>
      </c>
      <c r="F209" s="19" t="s">
        <v>885</v>
      </c>
      <c r="G209" s="19" t="s">
        <v>905</v>
      </c>
      <c r="H209" s="19" t="s">
        <v>906</v>
      </c>
      <c r="I209" s="19">
        <v>2</v>
      </c>
      <c r="J209" s="115" t="s">
        <v>167</v>
      </c>
    </row>
    <row r="210" spans="1:10" x14ac:dyDescent="0.2">
      <c r="A210" s="133" t="s">
        <v>10</v>
      </c>
      <c r="B210" s="19" t="s">
        <v>2162</v>
      </c>
      <c r="C210" s="613"/>
      <c r="D210" s="17">
        <v>44741</v>
      </c>
      <c r="E210" s="19" t="s">
        <v>493</v>
      </c>
      <c r="F210" s="19" t="s">
        <v>722</v>
      </c>
      <c r="G210" s="19"/>
      <c r="H210" s="19" t="s">
        <v>907</v>
      </c>
      <c r="I210" s="19">
        <v>2</v>
      </c>
      <c r="J210" s="115" t="s">
        <v>525</v>
      </c>
    </row>
    <row r="211" spans="1:10" ht="13.6" x14ac:dyDescent="0.2">
      <c r="A211" s="116" t="s">
        <v>2146</v>
      </c>
      <c r="B211" s="92"/>
      <c r="C211" s="27"/>
      <c r="D211" s="26"/>
      <c r="E211" s="92"/>
      <c r="F211" s="92"/>
      <c r="G211" s="92"/>
      <c r="H211" s="92"/>
      <c r="I211" s="92"/>
      <c r="J211" s="117"/>
    </row>
    <row r="212" spans="1:10" x14ac:dyDescent="0.2">
      <c r="A212" s="134" t="s">
        <v>10</v>
      </c>
      <c r="B212" s="20" t="s">
        <v>29</v>
      </c>
      <c r="C212" s="611">
        <f>COUNTIF(B212:B270,C2)</f>
        <v>1</v>
      </c>
      <c r="D212" s="21">
        <v>44760</v>
      </c>
      <c r="E212" s="20" t="s">
        <v>879</v>
      </c>
      <c r="F212" s="20" t="s">
        <v>880</v>
      </c>
      <c r="G212" s="20" t="s">
        <v>27</v>
      </c>
      <c r="H212" s="20" t="s">
        <v>881</v>
      </c>
      <c r="I212" s="20">
        <v>2</v>
      </c>
      <c r="J212" s="120" t="s">
        <v>508</v>
      </c>
    </row>
    <row r="213" spans="1:10" x14ac:dyDescent="0.2">
      <c r="A213" s="133" t="s">
        <v>17</v>
      </c>
      <c r="B213" s="19" t="s">
        <v>24</v>
      </c>
      <c r="C213" s="612"/>
      <c r="D213" s="17">
        <v>44743</v>
      </c>
      <c r="E213" s="19" t="s">
        <v>37</v>
      </c>
      <c r="F213" s="19" t="s">
        <v>908</v>
      </c>
      <c r="G213" s="19" t="s">
        <v>139</v>
      </c>
      <c r="H213" s="19" t="s">
        <v>909</v>
      </c>
      <c r="I213" s="19">
        <v>2</v>
      </c>
      <c r="J213" s="115" t="s">
        <v>10</v>
      </c>
    </row>
    <row r="214" spans="1:10" x14ac:dyDescent="0.2">
      <c r="A214" s="133" t="s">
        <v>17</v>
      </c>
      <c r="B214" s="19" t="s">
        <v>24</v>
      </c>
      <c r="C214" s="612"/>
      <c r="D214" s="17">
        <v>44743</v>
      </c>
      <c r="E214" s="19" t="s">
        <v>37</v>
      </c>
      <c r="F214" s="19" t="s">
        <v>910</v>
      </c>
      <c r="G214" s="19" t="s">
        <v>234</v>
      </c>
      <c r="H214" s="19" t="s">
        <v>911</v>
      </c>
      <c r="I214" s="19">
        <v>2</v>
      </c>
      <c r="J214" s="115" t="s">
        <v>10</v>
      </c>
    </row>
    <row r="215" spans="1:10" x14ac:dyDescent="0.2">
      <c r="A215" s="133" t="s">
        <v>17</v>
      </c>
      <c r="B215" s="19" t="s">
        <v>24</v>
      </c>
      <c r="C215" s="612"/>
      <c r="D215" s="17">
        <v>44743</v>
      </c>
      <c r="E215" s="19" t="s">
        <v>240</v>
      </c>
      <c r="F215" s="19" t="s">
        <v>912</v>
      </c>
      <c r="G215" s="19" t="s">
        <v>27</v>
      </c>
      <c r="H215" s="19" t="s">
        <v>913</v>
      </c>
      <c r="I215" s="19">
        <v>2</v>
      </c>
      <c r="J215" s="115" t="s">
        <v>10</v>
      </c>
    </row>
    <row r="216" spans="1:10" x14ac:dyDescent="0.2">
      <c r="A216" s="133" t="s">
        <v>17</v>
      </c>
      <c r="B216" s="19" t="s">
        <v>24</v>
      </c>
      <c r="C216" s="612"/>
      <c r="D216" s="17">
        <v>44743</v>
      </c>
      <c r="E216" s="19" t="s">
        <v>240</v>
      </c>
      <c r="F216" s="19" t="s">
        <v>914</v>
      </c>
      <c r="G216" s="19" t="s">
        <v>110</v>
      </c>
      <c r="H216" s="19" t="s">
        <v>915</v>
      </c>
      <c r="I216" s="19">
        <v>2</v>
      </c>
      <c r="J216" s="115" t="s">
        <v>10</v>
      </c>
    </row>
    <row r="217" spans="1:10" x14ac:dyDescent="0.2">
      <c r="A217" s="133" t="s">
        <v>17</v>
      </c>
      <c r="B217" s="19" t="s">
        <v>24</v>
      </c>
      <c r="C217" s="612"/>
      <c r="D217" s="17">
        <v>44744</v>
      </c>
      <c r="E217" s="19" t="s">
        <v>486</v>
      </c>
      <c r="F217" s="19" t="s">
        <v>916</v>
      </c>
      <c r="G217" s="19"/>
      <c r="H217" s="19" t="s">
        <v>28</v>
      </c>
      <c r="I217" s="19">
        <v>1</v>
      </c>
      <c r="J217" s="115" t="s">
        <v>544</v>
      </c>
    </row>
    <row r="218" spans="1:10" x14ac:dyDescent="0.2">
      <c r="A218" s="133" t="s">
        <v>10</v>
      </c>
      <c r="B218" s="19" t="s">
        <v>2162</v>
      </c>
      <c r="C218" s="612"/>
      <c r="D218" s="17">
        <v>44743</v>
      </c>
      <c r="E218" s="19" t="s">
        <v>486</v>
      </c>
      <c r="F218" s="19" t="s">
        <v>381</v>
      </c>
      <c r="G218" s="19"/>
      <c r="H218" s="19" t="s">
        <v>917</v>
      </c>
      <c r="I218" s="19">
        <v>2</v>
      </c>
      <c r="J218" s="115" t="s">
        <v>525</v>
      </c>
    </row>
    <row r="219" spans="1:10" x14ac:dyDescent="0.2">
      <c r="A219" s="133" t="s">
        <v>10</v>
      </c>
      <c r="B219" s="19" t="s">
        <v>29</v>
      </c>
      <c r="C219" s="612"/>
      <c r="D219" s="17">
        <v>44746</v>
      </c>
      <c r="E219" s="19" t="s">
        <v>493</v>
      </c>
      <c r="F219" s="19" t="s">
        <v>918</v>
      </c>
      <c r="G219" s="19"/>
      <c r="H219" s="19" t="s">
        <v>29</v>
      </c>
      <c r="I219" s="19">
        <v>2</v>
      </c>
      <c r="J219" s="115" t="s">
        <v>525</v>
      </c>
    </row>
    <row r="220" spans="1:10" x14ac:dyDescent="0.2">
      <c r="A220" s="133" t="s">
        <v>10</v>
      </c>
      <c r="B220" s="19" t="s">
        <v>29</v>
      </c>
      <c r="C220" s="612"/>
      <c r="D220" s="17">
        <v>44746</v>
      </c>
      <c r="E220" s="19" t="s">
        <v>493</v>
      </c>
      <c r="F220" s="19" t="s">
        <v>919</v>
      </c>
      <c r="G220" s="19"/>
      <c r="H220" s="19" t="s">
        <v>29</v>
      </c>
      <c r="I220" s="19">
        <v>2</v>
      </c>
      <c r="J220" s="115" t="s">
        <v>525</v>
      </c>
    </row>
    <row r="221" spans="1:10" x14ac:dyDescent="0.2">
      <c r="A221" s="133" t="s">
        <v>10</v>
      </c>
      <c r="B221" s="19" t="s">
        <v>2162</v>
      </c>
      <c r="C221" s="612"/>
      <c r="D221" s="17">
        <v>44747</v>
      </c>
      <c r="E221" s="19" t="s">
        <v>486</v>
      </c>
      <c r="F221" s="19" t="s">
        <v>794</v>
      </c>
      <c r="G221" s="19"/>
      <c r="H221" s="19" t="s">
        <v>166</v>
      </c>
      <c r="I221" s="19">
        <v>1</v>
      </c>
      <c r="J221" s="115" t="s">
        <v>167</v>
      </c>
    </row>
    <row r="222" spans="1:10" x14ac:dyDescent="0.2">
      <c r="A222" s="133" t="s">
        <v>17</v>
      </c>
      <c r="B222" s="19" t="s">
        <v>24</v>
      </c>
      <c r="C222" s="612"/>
      <c r="D222" s="17">
        <v>44747</v>
      </c>
      <c r="E222" s="19" t="s">
        <v>493</v>
      </c>
      <c r="F222" s="19" t="s">
        <v>920</v>
      </c>
      <c r="G222" s="19"/>
      <c r="H222" s="19" t="s">
        <v>28</v>
      </c>
      <c r="I222" s="19">
        <v>1</v>
      </c>
      <c r="J222" s="115" t="s">
        <v>544</v>
      </c>
    </row>
    <row r="223" spans="1:10" x14ac:dyDescent="0.2">
      <c r="A223" s="133" t="s">
        <v>17</v>
      </c>
      <c r="B223" s="19" t="s">
        <v>24</v>
      </c>
      <c r="C223" s="612"/>
      <c r="D223" s="17">
        <v>44747</v>
      </c>
      <c r="E223" s="19" t="s">
        <v>493</v>
      </c>
      <c r="F223" s="19" t="s">
        <v>921</v>
      </c>
      <c r="G223" s="19"/>
      <c r="H223" s="19" t="s">
        <v>28</v>
      </c>
      <c r="I223" s="19">
        <v>1</v>
      </c>
      <c r="J223" s="115" t="s">
        <v>544</v>
      </c>
    </row>
    <row r="224" spans="1:10" x14ac:dyDescent="0.2">
      <c r="A224" s="133" t="s">
        <v>17</v>
      </c>
      <c r="B224" s="19" t="s">
        <v>24</v>
      </c>
      <c r="C224" s="612"/>
      <c r="D224" s="17">
        <v>44748</v>
      </c>
      <c r="E224" s="19" t="s">
        <v>549</v>
      </c>
      <c r="F224" s="19" t="s">
        <v>922</v>
      </c>
      <c r="G224" s="19"/>
      <c r="H224" s="19" t="s">
        <v>28</v>
      </c>
      <c r="I224" s="19">
        <v>1</v>
      </c>
      <c r="J224" s="115" t="s">
        <v>544</v>
      </c>
    </row>
    <row r="225" spans="1:10" x14ac:dyDescent="0.2">
      <c r="A225" s="133" t="s">
        <v>10</v>
      </c>
      <c r="B225" s="19" t="s">
        <v>11</v>
      </c>
      <c r="C225" s="612"/>
      <c r="D225" s="17">
        <v>44749</v>
      </c>
      <c r="E225" s="19" t="s">
        <v>923</v>
      </c>
      <c r="F225" s="19" t="s">
        <v>924</v>
      </c>
      <c r="G225" s="19" t="s">
        <v>242</v>
      </c>
      <c r="H225" s="19" t="s">
        <v>925</v>
      </c>
      <c r="I225" s="19">
        <v>3</v>
      </c>
      <c r="J225" s="115" t="s">
        <v>490</v>
      </c>
    </row>
    <row r="226" spans="1:10" x14ac:dyDescent="0.2">
      <c r="A226" s="133" t="s">
        <v>51</v>
      </c>
      <c r="B226" s="19" t="s">
        <v>52</v>
      </c>
      <c r="C226" s="612"/>
      <c r="D226" s="17">
        <v>44749</v>
      </c>
      <c r="E226" s="19" t="s">
        <v>57</v>
      </c>
      <c r="F226" s="19" t="s">
        <v>926</v>
      </c>
      <c r="G226" s="19" t="s">
        <v>927</v>
      </c>
      <c r="H226" s="19" t="s">
        <v>928</v>
      </c>
      <c r="I226" s="19">
        <v>3</v>
      </c>
      <c r="J226" s="115" t="s">
        <v>490</v>
      </c>
    </row>
    <row r="227" spans="1:10" x14ac:dyDescent="0.2">
      <c r="A227" s="133" t="s">
        <v>10</v>
      </c>
      <c r="B227" s="19" t="s">
        <v>29</v>
      </c>
      <c r="C227" s="612"/>
      <c r="D227" s="17">
        <v>44751</v>
      </c>
      <c r="E227" s="19" t="s">
        <v>929</v>
      </c>
      <c r="F227" s="19" t="s">
        <v>930</v>
      </c>
      <c r="G227" s="19" t="s">
        <v>76</v>
      </c>
      <c r="H227" s="19" t="s">
        <v>931</v>
      </c>
      <c r="I227" s="19">
        <v>2</v>
      </c>
      <c r="J227" s="115" t="s">
        <v>525</v>
      </c>
    </row>
    <row r="228" spans="1:10" x14ac:dyDescent="0.2">
      <c r="A228" s="133" t="s">
        <v>10</v>
      </c>
      <c r="B228" s="19" t="s">
        <v>2161</v>
      </c>
      <c r="C228" s="612"/>
      <c r="D228" s="17">
        <v>44751</v>
      </c>
      <c r="E228" s="19" t="s">
        <v>932</v>
      </c>
      <c r="F228" s="19" t="s">
        <v>933</v>
      </c>
      <c r="G228" s="19" t="s">
        <v>816</v>
      </c>
      <c r="H228" s="19" t="s">
        <v>934</v>
      </c>
      <c r="I228" s="19">
        <v>4</v>
      </c>
      <c r="J228" s="115" t="s">
        <v>935</v>
      </c>
    </row>
    <row r="229" spans="1:10" x14ac:dyDescent="0.2">
      <c r="A229" s="133" t="s">
        <v>10</v>
      </c>
      <c r="B229" s="19" t="s">
        <v>2162</v>
      </c>
      <c r="C229" s="612"/>
      <c r="D229" s="17">
        <v>44753</v>
      </c>
      <c r="E229" s="19" t="s">
        <v>72</v>
      </c>
      <c r="F229" s="19" t="s">
        <v>936</v>
      </c>
      <c r="G229" s="19" t="s">
        <v>76</v>
      </c>
      <c r="H229" s="19" t="s">
        <v>444</v>
      </c>
      <c r="I229" s="19">
        <v>1</v>
      </c>
      <c r="J229" s="115" t="s">
        <v>167</v>
      </c>
    </row>
    <row r="230" spans="1:10" x14ac:dyDescent="0.2">
      <c r="A230" s="133" t="s">
        <v>10</v>
      </c>
      <c r="B230" s="19" t="s">
        <v>2162</v>
      </c>
      <c r="C230" s="612"/>
      <c r="D230" s="17">
        <v>44754</v>
      </c>
      <c r="E230" s="19" t="s">
        <v>164</v>
      </c>
      <c r="F230" s="19" t="s">
        <v>165</v>
      </c>
      <c r="G230" s="19" t="s">
        <v>76</v>
      </c>
      <c r="H230" s="19" t="s">
        <v>937</v>
      </c>
      <c r="I230" s="19">
        <v>1</v>
      </c>
      <c r="J230" s="115" t="s">
        <v>167</v>
      </c>
    </row>
    <row r="231" spans="1:10" x14ac:dyDescent="0.2">
      <c r="A231" s="133" t="s">
        <v>51</v>
      </c>
      <c r="B231" s="19" t="s">
        <v>397</v>
      </c>
      <c r="C231" s="612"/>
      <c r="D231" s="17">
        <v>44755</v>
      </c>
      <c r="E231" s="19" t="s">
        <v>938</v>
      </c>
      <c r="F231" s="19" t="s">
        <v>939</v>
      </c>
      <c r="G231" s="19" t="s">
        <v>940</v>
      </c>
      <c r="H231" s="19" t="s">
        <v>941</v>
      </c>
      <c r="I231" s="19">
        <v>5</v>
      </c>
      <c r="J231" s="115" t="s">
        <v>513</v>
      </c>
    </row>
    <row r="232" spans="1:10" x14ac:dyDescent="0.2">
      <c r="A232" s="133" t="s">
        <v>10</v>
      </c>
      <c r="B232" s="19" t="s">
        <v>64</v>
      </c>
      <c r="C232" s="612"/>
      <c r="D232" s="17">
        <v>44755</v>
      </c>
      <c r="E232" s="19" t="s">
        <v>493</v>
      </c>
      <c r="F232" s="19" t="s">
        <v>942</v>
      </c>
      <c r="G232" s="19"/>
      <c r="H232" s="19" t="s">
        <v>64</v>
      </c>
      <c r="I232" s="19">
        <v>3</v>
      </c>
      <c r="J232" s="115" t="s">
        <v>599</v>
      </c>
    </row>
    <row r="233" spans="1:10" x14ac:dyDescent="0.2">
      <c r="A233" s="133" t="s">
        <v>17</v>
      </c>
      <c r="B233" s="19" t="s">
        <v>24</v>
      </c>
      <c r="C233" s="612"/>
      <c r="D233" s="17">
        <v>44756</v>
      </c>
      <c r="E233" s="19" t="s">
        <v>57</v>
      </c>
      <c r="F233" s="19" t="s">
        <v>943</v>
      </c>
      <c r="G233" s="19" t="s">
        <v>27</v>
      </c>
      <c r="H233" s="19" t="s">
        <v>28</v>
      </c>
      <c r="I233" s="19">
        <v>1</v>
      </c>
      <c r="J233" s="115" t="s">
        <v>544</v>
      </c>
    </row>
    <row r="234" spans="1:10" x14ac:dyDescent="0.2">
      <c r="A234" s="133" t="s">
        <v>10</v>
      </c>
      <c r="B234" s="19" t="s">
        <v>2162</v>
      </c>
      <c r="C234" s="612"/>
      <c r="D234" s="17">
        <v>44756</v>
      </c>
      <c r="E234" s="19" t="s">
        <v>549</v>
      </c>
      <c r="F234" s="19" t="s">
        <v>381</v>
      </c>
      <c r="G234" s="19"/>
      <c r="H234" s="19" t="s">
        <v>944</v>
      </c>
      <c r="I234" s="19">
        <v>9</v>
      </c>
      <c r="J234" s="115" t="s">
        <v>599</v>
      </c>
    </row>
    <row r="235" spans="1:10" x14ac:dyDescent="0.2">
      <c r="A235" s="133" t="s">
        <v>51</v>
      </c>
      <c r="B235" s="19" t="s">
        <v>481</v>
      </c>
      <c r="C235" s="612"/>
      <c r="D235" s="17">
        <v>44757</v>
      </c>
      <c r="E235" s="19" t="s">
        <v>945</v>
      </c>
      <c r="F235" s="19" t="s">
        <v>946</v>
      </c>
      <c r="G235" s="19" t="s">
        <v>947</v>
      </c>
      <c r="H235" s="19" t="s">
        <v>948</v>
      </c>
      <c r="I235" s="19">
        <v>27</v>
      </c>
      <c r="J235" s="115" t="s">
        <v>949</v>
      </c>
    </row>
    <row r="236" spans="1:10" x14ac:dyDescent="0.2">
      <c r="A236" s="133" t="s">
        <v>10</v>
      </c>
      <c r="B236" s="19" t="s">
        <v>2162</v>
      </c>
      <c r="C236" s="612"/>
      <c r="D236" s="17">
        <v>44758</v>
      </c>
      <c r="E236" s="19" t="s">
        <v>884</v>
      </c>
      <c r="F236" s="19" t="s">
        <v>950</v>
      </c>
      <c r="G236" s="19" t="s">
        <v>951</v>
      </c>
      <c r="H236" s="19" t="s">
        <v>952</v>
      </c>
      <c r="I236" s="19">
        <v>4</v>
      </c>
      <c r="J236" s="115" t="s">
        <v>525</v>
      </c>
    </row>
    <row r="237" spans="1:10" x14ac:dyDescent="0.2">
      <c r="A237" s="133" t="s">
        <v>10</v>
      </c>
      <c r="B237" s="19" t="s">
        <v>2162</v>
      </c>
      <c r="C237" s="612"/>
      <c r="D237" s="17">
        <v>44758</v>
      </c>
      <c r="E237" s="19" t="s">
        <v>133</v>
      </c>
      <c r="F237" s="19" t="s">
        <v>953</v>
      </c>
      <c r="G237" s="19" t="s">
        <v>954</v>
      </c>
      <c r="H237" s="19" t="s">
        <v>382</v>
      </c>
      <c r="I237" s="19">
        <v>6</v>
      </c>
      <c r="J237" s="115" t="s">
        <v>513</v>
      </c>
    </row>
    <row r="238" spans="1:10" x14ac:dyDescent="0.2">
      <c r="A238" s="133" t="s">
        <v>17</v>
      </c>
      <c r="B238" s="19" t="s">
        <v>24</v>
      </c>
      <c r="C238" s="612"/>
      <c r="D238" s="17">
        <v>44758</v>
      </c>
      <c r="E238" s="19" t="s">
        <v>486</v>
      </c>
      <c r="F238" s="19" t="s">
        <v>955</v>
      </c>
      <c r="G238" s="19"/>
      <c r="H238" s="19" t="s">
        <v>28</v>
      </c>
      <c r="I238" s="19">
        <v>2</v>
      </c>
      <c r="J238" s="115" t="s">
        <v>167</v>
      </c>
    </row>
    <row r="239" spans="1:10" x14ac:dyDescent="0.2">
      <c r="A239" s="133" t="s">
        <v>17</v>
      </c>
      <c r="B239" s="19" t="s">
        <v>24</v>
      </c>
      <c r="C239" s="612"/>
      <c r="D239" s="17">
        <v>44758</v>
      </c>
      <c r="E239" s="19" t="s">
        <v>493</v>
      </c>
      <c r="F239" s="19" t="s">
        <v>956</v>
      </c>
      <c r="G239" s="19"/>
      <c r="H239" s="19" t="s">
        <v>28</v>
      </c>
      <c r="I239" s="19">
        <v>2</v>
      </c>
      <c r="J239" s="115" t="s">
        <v>525</v>
      </c>
    </row>
    <row r="240" spans="1:10" x14ac:dyDescent="0.2">
      <c r="A240" s="133" t="s">
        <v>10</v>
      </c>
      <c r="B240" s="19" t="s">
        <v>244</v>
      </c>
      <c r="C240" s="612"/>
      <c r="D240" s="17">
        <v>44758</v>
      </c>
      <c r="E240" s="19" t="s">
        <v>493</v>
      </c>
      <c r="F240" s="19" t="s">
        <v>957</v>
      </c>
      <c r="G240" s="19"/>
      <c r="H240" s="19" t="s">
        <v>958</v>
      </c>
      <c r="I240" s="19">
        <v>3</v>
      </c>
      <c r="J240" s="115" t="s">
        <v>10</v>
      </c>
    </row>
    <row r="241" spans="1:10" x14ac:dyDescent="0.2">
      <c r="A241" s="133" t="s">
        <v>10</v>
      </c>
      <c r="B241" s="19" t="s">
        <v>656</v>
      </c>
      <c r="C241" s="612"/>
      <c r="D241" s="17">
        <v>44760</v>
      </c>
      <c r="E241" s="19" t="s">
        <v>215</v>
      </c>
      <c r="F241" s="19" t="s">
        <v>959</v>
      </c>
      <c r="G241" s="19"/>
      <c r="H241" s="19" t="s">
        <v>960</v>
      </c>
      <c r="I241" s="19">
        <v>2</v>
      </c>
      <c r="J241" s="115" t="s">
        <v>525</v>
      </c>
    </row>
    <row r="242" spans="1:10" x14ac:dyDescent="0.2">
      <c r="A242" s="133" t="s">
        <v>10</v>
      </c>
      <c r="B242" s="19" t="s">
        <v>2162</v>
      </c>
      <c r="C242" s="612"/>
      <c r="D242" s="17">
        <v>44760</v>
      </c>
      <c r="E242" s="19" t="s">
        <v>305</v>
      </c>
      <c r="F242" s="19" t="s">
        <v>394</v>
      </c>
      <c r="G242" s="19" t="s">
        <v>234</v>
      </c>
      <c r="H242" s="19" t="s">
        <v>961</v>
      </c>
      <c r="I242" s="19">
        <v>20</v>
      </c>
      <c r="J242" s="115" t="s">
        <v>167</v>
      </c>
    </row>
    <row r="243" spans="1:10" x14ac:dyDescent="0.2">
      <c r="A243" s="133" t="s">
        <v>10</v>
      </c>
      <c r="B243" s="19" t="s">
        <v>2162</v>
      </c>
      <c r="C243" s="612"/>
      <c r="D243" s="17">
        <v>44760</v>
      </c>
      <c r="E243" s="19" t="s">
        <v>69</v>
      </c>
      <c r="F243" s="19" t="s">
        <v>962</v>
      </c>
      <c r="G243" s="19" t="s">
        <v>234</v>
      </c>
      <c r="H243" s="19" t="s">
        <v>963</v>
      </c>
      <c r="I243" s="19">
        <v>2</v>
      </c>
      <c r="J243" s="115" t="s">
        <v>525</v>
      </c>
    </row>
    <row r="244" spans="1:10" x14ac:dyDescent="0.2">
      <c r="A244" s="133" t="s">
        <v>10</v>
      </c>
      <c r="B244" s="19" t="s">
        <v>188</v>
      </c>
      <c r="C244" s="612"/>
      <c r="D244" s="17">
        <v>44761</v>
      </c>
      <c r="E244" s="19" t="s">
        <v>72</v>
      </c>
      <c r="F244" s="19" t="s">
        <v>381</v>
      </c>
      <c r="G244" s="19"/>
      <c r="H244" s="19" t="s">
        <v>965</v>
      </c>
      <c r="I244" s="19">
        <v>3</v>
      </c>
      <c r="J244" s="115" t="s">
        <v>490</v>
      </c>
    </row>
    <row r="245" spans="1:10" x14ac:dyDescent="0.2">
      <c r="A245" s="133" t="s">
        <v>17</v>
      </c>
      <c r="B245" s="19" t="s">
        <v>24</v>
      </c>
      <c r="C245" s="612"/>
      <c r="D245" s="17">
        <v>44763</v>
      </c>
      <c r="E245" s="19" t="s">
        <v>966</v>
      </c>
      <c r="F245" s="19" t="s">
        <v>967</v>
      </c>
      <c r="G245" s="19" t="s">
        <v>390</v>
      </c>
      <c r="H245" s="19" t="s">
        <v>968</v>
      </c>
      <c r="I245" s="19">
        <v>1</v>
      </c>
      <c r="J245" s="115" t="s">
        <v>525</v>
      </c>
    </row>
    <row r="246" spans="1:10" x14ac:dyDescent="0.2">
      <c r="A246" s="133" t="s">
        <v>17</v>
      </c>
      <c r="B246" s="19" t="s">
        <v>24</v>
      </c>
      <c r="C246" s="612"/>
      <c r="D246" s="17">
        <v>44763</v>
      </c>
      <c r="E246" s="19" t="s">
        <v>240</v>
      </c>
      <c r="F246" s="19" t="s">
        <v>969</v>
      </c>
      <c r="G246" s="19" t="s">
        <v>234</v>
      </c>
      <c r="H246" s="19" t="s">
        <v>970</v>
      </c>
      <c r="I246" s="19">
        <v>1</v>
      </c>
      <c r="J246" s="115" t="s">
        <v>525</v>
      </c>
    </row>
    <row r="247" spans="1:10" x14ac:dyDescent="0.2">
      <c r="A247" s="133" t="s">
        <v>17</v>
      </c>
      <c r="B247" s="19" t="s">
        <v>24</v>
      </c>
      <c r="C247" s="612"/>
      <c r="D247" s="17">
        <v>44763</v>
      </c>
      <c r="E247" s="19" t="s">
        <v>240</v>
      </c>
      <c r="F247" s="19" t="s">
        <v>969</v>
      </c>
      <c r="G247" s="19" t="s">
        <v>234</v>
      </c>
      <c r="H247" s="19" t="s">
        <v>971</v>
      </c>
      <c r="I247" s="19">
        <v>1</v>
      </c>
      <c r="J247" s="115" t="s">
        <v>525</v>
      </c>
    </row>
    <row r="248" spans="1:10" x14ac:dyDescent="0.2">
      <c r="A248" s="133" t="s">
        <v>35</v>
      </c>
      <c r="B248" s="19" t="s">
        <v>137</v>
      </c>
      <c r="C248" s="612"/>
      <c r="D248" s="17">
        <v>44764</v>
      </c>
      <c r="E248" s="19" t="s">
        <v>57</v>
      </c>
      <c r="F248" s="19" t="s">
        <v>972</v>
      </c>
      <c r="G248" s="19" t="s">
        <v>973</v>
      </c>
      <c r="H248" s="19" t="s">
        <v>974</v>
      </c>
      <c r="I248" s="19">
        <v>3</v>
      </c>
      <c r="J248" s="115" t="s">
        <v>508</v>
      </c>
    </row>
    <row r="249" spans="1:10" x14ac:dyDescent="0.2">
      <c r="A249" s="133" t="s">
        <v>17</v>
      </c>
      <c r="B249" s="19" t="s">
        <v>24</v>
      </c>
      <c r="C249" s="612"/>
      <c r="D249" s="17">
        <v>44765</v>
      </c>
      <c r="E249" s="19" t="s">
        <v>57</v>
      </c>
      <c r="F249" s="19" t="s">
        <v>975</v>
      </c>
      <c r="G249" s="19"/>
      <c r="H249" s="19" t="s">
        <v>28</v>
      </c>
      <c r="I249" s="19">
        <v>1</v>
      </c>
      <c r="J249" s="115" t="s">
        <v>10</v>
      </c>
    </row>
    <row r="250" spans="1:10" x14ac:dyDescent="0.2">
      <c r="A250" s="133" t="s">
        <v>35</v>
      </c>
      <c r="B250" s="19" t="s">
        <v>137</v>
      </c>
      <c r="C250" s="612"/>
      <c r="D250" s="17">
        <v>44768</v>
      </c>
      <c r="E250" s="19" t="s">
        <v>534</v>
      </c>
      <c r="F250" s="19" t="s">
        <v>976</v>
      </c>
      <c r="G250" s="19"/>
      <c r="H250" s="19" t="s">
        <v>977</v>
      </c>
      <c r="I250" s="19">
        <v>2</v>
      </c>
      <c r="J250" s="115" t="s">
        <v>508</v>
      </c>
    </row>
    <row r="251" spans="1:10" x14ac:dyDescent="0.2">
      <c r="A251" s="133" t="s">
        <v>17</v>
      </c>
      <c r="B251" s="19" t="s">
        <v>24</v>
      </c>
      <c r="C251" s="612"/>
      <c r="D251" s="17">
        <v>44768</v>
      </c>
      <c r="E251" s="19" t="s">
        <v>493</v>
      </c>
      <c r="F251" s="19" t="s">
        <v>978</v>
      </c>
      <c r="G251" s="19"/>
      <c r="H251" s="19" t="s">
        <v>28</v>
      </c>
      <c r="I251" s="19">
        <v>2</v>
      </c>
      <c r="J251" s="115" t="s">
        <v>544</v>
      </c>
    </row>
    <row r="252" spans="1:10" x14ac:dyDescent="0.2">
      <c r="A252" s="133" t="s">
        <v>17</v>
      </c>
      <c r="B252" s="19" t="s">
        <v>24</v>
      </c>
      <c r="C252" s="612"/>
      <c r="D252" s="17">
        <v>44768</v>
      </c>
      <c r="E252" s="19" t="s">
        <v>493</v>
      </c>
      <c r="F252" s="19" t="s">
        <v>979</v>
      </c>
      <c r="G252" s="19"/>
      <c r="H252" s="19" t="s">
        <v>28</v>
      </c>
      <c r="I252" s="19">
        <v>2</v>
      </c>
      <c r="J252" s="115" t="s">
        <v>544</v>
      </c>
    </row>
    <row r="253" spans="1:10" x14ac:dyDescent="0.2">
      <c r="A253" s="133" t="s">
        <v>17</v>
      </c>
      <c r="B253" s="19" t="s">
        <v>24</v>
      </c>
      <c r="C253" s="612"/>
      <c r="D253" s="17">
        <v>44768</v>
      </c>
      <c r="E253" s="19" t="s">
        <v>493</v>
      </c>
      <c r="F253" s="19" t="s">
        <v>980</v>
      </c>
      <c r="G253" s="19"/>
      <c r="H253" s="19" t="s">
        <v>28</v>
      </c>
      <c r="I253" s="19">
        <v>2</v>
      </c>
      <c r="J253" s="115" t="s">
        <v>544</v>
      </c>
    </row>
    <row r="254" spans="1:10" x14ac:dyDescent="0.2">
      <c r="A254" s="133" t="s">
        <v>10</v>
      </c>
      <c r="B254" s="19" t="s">
        <v>2162</v>
      </c>
      <c r="C254" s="612"/>
      <c r="D254" s="17">
        <v>44768</v>
      </c>
      <c r="E254" s="19" t="s">
        <v>493</v>
      </c>
      <c r="F254" s="19" t="s">
        <v>794</v>
      </c>
      <c r="G254" s="19"/>
      <c r="H254" s="19" t="s">
        <v>166</v>
      </c>
      <c r="I254" s="19">
        <v>1</v>
      </c>
      <c r="J254" s="115" t="s">
        <v>167</v>
      </c>
    </row>
    <row r="255" spans="1:10" x14ac:dyDescent="0.2">
      <c r="A255" s="133" t="s">
        <v>10</v>
      </c>
      <c r="B255" s="19" t="s">
        <v>324</v>
      </c>
      <c r="C255" s="612"/>
      <c r="D255" s="17">
        <v>44768</v>
      </c>
      <c r="E255" s="19" t="s">
        <v>486</v>
      </c>
      <c r="F255" s="19" t="s">
        <v>981</v>
      </c>
      <c r="G255" s="19"/>
      <c r="H255" s="19" t="s">
        <v>982</v>
      </c>
      <c r="I255" s="19">
        <v>3</v>
      </c>
      <c r="J255" s="115" t="s">
        <v>508</v>
      </c>
    </row>
    <row r="256" spans="1:10" x14ac:dyDescent="0.2">
      <c r="A256" s="133" t="s">
        <v>10</v>
      </c>
      <c r="B256" s="19" t="s">
        <v>324</v>
      </c>
      <c r="C256" s="612"/>
      <c r="D256" s="17">
        <v>44768</v>
      </c>
      <c r="E256" s="19" t="s">
        <v>486</v>
      </c>
      <c r="F256" s="19" t="s">
        <v>983</v>
      </c>
      <c r="G256" s="19"/>
      <c r="H256" s="19" t="s">
        <v>982</v>
      </c>
      <c r="I256" s="19">
        <v>3</v>
      </c>
      <c r="J256" s="115" t="s">
        <v>525</v>
      </c>
    </row>
    <row r="257" spans="1:10" x14ac:dyDescent="0.2">
      <c r="A257" s="133" t="s">
        <v>35</v>
      </c>
      <c r="B257" s="19" t="s">
        <v>2162</v>
      </c>
      <c r="C257" s="612"/>
      <c r="D257" s="17">
        <v>44768</v>
      </c>
      <c r="E257" s="19" t="s">
        <v>486</v>
      </c>
      <c r="F257" s="19" t="s">
        <v>984</v>
      </c>
      <c r="G257" s="19"/>
      <c r="H257" s="19" t="s">
        <v>985</v>
      </c>
      <c r="I257" s="19">
        <v>3</v>
      </c>
      <c r="J257" s="115" t="s">
        <v>525</v>
      </c>
    </row>
    <row r="258" spans="1:10" x14ac:dyDescent="0.2">
      <c r="A258" s="133" t="s">
        <v>10</v>
      </c>
      <c r="B258" s="19" t="s">
        <v>2162</v>
      </c>
      <c r="C258" s="612"/>
      <c r="D258" s="17">
        <v>44768</v>
      </c>
      <c r="E258" s="19" t="s">
        <v>493</v>
      </c>
      <c r="F258" s="19" t="s">
        <v>157</v>
      </c>
      <c r="G258" s="19"/>
      <c r="H258" s="19" t="s">
        <v>986</v>
      </c>
      <c r="I258" s="19">
        <v>3</v>
      </c>
      <c r="J258" s="115" t="s">
        <v>525</v>
      </c>
    </row>
    <row r="259" spans="1:10" x14ac:dyDescent="0.2">
      <c r="A259" s="133" t="s">
        <v>10</v>
      </c>
      <c r="B259" s="19" t="s">
        <v>2161</v>
      </c>
      <c r="C259" s="612"/>
      <c r="D259" s="17">
        <v>44768</v>
      </c>
      <c r="E259" s="19" t="s">
        <v>493</v>
      </c>
      <c r="F259" s="19" t="s">
        <v>987</v>
      </c>
      <c r="G259" s="19"/>
      <c r="H259" s="19" t="s">
        <v>988</v>
      </c>
      <c r="I259" s="19">
        <v>4</v>
      </c>
      <c r="J259" s="115" t="s">
        <v>525</v>
      </c>
    </row>
    <row r="260" spans="1:10" x14ac:dyDescent="0.2">
      <c r="A260" s="133" t="s">
        <v>35</v>
      </c>
      <c r="B260" s="19" t="s">
        <v>29</v>
      </c>
      <c r="C260" s="612"/>
      <c r="D260" s="17">
        <v>44769</v>
      </c>
      <c r="E260" s="19" t="s">
        <v>57</v>
      </c>
      <c r="F260" s="19" t="s">
        <v>989</v>
      </c>
      <c r="G260" s="19" t="s">
        <v>990</v>
      </c>
      <c r="H260" s="19" t="s">
        <v>991</v>
      </c>
      <c r="I260" s="19">
        <v>4</v>
      </c>
      <c r="J260" s="115" t="s">
        <v>525</v>
      </c>
    </row>
    <row r="261" spans="1:10" x14ac:dyDescent="0.2">
      <c r="A261" s="133" t="s">
        <v>10</v>
      </c>
      <c r="B261" s="19" t="s">
        <v>29</v>
      </c>
      <c r="C261" s="612"/>
      <c r="D261" s="17">
        <v>44769</v>
      </c>
      <c r="E261" s="19" t="s">
        <v>493</v>
      </c>
      <c r="F261" s="19" t="s">
        <v>992</v>
      </c>
      <c r="G261" s="19"/>
      <c r="H261" s="19" t="s">
        <v>993</v>
      </c>
      <c r="I261" s="19">
        <v>4</v>
      </c>
      <c r="J261" s="115" t="s">
        <v>525</v>
      </c>
    </row>
    <row r="262" spans="1:10" x14ac:dyDescent="0.2">
      <c r="A262" s="133" t="s">
        <v>17</v>
      </c>
      <c r="B262" s="19" t="s">
        <v>24</v>
      </c>
      <c r="C262" s="612"/>
      <c r="D262" s="17">
        <v>44769</v>
      </c>
      <c r="E262" s="19" t="s">
        <v>486</v>
      </c>
      <c r="F262" s="19" t="s">
        <v>994</v>
      </c>
      <c r="G262" s="19"/>
      <c r="H262" s="19" t="s">
        <v>28</v>
      </c>
      <c r="I262" s="19">
        <v>1</v>
      </c>
      <c r="J262" s="115" t="s">
        <v>544</v>
      </c>
    </row>
    <row r="263" spans="1:10" x14ac:dyDescent="0.2">
      <c r="A263" s="133" t="s">
        <v>17</v>
      </c>
      <c r="B263" s="19" t="s">
        <v>24</v>
      </c>
      <c r="C263" s="612"/>
      <c r="D263" s="17">
        <v>44769</v>
      </c>
      <c r="E263" s="19" t="s">
        <v>493</v>
      </c>
      <c r="F263" s="19" t="s">
        <v>995</v>
      </c>
      <c r="G263" s="19"/>
      <c r="H263" s="19" t="s">
        <v>28</v>
      </c>
      <c r="I263" s="19">
        <v>1</v>
      </c>
      <c r="J263" s="115" t="s">
        <v>544</v>
      </c>
    </row>
    <row r="264" spans="1:10" x14ac:dyDescent="0.2">
      <c r="A264" s="133" t="s">
        <v>10</v>
      </c>
      <c r="B264" s="19" t="s">
        <v>29</v>
      </c>
      <c r="C264" s="612"/>
      <c r="D264" s="17">
        <v>44769</v>
      </c>
      <c r="E264" s="19" t="s">
        <v>500</v>
      </c>
      <c r="F264" s="19" t="s">
        <v>996</v>
      </c>
      <c r="G264" s="19"/>
      <c r="H264" s="19" t="s">
        <v>29</v>
      </c>
      <c r="I264" s="19">
        <v>4</v>
      </c>
      <c r="J264" s="115" t="s">
        <v>525</v>
      </c>
    </row>
    <row r="265" spans="1:10" x14ac:dyDescent="0.2">
      <c r="A265" s="133" t="s">
        <v>10</v>
      </c>
      <c r="B265" s="19" t="s">
        <v>2162</v>
      </c>
      <c r="C265" s="612"/>
      <c r="D265" s="17">
        <v>44769</v>
      </c>
      <c r="E265" s="19" t="s">
        <v>486</v>
      </c>
      <c r="F265" s="19" t="s">
        <v>997</v>
      </c>
      <c r="G265" s="19"/>
      <c r="H265" s="19" t="s">
        <v>998</v>
      </c>
      <c r="I265" s="19">
        <v>6</v>
      </c>
      <c r="J265" s="115" t="s">
        <v>508</v>
      </c>
    </row>
    <row r="266" spans="1:10" x14ac:dyDescent="0.2">
      <c r="A266" s="133" t="s">
        <v>17</v>
      </c>
      <c r="B266" s="19" t="s">
        <v>24</v>
      </c>
      <c r="C266" s="612"/>
      <c r="D266" s="17">
        <v>44770</v>
      </c>
      <c r="E266" s="19" t="s">
        <v>368</v>
      </c>
      <c r="F266" s="19" t="s">
        <v>999</v>
      </c>
      <c r="G266" s="19" t="s">
        <v>390</v>
      </c>
      <c r="H266" s="19" t="s">
        <v>1000</v>
      </c>
      <c r="I266" s="19">
        <v>1</v>
      </c>
      <c r="J266" s="115" t="s">
        <v>544</v>
      </c>
    </row>
    <row r="267" spans="1:10" x14ac:dyDescent="0.2">
      <c r="A267" s="133" t="s">
        <v>17</v>
      </c>
      <c r="B267" s="19" t="s">
        <v>24</v>
      </c>
      <c r="C267" s="612"/>
      <c r="D267" s="17">
        <v>44770</v>
      </c>
      <c r="E267" s="19" t="s">
        <v>486</v>
      </c>
      <c r="F267" s="19" t="s">
        <v>1001</v>
      </c>
      <c r="G267" s="19"/>
      <c r="H267" s="19" t="s">
        <v>28</v>
      </c>
      <c r="I267" s="19">
        <v>1</v>
      </c>
      <c r="J267" s="115" t="s">
        <v>544</v>
      </c>
    </row>
    <row r="268" spans="1:10" x14ac:dyDescent="0.2">
      <c r="A268" s="133" t="s">
        <v>10</v>
      </c>
      <c r="B268" s="19" t="s">
        <v>324</v>
      </c>
      <c r="C268" s="612"/>
      <c r="D268" s="17">
        <v>44770</v>
      </c>
      <c r="E268" s="19" t="s">
        <v>549</v>
      </c>
      <c r="F268" s="19" t="s">
        <v>1002</v>
      </c>
      <c r="G268" s="19"/>
      <c r="H268" s="19" t="s">
        <v>1003</v>
      </c>
      <c r="I268" s="19">
        <v>13</v>
      </c>
      <c r="J268" s="115" t="s">
        <v>510</v>
      </c>
    </row>
    <row r="269" spans="1:10" x14ac:dyDescent="0.2">
      <c r="A269" s="133" t="s">
        <v>17</v>
      </c>
      <c r="B269" s="19" t="s">
        <v>24</v>
      </c>
      <c r="C269" s="612"/>
      <c r="D269" s="17">
        <v>44771</v>
      </c>
      <c r="E269" s="19" t="s">
        <v>486</v>
      </c>
      <c r="F269" s="19" t="s">
        <v>1004</v>
      </c>
      <c r="G269" s="19"/>
      <c r="H269" s="19" t="s">
        <v>28</v>
      </c>
      <c r="I269" s="19">
        <v>2</v>
      </c>
      <c r="J269" s="115" t="s">
        <v>10</v>
      </c>
    </row>
    <row r="270" spans="1:10" x14ac:dyDescent="0.2">
      <c r="A270" s="133" t="s">
        <v>17</v>
      </c>
      <c r="B270" s="19" t="s">
        <v>24</v>
      </c>
      <c r="C270" s="613"/>
      <c r="D270" s="17">
        <v>44771</v>
      </c>
      <c r="E270" s="19" t="s">
        <v>493</v>
      </c>
      <c r="F270" s="19" t="s">
        <v>1005</v>
      </c>
      <c r="G270" s="19"/>
      <c r="H270" s="19" t="s">
        <v>1006</v>
      </c>
      <c r="I270" s="19">
        <v>5</v>
      </c>
      <c r="J270" s="115" t="s">
        <v>599</v>
      </c>
    </row>
    <row r="271" spans="1:10" ht="13.6" x14ac:dyDescent="0.2">
      <c r="A271" s="116" t="s">
        <v>2147</v>
      </c>
      <c r="B271" s="92"/>
      <c r="C271" s="27"/>
      <c r="D271" s="26"/>
      <c r="E271" s="92"/>
      <c r="F271" s="92"/>
      <c r="G271" s="92"/>
      <c r="H271" s="92"/>
      <c r="I271" s="92"/>
      <c r="J271" s="117"/>
    </row>
    <row r="272" spans="1:10" x14ac:dyDescent="0.2">
      <c r="A272" s="133" t="s">
        <v>10</v>
      </c>
      <c r="B272" s="19" t="s">
        <v>2162</v>
      </c>
      <c r="C272" s="611">
        <f>COUNTIF(B272:B324,C2)</f>
        <v>3</v>
      </c>
      <c r="D272" s="17">
        <v>44774</v>
      </c>
      <c r="E272" s="19" t="s">
        <v>72</v>
      </c>
      <c r="F272" s="19" t="s">
        <v>443</v>
      </c>
      <c r="G272" s="19" t="s">
        <v>1007</v>
      </c>
      <c r="H272" s="19" t="s">
        <v>444</v>
      </c>
      <c r="I272" s="19">
        <v>1</v>
      </c>
      <c r="J272" s="115" t="s">
        <v>167</v>
      </c>
    </row>
    <row r="273" spans="1:10" x14ac:dyDescent="0.2">
      <c r="A273" s="133" t="s">
        <v>10</v>
      </c>
      <c r="B273" s="19" t="s">
        <v>24</v>
      </c>
      <c r="C273" s="612"/>
      <c r="D273" s="17">
        <v>44774</v>
      </c>
      <c r="E273" s="19" t="s">
        <v>72</v>
      </c>
      <c r="F273" s="19" t="s">
        <v>1008</v>
      </c>
      <c r="G273" s="19"/>
      <c r="H273" s="19" t="s">
        <v>1009</v>
      </c>
      <c r="I273" s="19">
        <v>2</v>
      </c>
      <c r="J273" s="115" t="s">
        <v>10</v>
      </c>
    </row>
    <row r="274" spans="1:10" x14ac:dyDescent="0.2">
      <c r="A274" s="133" t="s">
        <v>387</v>
      </c>
      <c r="B274" s="19" t="s">
        <v>152</v>
      </c>
      <c r="C274" s="612"/>
      <c r="D274" s="17">
        <v>44774</v>
      </c>
      <c r="E274" s="19" t="s">
        <v>1010</v>
      </c>
      <c r="F274" s="19" t="s">
        <v>1011</v>
      </c>
      <c r="G274" s="19"/>
      <c r="H274" s="19" t="s">
        <v>1012</v>
      </c>
      <c r="I274" s="19">
        <v>3</v>
      </c>
      <c r="J274" s="115" t="s">
        <v>525</v>
      </c>
    </row>
    <row r="275" spans="1:10" x14ac:dyDescent="0.2">
      <c r="A275" s="133" t="s">
        <v>10</v>
      </c>
      <c r="B275" s="19" t="s">
        <v>29</v>
      </c>
      <c r="C275" s="612"/>
      <c r="D275" s="17">
        <v>44775</v>
      </c>
      <c r="E275" s="19" t="s">
        <v>57</v>
      </c>
      <c r="F275" s="19" t="s">
        <v>1013</v>
      </c>
      <c r="G275" s="19" t="s">
        <v>95</v>
      </c>
      <c r="H275" s="19" t="s">
        <v>1014</v>
      </c>
      <c r="I275" s="19">
        <v>3</v>
      </c>
      <c r="J275" s="115" t="s">
        <v>525</v>
      </c>
    </row>
    <row r="276" spans="1:10" x14ac:dyDescent="0.2">
      <c r="A276" s="133" t="s">
        <v>10</v>
      </c>
      <c r="B276" s="19" t="s">
        <v>2162</v>
      </c>
      <c r="C276" s="612"/>
      <c r="D276" s="17">
        <v>44775</v>
      </c>
      <c r="E276" s="19" t="s">
        <v>1015</v>
      </c>
      <c r="F276" s="19" t="s">
        <v>165</v>
      </c>
      <c r="G276" s="19" t="s">
        <v>1016</v>
      </c>
      <c r="H276" s="19" t="s">
        <v>166</v>
      </c>
      <c r="I276" s="19">
        <v>1</v>
      </c>
      <c r="J276" s="115" t="s">
        <v>167</v>
      </c>
    </row>
    <row r="277" spans="1:10" x14ac:dyDescent="0.2">
      <c r="A277" s="133" t="s">
        <v>17</v>
      </c>
      <c r="B277" s="19" t="s">
        <v>24</v>
      </c>
      <c r="C277" s="612"/>
      <c r="D277" s="17">
        <v>44775</v>
      </c>
      <c r="E277" s="19" t="s">
        <v>57</v>
      </c>
      <c r="F277" s="19" t="s">
        <v>1017</v>
      </c>
      <c r="G277" s="19"/>
      <c r="H277" s="19" t="s">
        <v>28</v>
      </c>
      <c r="I277" s="19">
        <v>2</v>
      </c>
      <c r="J277" s="115" t="s">
        <v>10</v>
      </c>
    </row>
    <row r="278" spans="1:10" x14ac:dyDescent="0.2">
      <c r="A278" s="133" t="s">
        <v>35</v>
      </c>
      <c r="B278" s="19" t="s">
        <v>137</v>
      </c>
      <c r="C278" s="612"/>
      <c r="D278" s="17">
        <v>44775</v>
      </c>
      <c r="E278" s="19" t="s">
        <v>493</v>
      </c>
      <c r="F278" s="19" t="s">
        <v>139</v>
      </c>
      <c r="G278" s="19"/>
      <c r="H278" s="19" t="s">
        <v>1018</v>
      </c>
      <c r="I278" s="19">
        <v>2</v>
      </c>
      <c r="J278" s="115" t="s">
        <v>34</v>
      </c>
    </row>
    <row r="279" spans="1:10" x14ac:dyDescent="0.2">
      <c r="A279" s="133" t="s">
        <v>35</v>
      </c>
      <c r="B279" s="19" t="s">
        <v>137</v>
      </c>
      <c r="C279" s="612"/>
      <c r="D279" s="17">
        <v>44775</v>
      </c>
      <c r="E279" s="19" t="s">
        <v>493</v>
      </c>
      <c r="F279" s="19" t="s">
        <v>1019</v>
      </c>
      <c r="G279" s="19" t="s">
        <v>95</v>
      </c>
      <c r="H279" s="19" t="s">
        <v>1020</v>
      </c>
      <c r="I279" s="19">
        <v>3</v>
      </c>
      <c r="J279" s="115" t="s">
        <v>525</v>
      </c>
    </row>
    <row r="280" spans="1:10" x14ac:dyDescent="0.2">
      <c r="A280" s="133" t="s">
        <v>10</v>
      </c>
      <c r="B280" s="19" t="s">
        <v>2161</v>
      </c>
      <c r="C280" s="612"/>
      <c r="D280" s="17">
        <v>44776</v>
      </c>
      <c r="E280" s="19" t="s">
        <v>500</v>
      </c>
      <c r="F280" s="19" t="s">
        <v>722</v>
      </c>
      <c r="G280" s="19"/>
      <c r="H280" s="19" t="s">
        <v>1021</v>
      </c>
      <c r="I280" s="19">
        <v>2</v>
      </c>
      <c r="J280" s="115" t="s">
        <v>508</v>
      </c>
    </row>
    <row r="281" spans="1:10" x14ac:dyDescent="0.2">
      <c r="A281" s="133" t="s">
        <v>10</v>
      </c>
      <c r="B281" s="19" t="s">
        <v>29</v>
      </c>
      <c r="C281" s="612"/>
      <c r="D281" s="17">
        <v>44776</v>
      </c>
      <c r="E281" s="19" t="s">
        <v>72</v>
      </c>
      <c r="F281" s="19" t="s">
        <v>1022</v>
      </c>
      <c r="G281" s="19" t="s">
        <v>217</v>
      </c>
      <c r="H281" s="19" t="s">
        <v>29</v>
      </c>
      <c r="I281" s="19">
        <v>5</v>
      </c>
      <c r="J281" s="115" t="s">
        <v>525</v>
      </c>
    </row>
    <row r="282" spans="1:10" x14ac:dyDescent="0.2">
      <c r="A282" s="133" t="s">
        <v>17</v>
      </c>
      <c r="B282" s="19" t="s">
        <v>24</v>
      </c>
      <c r="C282" s="612"/>
      <c r="D282" s="17">
        <v>44776</v>
      </c>
      <c r="E282" s="19" t="s">
        <v>94</v>
      </c>
      <c r="F282" s="19" t="s">
        <v>1023</v>
      </c>
      <c r="G282" s="19"/>
      <c r="H282" s="19" t="s">
        <v>28</v>
      </c>
      <c r="I282" s="19">
        <v>1</v>
      </c>
      <c r="J282" s="115" t="s">
        <v>10</v>
      </c>
    </row>
    <row r="283" spans="1:10" x14ac:dyDescent="0.2">
      <c r="A283" s="133" t="s">
        <v>17</v>
      </c>
      <c r="B283" s="19" t="s">
        <v>24</v>
      </c>
      <c r="C283" s="612"/>
      <c r="D283" s="17">
        <v>44776</v>
      </c>
      <c r="E283" s="19" t="s">
        <v>1024</v>
      </c>
      <c r="F283" s="19" t="s">
        <v>1025</v>
      </c>
      <c r="G283" s="19" t="s">
        <v>21</v>
      </c>
      <c r="H283" s="19" t="s">
        <v>28</v>
      </c>
      <c r="I283" s="19">
        <v>1</v>
      </c>
      <c r="J283" s="115" t="s">
        <v>10</v>
      </c>
    </row>
    <row r="284" spans="1:10" x14ac:dyDescent="0.2">
      <c r="A284" s="133" t="s">
        <v>17</v>
      </c>
      <c r="B284" s="19" t="s">
        <v>2161</v>
      </c>
      <c r="C284" s="612"/>
      <c r="D284" s="17">
        <v>44776</v>
      </c>
      <c r="E284" s="19" t="s">
        <v>57</v>
      </c>
      <c r="F284" s="19" t="s">
        <v>1026</v>
      </c>
      <c r="G284" s="19" t="s">
        <v>1027</v>
      </c>
      <c r="H284" s="19" t="s">
        <v>1028</v>
      </c>
      <c r="I284" s="19">
        <v>4</v>
      </c>
      <c r="J284" s="115" t="s">
        <v>525</v>
      </c>
    </row>
    <row r="285" spans="1:10" x14ac:dyDescent="0.2">
      <c r="A285" s="133" t="s">
        <v>17</v>
      </c>
      <c r="B285" s="19" t="s">
        <v>24</v>
      </c>
      <c r="C285" s="612"/>
      <c r="D285" s="17">
        <v>44778</v>
      </c>
      <c r="E285" s="19" t="s">
        <v>657</v>
      </c>
      <c r="F285" s="19" t="s">
        <v>1029</v>
      </c>
      <c r="G285" s="19"/>
      <c r="H285" s="19" t="s">
        <v>28</v>
      </c>
      <c r="I285" s="19">
        <v>1</v>
      </c>
      <c r="J285" s="115" t="s">
        <v>10</v>
      </c>
    </row>
    <row r="286" spans="1:10" x14ac:dyDescent="0.2">
      <c r="A286" s="133" t="s">
        <v>10</v>
      </c>
      <c r="B286" s="19" t="s">
        <v>2162</v>
      </c>
      <c r="C286" s="612"/>
      <c r="D286" s="17">
        <v>44778</v>
      </c>
      <c r="E286" s="19" t="s">
        <v>486</v>
      </c>
      <c r="F286" s="19" t="s">
        <v>585</v>
      </c>
      <c r="G286" s="19"/>
      <c r="H286" s="19" t="s">
        <v>1030</v>
      </c>
      <c r="I286" s="19">
        <v>10</v>
      </c>
      <c r="J286" s="115" t="s">
        <v>705</v>
      </c>
    </row>
    <row r="287" spans="1:10" x14ac:dyDescent="0.2">
      <c r="A287" s="133" t="s">
        <v>10</v>
      </c>
      <c r="B287" s="19" t="s">
        <v>29</v>
      </c>
      <c r="C287" s="612"/>
      <c r="D287" s="17">
        <v>44776</v>
      </c>
      <c r="E287" s="19" t="s">
        <v>493</v>
      </c>
      <c r="F287" s="19" t="s">
        <v>1031</v>
      </c>
      <c r="G287" s="19"/>
      <c r="H287" s="19" t="s">
        <v>993</v>
      </c>
      <c r="I287" s="19">
        <v>5</v>
      </c>
      <c r="J287" s="115" t="s">
        <v>525</v>
      </c>
    </row>
    <row r="288" spans="1:10" x14ac:dyDescent="0.2">
      <c r="A288" s="133" t="s">
        <v>17</v>
      </c>
      <c r="B288" s="19" t="s">
        <v>24</v>
      </c>
      <c r="C288" s="612"/>
      <c r="D288" s="17">
        <v>44778</v>
      </c>
      <c r="E288" s="19" t="s">
        <v>57</v>
      </c>
      <c r="F288" s="19" t="s">
        <v>1032</v>
      </c>
      <c r="G288" s="19" t="s">
        <v>110</v>
      </c>
      <c r="H288" s="19" t="s">
        <v>28</v>
      </c>
      <c r="I288" s="19">
        <v>2</v>
      </c>
      <c r="J288" s="115" t="s">
        <v>10</v>
      </c>
    </row>
    <row r="289" spans="1:10" x14ac:dyDescent="0.2">
      <c r="A289" s="133" t="s">
        <v>10</v>
      </c>
      <c r="B289" s="19" t="s">
        <v>163</v>
      </c>
      <c r="C289" s="612"/>
      <c r="D289" s="17">
        <v>44781</v>
      </c>
      <c r="E289" s="19" t="s">
        <v>1033</v>
      </c>
      <c r="F289" s="19" t="s">
        <v>1034</v>
      </c>
      <c r="G289" s="19" t="s">
        <v>885</v>
      </c>
      <c r="H289" s="19" t="s">
        <v>1035</v>
      </c>
      <c r="I289" s="19">
        <v>13</v>
      </c>
      <c r="J289" s="115" t="s">
        <v>10</v>
      </c>
    </row>
    <row r="290" spans="1:10" x14ac:dyDescent="0.2">
      <c r="A290" s="133" t="s">
        <v>17</v>
      </c>
      <c r="B290" s="19" t="s">
        <v>24</v>
      </c>
      <c r="C290" s="612"/>
      <c r="D290" s="17">
        <v>44782</v>
      </c>
      <c r="E290" s="19" t="s">
        <v>74</v>
      </c>
      <c r="F290" s="19" t="s">
        <v>1036</v>
      </c>
      <c r="G290" s="19" t="s">
        <v>144</v>
      </c>
      <c r="H290" s="19" t="s">
        <v>1037</v>
      </c>
      <c r="I290" s="19">
        <v>1</v>
      </c>
      <c r="J290" s="115" t="s">
        <v>23</v>
      </c>
    </row>
    <row r="291" spans="1:10" x14ac:dyDescent="0.2">
      <c r="A291" s="133" t="s">
        <v>10</v>
      </c>
      <c r="B291" s="19" t="s">
        <v>2161</v>
      </c>
      <c r="C291" s="612"/>
      <c r="D291" s="17">
        <v>44782</v>
      </c>
      <c r="E291" s="19" t="s">
        <v>215</v>
      </c>
      <c r="F291" s="19" t="s">
        <v>722</v>
      </c>
      <c r="G291" s="19" t="s">
        <v>95</v>
      </c>
      <c r="H291" s="19" t="s">
        <v>1038</v>
      </c>
      <c r="I291" s="19">
        <v>2</v>
      </c>
      <c r="J291" s="115" t="s">
        <v>525</v>
      </c>
    </row>
    <row r="292" spans="1:10" x14ac:dyDescent="0.2">
      <c r="A292" s="133" t="s">
        <v>10</v>
      </c>
      <c r="B292" s="19" t="s">
        <v>2162</v>
      </c>
      <c r="C292" s="612"/>
      <c r="D292" s="17">
        <v>44782</v>
      </c>
      <c r="E292" s="19" t="s">
        <v>1039</v>
      </c>
      <c r="F292" s="19" t="s">
        <v>885</v>
      </c>
      <c r="G292" s="19" t="s">
        <v>76</v>
      </c>
      <c r="H292" s="19" t="s">
        <v>857</v>
      </c>
      <c r="I292" s="19">
        <v>1</v>
      </c>
      <c r="J292" s="115" t="s">
        <v>167</v>
      </c>
    </row>
    <row r="293" spans="1:10" x14ac:dyDescent="0.2">
      <c r="A293" s="133" t="s">
        <v>10</v>
      </c>
      <c r="B293" s="19" t="s">
        <v>29</v>
      </c>
      <c r="C293" s="612"/>
      <c r="D293" s="17">
        <v>44783</v>
      </c>
      <c r="E293" s="19" t="s">
        <v>337</v>
      </c>
      <c r="F293" s="19" t="s">
        <v>1040</v>
      </c>
      <c r="G293" s="19" t="s">
        <v>699</v>
      </c>
      <c r="H293" s="19" t="s">
        <v>1041</v>
      </c>
      <c r="I293" s="19">
        <v>3</v>
      </c>
      <c r="J293" s="115" t="s">
        <v>599</v>
      </c>
    </row>
    <row r="294" spans="1:10" x14ac:dyDescent="0.2">
      <c r="A294" s="133" t="s">
        <v>10</v>
      </c>
      <c r="B294" s="19" t="s">
        <v>2161</v>
      </c>
      <c r="C294" s="612"/>
      <c r="D294" s="17">
        <v>44784</v>
      </c>
      <c r="E294" s="19" t="s">
        <v>1042</v>
      </c>
      <c r="F294" s="19" t="s">
        <v>1043</v>
      </c>
      <c r="G294" s="19" t="s">
        <v>1044</v>
      </c>
      <c r="H294" s="19" t="s">
        <v>1045</v>
      </c>
      <c r="I294" s="19">
        <v>2</v>
      </c>
      <c r="J294" s="115" t="s">
        <v>78</v>
      </c>
    </row>
    <row r="295" spans="1:10" x14ac:dyDescent="0.2">
      <c r="A295" s="133" t="s">
        <v>10</v>
      </c>
      <c r="B295" s="19" t="s">
        <v>2161</v>
      </c>
      <c r="C295" s="612"/>
      <c r="D295" s="17">
        <v>44786</v>
      </c>
      <c r="E295" s="19" t="s">
        <v>57</v>
      </c>
      <c r="F295" s="19" t="s">
        <v>1046</v>
      </c>
      <c r="G295" s="19" t="s">
        <v>1046</v>
      </c>
      <c r="H295" s="19" t="s">
        <v>1047</v>
      </c>
      <c r="I295" s="19">
        <v>2</v>
      </c>
      <c r="J295" s="115" t="s">
        <v>50</v>
      </c>
    </row>
    <row r="296" spans="1:10" x14ac:dyDescent="0.2">
      <c r="A296" s="133" t="s">
        <v>10</v>
      </c>
      <c r="B296" s="19" t="s">
        <v>2161</v>
      </c>
      <c r="C296" s="612"/>
      <c r="D296" s="17">
        <v>44786</v>
      </c>
      <c r="E296" s="19" t="s">
        <v>431</v>
      </c>
      <c r="F296" s="19" t="s">
        <v>1048</v>
      </c>
      <c r="G296" s="19" t="s">
        <v>1049</v>
      </c>
      <c r="H296" s="19" t="s">
        <v>1050</v>
      </c>
      <c r="I296" s="19">
        <v>7</v>
      </c>
      <c r="J296" s="115" t="s">
        <v>41</v>
      </c>
    </row>
    <row r="297" spans="1:10" x14ac:dyDescent="0.2">
      <c r="A297" s="133" t="s">
        <v>17</v>
      </c>
      <c r="B297" s="19" t="s">
        <v>24</v>
      </c>
      <c r="C297" s="612"/>
      <c r="D297" s="17">
        <v>44789</v>
      </c>
      <c r="E297" s="19" t="s">
        <v>493</v>
      </c>
      <c r="F297" s="19" t="s">
        <v>1051</v>
      </c>
      <c r="G297" s="19"/>
      <c r="H297" s="19" t="s">
        <v>28</v>
      </c>
      <c r="I297" s="19">
        <v>1</v>
      </c>
      <c r="J297" s="115" t="s">
        <v>10</v>
      </c>
    </row>
    <row r="298" spans="1:10" x14ac:dyDescent="0.2">
      <c r="A298" s="133" t="s">
        <v>17</v>
      </c>
      <c r="B298" s="19" t="s">
        <v>24</v>
      </c>
      <c r="C298" s="612"/>
      <c r="D298" s="17">
        <v>44789</v>
      </c>
      <c r="E298" s="19" t="s">
        <v>493</v>
      </c>
      <c r="F298" s="19" t="s">
        <v>1052</v>
      </c>
      <c r="G298" s="19"/>
      <c r="H298" s="19" t="s">
        <v>28</v>
      </c>
      <c r="I298" s="19">
        <v>1</v>
      </c>
      <c r="J298" s="115" t="s">
        <v>10</v>
      </c>
    </row>
    <row r="299" spans="1:10" x14ac:dyDescent="0.2">
      <c r="A299" s="133" t="s">
        <v>10</v>
      </c>
      <c r="B299" s="19" t="s">
        <v>2162</v>
      </c>
      <c r="C299" s="612"/>
      <c r="D299" s="17">
        <v>44789</v>
      </c>
      <c r="E299" s="19" t="s">
        <v>486</v>
      </c>
      <c r="F299" s="19" t="s">
        <v>794</v>
      </c>
      <c r="G299" s="19"/>
      <c r="H299" s="19" t="s">
        <v>1053</v>
      </c>
      <c r="I299" s="19">
        <v>1</v>
      </c>
      <c r="J299" s="115" t="s">
        <v>167</v>
      </c>
    </row>
    <row r="300" spans="1:10" x14ac:dyDescent="0.2">
      <c r="A300" s="133" t="s">
        <v>17</v>
      </c>
      <c r="B300" s="19" t="s">
        <v>24</v>
      </c>
      <c r="C300" s="612"/>
      <c r="D300" s="17">
        <v>44791</v>
      </c>
      <c r="E300" s="19" t="s">
        <v>1054</v>
      </c>
      <c r="F300" s="19" t="s">
        <v>1055</v>
      </c>
      <c r="G300" s="19" t="s">
        <v>1056</v>
      </c>
      <c r="H300" s="19" t="s">
        <v>1057</v>
      </c>
      <c r="I300" s="19">
        <v>3</v>
      </c>
      <c r="J300" s="115" t="s">
        <v>78</v>
      </c>
    </row>
    <row r="301" spans="1:10" x14ac:dyDescent="0.2">
      <c r="A301" s="133" t="s">
        <v>17</v>
      </c>
      <c r="B301" s="19" t="s">
        <v>24</v>
      </c>
      <c r="C301" s="612"/>
      <c r="D301" s="17">
        <v>44792</v>
      </c>
      <c r="E301" s="19" t="s">
        <v>368</v>
      </c>
      <c r="F301" s="19" t="s">
        <v>1058</v>
      </c>
      <c r="G301" s="19" t="s">
        <v>1059</v>
      </c>
      <c r="H301" s="19" t="s">
        <v>1060</v>
      </c>
      <c r="I301" s="19">
        <v>3</v>
      </c>
      <c r="J301" s="115" t="s">
        <v>50</v>
      </c>
    </row>
    <row r="302" spans="1:10" x14ac:dyDescent="0.2">
      <c r="A302" s="133" t="s">
        <v>17</v>
      </c>
      <c r="B302" s="19" t="s">
        <v>24</v>
      </c>
      <c r="C302" s="612"/>
      <c r="D302" s="17">
        <v>44793</v>
      </c>
      <c r="E302" s="19" t="s">
        <v>69</v>
      </c>
      <c r="F302" s="19" t="s">
        <v>1061</v>
      </c>
      <c r="G302" s="19" t="s">
        <v>246</v>
      </c>
      <c r="H302" s="19" t="s">
        <v>1062</v>
      </c>
      <c r="I302" s="19">
        <v>2</v>
      </c>
      <c r="J302" s="115" t="s">
        <v>10</v>
      </c>
    </row>
    <row r="303" spans="1:10" x14ac:dyDescent="0.2">
      <c r="A303" s="133" t="s">
        <v>10</v>
      </c>
      <c r="B303" s="19" t="s">
        <v>163</v>
      </c>
      <c r="C303" s="612"/>
      <c r="D303" s="17">
        <v>44795</v>
      </c>
      <c r="E303" s="19" t="s">
        <v>131</v>
      </c>
      <c r="F303" s="19" t="s">
        <v>1063</v>
      </c>
      <c r="G303" s="19" t="s">
        <v>76</v>
      </c>
      <c r="H303" s="19" t="s">
        <v>1064</v>
      </c>
      <c r="I303" s="19">
        <v>16</v>
      </c>
      <c r="J303" s="115" t="s">
        <v>10</v>
      </c>
    </row>
    <row r="304" spans="1:10" x14ac:dyDescent="0.2">
      <c r="A304" s="133" t="s">
        <v>17</v>
      </c>
      <c r="B304" s="19" t="s">
        <v>24</v>
      </c>
      <c r="C304" s="612"/>
      <c r="D304" s="17">
        <v>44796</v>
      </c>
      <c r="E304" s="19" t="s">
        <v>215</v>
      </c>
      <c r="F304" s="19" t="s">
        <v>1065</v>
      </c>
      <c r="G304" s="19" t="s">
        <v>1066</v>
      </c>
      <c r="H304" s="19" t="s">
        <v>1067</v>
      </c>
      <c r="I304" s="19">
        <v>1</v>
      </c>
      <c r="J304" s="115" t="s">
        <v>10</v>
      </c>
    </row>
    <row r="305" spans="1:10" x14ac:dyDescent="0.2">
      <c r="A305" s="133" t="s">
        <v>10</v>
      </c>
      <c r="B305" s="19" t="s">
        <v>24</v>
      </c>
      <c r="C305" s="612"/>
      <c r="D305" s="17">
        <v>44796</v>
      </c>
      <c r="E305" s="19" t="s">
        <v>37</v>
      </c>
      <c r="F305" s="19" t="s">
        <v>1068</v>
      </c>
      <c r="G305" s="19"/>
      <c r="H305" s="19" t="s">
        <v>1069</v>
      </c>
      <c r="I305" s="19">
        <v>1</v>
      </c>
      <c r="J305" s="115" t="s">
        <v>23</v>
      </c>
    </row>
    <row r="306" spans="1:10" x14ac:dyDescent="0.2">
      <c r="A306" s="133" t="s">
        <v>17</v>
      </c>
      <c r="B306" s="19" t="s">
        <v>24</v>
      </c>
      <c r="C306" s="612"/>
      <c r="D306" s="17">
        <v>44797</v>
      </c>
      <c r="E306" s="19" t="s">
        <v>1070</v>
      </c>
      <c r="F306" s="19" t="s">
        <v>1071</v>
      </c>
      <c r="G306" s="19" t="s">
        <v>234</v>
      </c>
      <c r="H306" s="19" t="s">
        <v>1072</v>
      </c>
      <c r="I306" s="19">
        <v>1</v>
      </c>
      <c r="J306" s="115" t="s">
        <v>167</v>
      </c>
    </row>
    <row r="307" spans="1:10" x14ac:dyDescent="0.2">
      <c r="A307" s="133" t="s">
        <v>51</v>
      </c>
      <c r="B307" s="19" t="s">
        <v>52</v>
      </c>
      <c r="C307" s="612"/>
      <c r="D307" s="17">
        <v>44797</v>
      </c>
      <c r="E307" s="19" t="s">
        <v>57</v>
      </c>
      <c r="F307" s="19" t="s">
        <v>1073</v>
      </c>
      <c r="G307" s="19"/>
      <c r="H307" s="19" t="s">
        <v>1074</v>
      </c>
      <c r="I307" s="19">
        <v>7</v>
      </c>
      <c r="J307" s="115" t="s">
        <v>1075</v>
      </c>
    </row>
    <row r="308" spans="1:10" x14ac:dyDescent="0.2">
      <c r="A308" s="133" t="s">
        <v>51</v>
      </c>
      <c r="B308" s="19" t="s">
        <v>11</v>
      </c>
      <c r="C308" s="612"/>
      <c r="D308" s="17">
        <v>44798</v>
      </c>
      <c r="E308" s="19" t="s">
        <v>57</v>
      </c>
      <c r="F308" s="19" t="s">
        <v>1076</v>
      </c>
      <c r="G308" s="19" t="s">
        <v>1077</v>
      </c>
      <c r="H308" s="19" t="s">
        <v>1078</v>
      </c>
      <c r="I308" s="19">
        <v>7</v>
      </c>
      <c r="J308" s="115" t="s">
        <v>1079</v>
      </c>
    </row>
    <row r="309" spans="1:10" x14ac:dyDescent="0.2">
      <c r="A309" s="133" t="s">
        <v>17</v>
      </c>
      <c r="B309" s="19" t="s">
        <v>24</v>
      </c>
      <c r="C309" s="612"/>
      <c r="D309" s="17">
        <v>44799</v>
      </c>
      <c r="E309" s="19" t="s">
        <v>1080</v>
      </c>
      <c r="F309" s="19" t="s">
        <v>144</v>
      </c>
      <c r="G309" s="19" t="s">
        <v>144</v>
      </c>
      <c r="H309" s="19" t="s">
        <v>1081</v>
      </c>
      <c r="I309" s="19">
        <v>1</v>
      </c>
      <c r="J309" s="115" t="s">
        <v>23</v>
      </c>
    </row>
    <row r="310" spans="1:10" x14ac:dyDescent="0.2">
      <c r="A310" s="133" t="s">
        <v>1082</v>
      </c>
      <c r="B310" s="19" t="s">
        <v>52</v>
      </c>
      <c r="C310" s="612"/>
      <c r="D310" s="17">
        <v>44799</v>
      </c>
      <c r="E310" s="19" t="s">
        <v>61</v>
      </c>
      <c r="F310" s="19" t="s">
        <v>1083</v>
      </c>
      <c r="G310" s="19" t="s">
        <v>1084</v>
      </c>
      <c r="H310" s="19" t="s">
        <v>1085</v>
      </c>
      <c r="I310" s="19">
        <v>4</v>
      </c>
      <c r="J310" s="115" t="s">
        <v>78</v>
      </c>
    </row>
    <row r="311" spans="1:10" x14ac:dyDescent="0.2">
      <c r="A311" s="133" t="s">
        <v>10</v>
      </c>
      <c r="B311" s="19" t="s">
        <v>2162</v>
      </c>
      <c r="C311" s="612"/>
      <c r="D311" s="17">
        <v>44799</v>
      </c>
      <c r="E311" s="19" t="s">
        <v>1086</v>
      </c>
      <c r="F311" s="19" t="s">
        <v>585</v>
      </c>
      <c r="G311" s="19" t="s">
        <v>1087</v>
      </c>
      <c r="H311" s="19" t="s">
        <v>1088</v>
      </c>
      <c r="I311" s="19">
        <v>6</v>
      </c>
      <c r="J311" s="115" t="s">
        <v>1075</v>
      </c>
    </row>
    <row r="312" spans="1:10" x14ac:dyDescent="0.2">
      <c r="A312" s="133" t="s">
        <v>10</v>
      </c>
      <c r="B312" s="19" t="s">
        <v>2161</v>
      </c>
      <c r="C312" s="612"/>
      <c r="D312" s="17">
        <v>44799</v>
      </c>
      <c r="E312" s="19" t="s">
        <v>1089</v>
      </c>
      <c r="F312" s="19" t="s">
        <v>1089</v>
      </c>
      <c r="G312" s="19" t="s">
        <v>139</v>
      </c>
      <c r="H312" s="19" t="s">
        <v>1090</v>
      </c>
      <c r="I312" s="19">
        <v>2</v>
      </c>
      <c r="J312" s="115" t="s">
        <v>78</v>
      </c>
    </row>
    <row r="313" spans="1:10" x14ac:dyDescent="0.2">
      <c r="A313" s="133" t="s">
        <v>51</v>
      </c>
      <c r="B313" s="19" t="s">
        <v>397</v>
      </c>
      <c r="C313" s="612"/>
      <c r="D313" s="17">
        <v>44799</v>
      </c>
      <c r="E313" s="19" t="s">
        <v>1091</v>
      </c>
      <c r="F313" s="19" t="s">
        <v>803</v>
      </c>
      <c r="G313" s="19" t="s">
        <v>1092</v>
      </c>
      <c r="H313" s="19" t="s">
        <v>1093</v>
      </c>
      <c r="I313" s="19">
        <v>8</v>
      </c>
      <c r="J313" s="115" t="s">
        <v>1094</v>
      </c>
    </row>
    <row r="314" spans="1:10" x14ac:dyDescent="0.2">
      <c r="A314" s="133" t="s">
        <v>51</v>
      </c>
      <c r="B314" s="19" t="s">
        <v>52</v>
      </c>
      <c r="C314" s="612"/>
      <c r="D314" s="17">
        <v>44801</v>
      </c>
      <c r="E314" s="19" t="s">
        <v>112</v>
      </c>
      <c r="F314" s="19" t="s">
        <v>1095</v>
      </c>
      <c r="G314" s="19" t="s">
        <v>530</v>
      </c>
      <c r="H314" s="19" t="s">
        <v>1096</v>
      </c>
      <c r="I314" s="19">
        <v>3</v>
      </c>
      <c r="J314" s="115" t="s">
        <v>192</v>
      </c>
    </row>
    <row r="315" spans="1:10" x14ac:dyDescent="0.2">
      <c r="A315" s="133" t="s">
        <v>17</v>
      </c>
      <c r="B315" s="19" t="s">
        <v>24</v>
      </c>
      <c r="C315" s="612"/>
      <c r="D315" s="17">
        <v>44802</v>
      </c>
      <c r="E315" s="19" t="s">
        <v>240</v>
      </c>
      <c r="F315" s="19" t="s">
        <v>1097</v>
      </c>
      <c r="G315" s="19" t="s">
        <v>27</v>
      </c>
      <c r="H315" s="19" t="s">
        <v>1098</v>
      </c>
      <c r="I315" s="19">
        <v>1</v>
      </c>
      <c r="J315" s="115" t="s">
        <v>23</v>
      </c>
    </row>
    <row r="316" spans="1:10" x14ac:dyDescent="0.2">
      <c r="A316" s="133" t="s">
        <v>17</v>
      </c>
      <c r="B316" s="19" t="s">
        <v>24</v>
      </c>
      <c r="C316" s="612"/>
      <c r="D316" s="17">
        <v>44802</v>
      </c>
      <c r="E316" s="19" t="s">
        <v>37</v>
      </c>
      <c r="F316" s="19" t="s">
        <v>1099</v>
      </c>
      <c r="G316" s="19" t="s">
        <v>281</v>
      </c>
      <c r="H316" s="19" t="s">
        <v>1100</v>
      </c>
      <c r="I316" s="19">
        <v>1</v>
      </c>
      <c r="J316" s="115" t="s">
        <v>23</v>
      </c>
    </row>
    <row r="317" spans="1:10" x14ac:dyDescent="0.2">
      <c r="A317" s="133" t="s">
        <v>17</v>
      </c>
      <c r="B317" s="19" t="s">
        <v>24</v>
      </c>
      <c r="C317" s="612"/>
      <c r="D317" s="17">
        <v>44802</v>
      </c>
      <c r="E317" s="19" t="s">
        <v>240</v>
      </c>
      <c r="F317" s="19" t="s">
        <v>1101</v>
      </c>
      <c r="G317" s="19" t="s">
        <v>390</v>
      </c>
      <c r="H317" s="19" t="s">
        <v>1102</v>
      </c>
      <c r="I317" s="19">
        <v>1</v>
      </c>
      <c r="J317" s="115" t="s">
        <v>23</v>
      </c>
    </row>
    <row r="318" spans="1:10" x14ac:dyDescent="0.2">
      <c r="A318" s="133" t="s">
        <v>10</v>
      </c>
      <c r="B318" s="19" t="s">
        <v>2162</v>
      </c>
      <c r="C318" s="612"/>
      <c r="D318" s="17">
        <v>44802</v>
      </c>
      <c r="E318" s="19" t="s">
        <v>1103</v>
      </c>
      <c r="F318" s="19" t="s">
        <v>1104</v>
      </c>
      <c r="G318" s="19" t="s">
        <v>173</v>
      </c>
      <c r="H318" s="19" t="s">
        <v>1105</v>
      </c>
      <c r="I318" s="19">
        <v>3</v>
      </c>
      <c r="J318" s="115" t="s">
        <v>50</v>
      </c>
    </row>
    <row r="319" spans="1:10" x14ac:dyDescent="0.2">
      <c r="A319" s="133" t="s">
        <v>10</v>
      </c>
      <c r="B319" s="19" t="s">
        <v>2161</v>
      </c>
      <c r="C319" s="612"/>
      <c r="D319" s="17">
        <v>44802</v>
      </c>
      <c r="E319" s="19" t="s">
        <v>1106</v>
      </c>
      <c r="F319" s="19" t="s">
        <v>222</v>
      </c>
      <c r="G319" s="19" t="s">
        <v>1107</v>
      </c>
      <c r="H319" s="19" t="s">
        <v>1108</v>
      </c>
      <c r="I319" s="19">
        <v>4</v>
      </c>
      <c r="J319" s="115" t="s">
        <v>1109</v>
      </c>
    </row>
    <row r="320" spans="1:10" x14ac:dyDescent="0.2">
      <c r="A320" s="133" t="s">
        <v>17</v>
      </c>
      <c r="B320" s="19" t="s">
        <v>24</v>
      </c>
      <c r="C320" s="612"/>
      <c r="D320" s="17">
        <v>44803</v>
      </c>
      <c r="E320" s="19" t="s">
        <v>57</v>
      </c>
      <c r="F320" s="19" t="s">
        <v>1110</v>
      </c>
      <c r="G320" s="19"/>
      <c r="H320" s="19" t="s">
        <v>28</v>
      </c>
      <c r="I320" s="19">
        <v>1</v>
      </c>
      <c r="J320" s="115" t="s">
        <v>23</v>
      </c>
    </row>
    <row r="321" spans="1:10" x14ac:dyDescent="0.2">
      <c r="A321" s="133" t="s">
        <v>17</v>
      </c>
      <c r="B321" s="19" t="s">
        <v>24</v>
      </c>
      <c r="C321" s="612"/>
      <c r="D321" s="17">
        <v>44803</v>
      </c>
      <c r="E321" s="19" t="s">
        <v>57</v>
      </c>
      <c r="F321" s="19" t="s">
        <v>1111</v>
      </c>
      <c r="G321" s="19" t="s">
        <v>1110</v>
      </c>
      <c r="H321" s="19" t="s">
        <v>28</v>
      </c>
      <c r="I321" s="19">
        <v>1</v>
      </c>
      <c r="J321" s="115" t="s">
        <v>23</v>
      </c>
    </row>
    <row r="322" spans="1:10" x14ac:dyDescent="0.2">
      <c r="A322" s="133" t="s">
        <v>17</v>
      </c>
      <c r="B322" s="19" t="s">
        <v>24</v>
      </c>
      <c r="C322" s="612"/>
      <c r="D322" s="17">
        <v>44803</v>
      </c>
      <c r="E322" s="19" t="s">
        <v>57</v>
      </c>
      <c r="F322" s="19" t="s">
        <v>1112</v>
      </c>
      <c r="G322" s="19" t="s">
        <v>1110</v>
      </c>
      <c r="H322" s="19" t="s">
        <v>1113</v>
      </c>
      <c r="I322" s="19">
        <v>1</v>
      </c>
      <c r="J322" s="115" t="s">
        <v>23</v>
      </c>
    </row>
    <row r="323" spans="1:10" x14ac:dyDescent="0.2">
      <c r="A323" s="133" t="s">
        <v>10</v>
      </c>
      <c r="B323" s="19" t="s">
        <v>163</v>
      </c>
      <c r="C323" s="612"/>
      <c r="D323" s="17">
        <v>44802</v>
      </c>
      <c r="E323" s="19" t="s">
        <v>164</v>
      </c>
      <c r="F323" s="19" t="s">
        <v>1114</v>
      </c>
      <c r="G323" s="19"/>
      <c r="H323" s="19" t="s">
        <v>166</v>
      </c>
      <c r="I323" s="19">
        <v>1</v>
      </c>
      <c r="J323" s="115" t="s">
        <v>167</v>
      </c>
    </row>
    <row r="324" spans="1:10" x14ac:dyDescent="0.2">
      <c r="A324" s="133" t="s">
        <v>51</v>
      </c>
      <c r="B324" s="19" t="s">
        <v>481</v>
      </c>
      <c r="C324" s="613"/>
      <c r="D324" s="17">
        <v>44804</v>
      </c>
      <c r="E324" s="19" t="s">
        <v>94</v>
      </c>
      <c r="F324" s="19" t="s">
        <v>1115</v>
      </c>
      <c r="G324" s="19" t="s">
        <v>355</v>
      </c>
      <c r="H324" s="19" t="s">
        <v>1116</v>
      </c>
      <c r="I324" s="19">
        <v>11</v>
      </c>
      <c r="J324" s="115" t="s">
        <v>1117</v>
      </c>
    </row>
    <row r="325" spans="1:10" ht="13.6" x14ac:dyDescent="0.2">
      <c r="A325" s="129" t="s">
        <v>2148</v>
      </c>
      <c r="B325" s="130"/>
      <c r="C325" s="130"/>
      <c r="D325" s="130"/>
      <c r="E325" s="130"/>
      <c r="F325" s="130"/>
      <c r="G325" s="130"/>
      <c r="H325" s="92"/>
      <c r="I325" s="92"/>
      <c r="J325" s="117"/>
    </row>
    <row r="326" spans="1:10" x14ac:dyDescent="0.2">
      <c r="A326" s="133" t="s">
        <v>146</v>
      </c>
      <c r="B326" s="19" t="s">
        <v>11</v>
      </c>
      <c r="C326" s="611">
        <f>COUNTIF(B326:B364,C2)</f>
        <v>1</v>
      </c>
      <c r="D326" s="17">
        <v>44807</v>
      </c>
      <c r="E326" s="19" t="s">
        <v>240</v>
      </c>
      <c r="F326" s="19" t="s">
        <v>1118</v>
      </c>
      <c r="G326" s="19" t="s">
        <v>1119</v>
      </c>
      <c r="H326" s="19" t="s">
        <v>1120</v>
      </c>
      <c r="I326" s="19">
        <v>3</v>
      </c>
      <c r="J326" s="115" t="s">
        <v>424</v>
      </c>
    </row>
    <row r="327" spans="1:10" x14ac:dyDescent="0.2">
      <c r="A327" s="133" t="s">
        <v>35</v>
      </c>
      <c r="B327" s="19" t="s">
        <v>137</v>
      </c>
      <c r="C327" s="612"/>
      <c r="D327" s="17">
        <v>44807</v>
      </c>
      <c r="E327" s="19" t="s">
        <v>388</v>
      </c>
      <c r="F327" s="19" t="s">
        <v>1121</v>
      </c>
      <c r="G327" s="19" t="s">
        <v>234</v>
      </c>
      <c r="H327" s="19" t="s">
        <v>1122</v>
      </c>
      <c r="I327" s="19">
        <v>3</v>
      </c>
      <c r="J327" s="115" t="s">
        <v>34</v>
      </c>
    </row>
    <row r="328" spans="1:10" x14ac:dyDescent="0.2">
      <c r="A328" s="133" t="s">
        <v>35</v>
      </c>
      <c r="B328" s="19" t="s">
        <v>137</v>
      </c>
      <c r="C328" s="612"/>
      <c r="D328" s="17">
        <v>44808</v>
      </c>
      <c r="E328" s="19" t="s">
        <v>108</v>
      </c>
      <c r="F328" s="19" t="s">
        <v>1123</v>
      </c>
      <c r="G328" s="19" t="s">
        <v>76</v>
      </c>
      <c r="H328" s="19" t="s">
        <v>1124</v>
      </c>
      <c r="I328" s="19">
        <v>3</v>
      </c>
      <c r="J328" s="115" t="s">
        <v>16</v>
      </c>
    </row>
    <row r="329" spans="1:10" x14ac:dyDescent="0.2">
      <c r="A329" s="133" t="s">
        <v>10</v>
      </c>
      <c r="B329" s="19" t="s">
        <v>163</v>
      </c>
      <c r="C329" s="612"/>
      <c r="D329" s="17">
        <v>44809</v>
      </c>
      <c r="E329" s="19" t="s">
        <v>131</v>
      </c>
      <c r="F329" s="19" t="s">
        <v>1125</v>
      </c>
      <c r="G329" s="19" t="s">
        <v>76</v>
      </c>
      <c r="H329" s="19" t="s">
        <v>1126</v>
      </c>
      <c r="I329" s="19">
        <v>16</v>
      </c>
      <c r="J329" s="115" t="s">
        <v>10</v>
      </c>
    </row>
    <row r="330" spans="1:10" x14ac:dyDescent="0.2">
      <c r="A330" s="133" t="s">
        <v>10</v>
      </c>
      <c r="B330" s="19" t="s">
        <v>2161</v>
      </c>
      <c r="C330" s="612"/>
      <c r="D330" s="17">
        <v>44445</v>
      </c>
      <c r="E330" s="19" t="s">
        <v>1131</v>
      </c>
      <c r="F330" s="19" t="s">
        <v>1132</v>
      </c>
      <c r="G330" s="19" t="s">
        <v>1133</v>
      </c>
      <c r="H330" s="19" t="s">
        <v>1134</v>
      </c>
      <c r="I330" s="19">
        <v>2</v>
      </c>
      <c r="J330" s="115" t="s">
        <v>78</v>
      </c>
    </row>
    <row r="331" spans="1:10" x14ac:dyDescent="0.2">
      <c r="A331" s="133" t="s">
        <v>10</v>
      </c>
      <c r="B331" s="19" t="s">
        <v>2164</v>
      </c>
      <c r="C331" s="612"/>
      <c r="D331" s="17">
        <v>44811</v>
      </c>
      <c r="E331" s="19" t="s">
        <v>126</v>
      </c>
      <c r="F331" s="19" t="s">
        <v>1135</v>
      </c>
      <c r="G331" s="19" t="s">
        <v>76</v>
      </c>
      <c r="H331" s="19" t="s">
        <v>1136</v>
      </c>
      <c r="I331" s="19">
        <v>5</v>
      </c>
      <c r="J331" s="115" t="s">
        <v>10</v>
      </c>
    </row>
    <row r="332" spans="1:10" x14ac:dyDescent="0.2">
      <c r="A332" s="133" t="s">
        <v>10</v>
      </c>
      <c r="B332" s="19" t="s">
        <v>312</v>
      </c>
      <c r="C332" s="612"/>
      <c r="D332" s="17">
        <v>44811</v>
      </c>
      <c r="E332" s="19" t="s">
        <v>164</v>
      </c>
      <c r="F332" s="19" t="s">
        <v>1137</v>
      </c>
      <c r="G332" s="19" t="s">
        <v>1138</v>
      </c>
      <c r="H332" s="19" t="s">
        <v>1139</v>
      </c>
      <c r="I332" s="19">
        <v>1</v>
      </c>
      <c r="J332" s="115" t="s">
        <v>50</v>
      </c>
    </row>
    <row r="333" spans="1:10" x14ac:dyDescent="0.2">
      <c r="A333" s="133" t="s">
        <v>17</v>
      </c>
      <c r="B333" s="19" t="s">
        <v>24</v>
      </c>
      <c r="C333" s="612"/>
      <c r="D333" s="17">
        <v>44811</v>
      </c>
      <c r="E333" s="19" t="s">
        <v>1140</v>
      </c>
      <c r="F333" s="19" t="s">
        <v>1141</v>
      </c>
      <c r="G333" s="19" t="s">
        <v>1142</v>
      </c>
      <c r="H333" s="19" t="s">
        <v>1143</v>
      </c>
      <c r="I333" s="19">
        <v>1</v>
      </c>
      <c r="J333" s="115" t="s">
        <v>50</v>
      </c>
    </row>
    <row r="334" spans="1:10" x14ac:dyDescent="0.2">
      <c r="A334" s="133" t="s">
        <v>17</v>
      </c>
      <c r="B334" s="19" t="s">
        <v>24</v>
      </c>
      <c r="C334" s="612"/>
      <c r="D334" s="17">
        <v>44811</v>
      </c>
      <c r="E334" s="19" t="s">
        <v>57</v>
      </c>
      <c r="F334" s="19" t="s">
        <v>1144</v>
      </c>
      <c r="G334" s="19" t="s">
        <v>1145</v>
      </c>
      <c r="H334" s="19" t="s">
        <v>1146</v>
      </c>
      <c r="I334" s="19">
        <v>1</v>
      </c>
      <c r="J334" s="115" t="s">
        <v>50</v>
      </c>
    </row>
    <row r="335" spans="1:10" x14ac:dyDescent="0.2">
      <c r="A335" s="133" t="s">
        <v>17</v>
      </c>
      <c r="B335" s="19" t="s">
        <v>24</v>
      </c>
      <c r="C335" s="612"/>
      <c r="D335" s="17">
        <v>44811</v>
      </c>
      <c r="E335" s="19" t="s">
        <v>57</v>
      </c>
      <c r="F335" s="19" t="s">
        <v>1147</v>
      </c>
      <c r="G335" s="19" t="s">
        <v>95</v>
      </c>
      <c r="H335" s="19" t="s">
        <v>1148</v>
      </c>
      <c r="I335" s="19">
        <v>1</v>
      </c>
      <c r="J335" s="115" t="s">
        <v>50</v>
      </c>
    </row>
    <row r="336" spans="1:10" x14ac:dyDescent="0.2">
      <c r="A336" s="133" t="s">
        <v>17</v>
      </c>
      <c r="B336" s="19" t="s">
        <v>24</v>
      </c>
      <c r="C336" s="612"/>
      <c r="D336" s="17">
        <v>44811</v>
      </c>
      <c r="E336" s="19" t="s">
        <v>180</v>
      </c>
      <c r="F336" s="19" t="s">
        <v>1149</v>
      </c>
      <c r="G336" s="19" t="s">
        <v>85</v>
      </c>
      <c r="H336" s="19" t="s">
        <v>1150</v>
      </c>
      <c r="I336" s="19">
        <v>1</v>
      </c>
      <c r="J336" s="115" t="s">
        <v>50</v>
      </c>
    </row>
    <row r="337" spans="1:10" x14ac:dyDescent="0.2">
      <c r="A337" s="133" t="s">
        <v>17</v>
      </c>
      <c r="B337" s="19" t="s">
        <v>24</v>
      </c>
      <c r="C337" s="612"/>
      <c r="D337" s="17">
        <v>44811</v>
      </c>
      <c r="E337" s="19" t="s">
        <v>1151</v>
      </c>
      <c r="F337" s="19" t="s">
        <v>1152</v>
      </c>
      <c r="G337" s="19" t="s">
        <v>1153</v>
      </c>
      <c r="H337" s="19" t="s">
        <v>1154</v>
      </c>
      <c r="I337" s="19">
        <v>1</v>
      </c>
      <c r="J337" s="115" t="s">
        <v>78</v>
      </c>
    </row>
    <row r="338" spans="1:10" x14ac:dyDescent="0.2">
      <c r="A338" s="133" t="s">
        <v>35</v>
      </c>
      <c r="B338" s="19" t="s">
        <v>2162</v>
      </c>
      <c r="C338" s="612"/>
      <c r="D338" s="17">
        <v>44811</v>
      </c>
      <c r="E338" s="19" t="s">
        <v>72</v>
      </c>
      <c r="F338" s="19" t="s">
        <v>1155</v>
      </c>
      <c r="G338" s="19" t="s">
        <v>747</v>
      </c>
      <c r="H338" s="19" t="s">
        <v>1156</v>
      </c>
      <c r="I338" s="19">
        <v>5</v>
      </c>
      <c r="J338" s="115" t="s">
        <v>1157</v>
      </c>
    </row>
    <row r="339" spans="1:10" x14ac:dyDescent="0.2">
      <c r="A339" s="133" t="s">
        <v>1158</v>
      </c>
      <c r="B339" s="19" t="s">
        <v>137</v>
      </c>
      <c r="C339" s="612"/>
      <c r="D339" s="17">
        <v>44812</v>
      </c>
      <c r="E339" s="19" t="s">
        <v>112</v>
      </c>
      <c r="F339" s="19" t="s">
        <v>1159</v>
      </c>
      <c r="G339" s="19" t="s">
        <v>1160</v>
      </c>
      <c r="H339" s="19" t="s">
        <v>1161</v>
      </c>
      <c r="I339" s="19">
        <v>7</v>
      </c>
      <c r="J339" s="115" t="s">
        <v>41</v>
      </c>
    </row>
    <row r="340" spans="1:10" x14ac:dyDescent="0.2">
      <c r="A340" s="133" t="s">
        <v>17</v>
      </c>
      <c r="B340" s="19" t="s">
        <v>24</v>
      </c>
      <c r="C340" s="612"/>
      <c r="D340" s="17">
        <v>44812</v>
      </c>
      <c r="E340" s="19" t="s">
        <v>118</v>
      </c>
      <c r="F340" s="19" t="s">
        <v>1162</v>
      </c>
      <c r="G340" s="19" t="s">
        <v>1163</v>
      </c>
      <c r="H340" s="19" t="s">
        <v>1164</v>
      </c>
      <c r="I340" s="19">
        <v>1</v>
      </c>
      <c r="J340" s="115" t="s">
        <v>50</v>
      </c>
    </row>
    <row r="341" spans="1:10" x14ac:dyDescent="0.2">
      <c r="A341" s="133" t="s">
        <v>35</v>
      </c>
      <c r="B341" s="19" t="s">
        <v>137</v>
      </c>
      <c r="C341" s="612"/>
      <c r="D341" s="17">
        <v>44814</v>
      </c>
      <c r="E341" s="19" t="s">
        <v>72</v>
      </c>
      <c r="F341" s="19" t="s">
        <v>1165</v>
      </c>
      <c r="G341" s="19" t="s">
        <v>1166</v>
      </c>
      <c r="H341" s="19" t="s">
        <v>1167</v>
      </c>
      <c r="I341" s="19">
        <v>3</v>
      </c>
      <c r="J341" s="115" t="s">
        <v>16</v>
      </c>
    </row>
    <row r="342" spans="1:10" x14ac:dyDescent="0.2">
      <c r="A342" s="133" t="s">
        <v>10</v>
      </c>
      <c r="B342" s="19" t="s">
        <v>2162</v>
      </c>
      <c r="C342" s="612"/>
      <c r="D342" s="17">
        <v>44815</v>
      </c>
      <c r="E342" s="19" t="s">
        <v>133</v>
      </c>
      <c r="F342" s="19" t="s">
        <v>1168</v>
      </c>
      <c r="G342" s="19" t="s">
        <v>1169</v>
      </c>
      <c r="H342" s="19" t="s">
        <v>1170</v>
      </c>
      <c r="I342" s="19">
        <v>4</v>
      </c>
      <c r="J342" s="115" t="s">
        <v>16</v>
      </c>
    </row>
    <row r="343" spans="1:10" x14ac:dyDescent="0.2">
      <c r="A343" s="133" t="s">
        <v>35</v>
      </c>
      <c r="B343" s="19" t="s">
        <v>137</v>
      </c>
      <c r="C343" s="612"/>
      <c r="D343" s="17">
        <v>44816</v>
      </c>
      <c r="E343" s="19" t="s">
        <v>57</v>
      </c>
      <c r="F343" s="19" t="s">
        <v>1171</v>
      </c>
      <c r="G343" s="19" t="s">
        <v>355</v>
      </c>
      <c r="H343" s="19" t="s">
        <v>1172</v>
      </c>
      <c r="I343" s="19">
        <v>5</v>
      </c>
      <c r="J343" s="115" t="s">
        <v>16</v>
      </c>
    </row>
    <row r="344" spans="1:10" x14ac:dyDescent="0.2">
      <c r="A344" s="133" t="s">
        <v>10</v>
      </c>
      <c r="B344" s="19" t="s">
        <v>163</v>
      </c>
      <c r="C344" s="612"/>
      <c r="D344" s="17">
        <v>44816</v>
      </c>
      <c r="E344" s="19" t="s">
        <v>164</v>
      </c>
      <c r="F344" s="19" t="s">
        <v>165</v>
      </c>
      <c r="G344" s="19" t="s">
        <v>1016</v>
      </c>
      <c r="H344" s="19" t="s">
        <v>350</v>
      </c>
      <c r="I344" s="19">
        <v>1</v>
      </c>
      <c r="J344" s="115" t="s">
        <v>167</v>
      </c>
    </row>
    <row r="345" spans="1:10" x14ac:dyDescent="0.2">
      <c r="A345" s="133" t="s">
        <v>10</v>
      </c>
      <c r="B345" s="19" t="s">
        <v>163</v>
      </c>
      <c r="C345" s="612"/>
      <c r="D345" s="17">
        <v>44817</v>
      </c>
      <c r="E345" s="19" t="s">
        <v>72</v>
      </c>
      <c r="F345" s="19" t="s">
        <v>1173</v>
      </c>
      <c r="G345" s="19" t="s">
        <v>234</v>
      </c>
      <c r="H345" s="19" t="s">
        <v>1174</v>
      </c>
      <c r="I345" s="19">
        <v>29</v>
      </c>
      <c r="J345" s="115" t="s">
        <v>10</v>
      </c>
    </row>
    <row r="346" spans="1:10" x14ac:dyDescent="0.2">
      <c r="A346" s="133" t="s">
        <v>35</v>
      </c>
      <c r="B346" s="19" t="s">
        <v>137</v>
      </c>
      <c r="C346" s="612"/>
      <c r="D346" s="17">
        <v>44817</v>
      </c>
      <c r="E346" s="19" t="s">
        <v>74</v>
      </c>
      <c r="F346" s="19" t="s">
        <v>1175</v>
      </c>
      <c r="G346" s="19" t="s">
        <v>190</v>
      </c>
      <c r="H346" s="19" t="s">
        <v>1176</v>
      </c>
      <c r="I346" s="19">
        <v>6</v>
      </c>
      <c r="J346" s="115" t="s">
        <v>34</v>
      </c>
    </row>
    <row r="347" spans="1:10" x14ac:dyDescent="0.2">
      <c r="A347" s="133" t="s">
        <v>1082</v>
      </c>
      <c r="B347" s="19" t="s">
        <v>52</v>
      </c>
      <c r="C347" s="612"/>
      <c r="D347" s="17">
        <v>44819</v>
      </c>
      <c r="E347" s="19" t="s">
        <v>291</v>
      </c>
      <c r="F347" s="19" t="s">
        <v>1177</v>
      </c>
      <c r="G347" s="19" t="s">
        <v>1178</v>
      </c>
      <c r="H347" s="19" t="s">
        <v>1179</v>
      </c>
      <c r="I347" s="19">
        <v>4</v>
      </c>
      <c r="J347" s="115" t="s">
        <v>16</v>
      </c>
    </row>
    <row r="348" spans="1:10" x14ac:dyDescent="0.2">
      <c r="A348" s="133" t="s">
        <v>10</v>
      </c>
      <c r="B348" s="19" t="s">
        <v>656</v>
      </c>
      <c r="C348" s="612"/>
      <c r="D348" s="17">
        <v>44819</v>
      </c>
      <c r="E348" s="19" t="s">
        <v>215</v>
      </c>
      <c r="F348" s="19" t="s">
        <v>1180</v>
      </c>
      <c r="G348" s="19" t="s">
        <v>234</v>
      </c>
      <c r="H348" s="19" t="s">
        <v>1181</v>
      </c>
      <c r="I348" s="19">
        <v>2</v>
      </c>
      <c r="J348" s="115" t="s">
        <v>50</v>
      </c>
    </row>
    <row r="349" spans="1:10" x14ac:dyDescent="0.2">
      <c r="A349" s="133" t="s">
        <v>10</v>
      </c>
      <c r="B349" s="19" t="s">
        <v>163</v>
      </c>
      <c r="C349" s="612"/>
      <c r="D349" s="17">
        <v>44823</v>
      </c>
      <c r="E349" s="19" t="s">
        <v>1182</v>
      </c>
      <c r="F349" s="19" t="s">
        <v>1183</v>
      </c>
      <c r="G349" s="19" t="s">
        <v>76</v>
      </c>
      <c r="H349" s="19" t="s">
        <v>1184</v>
      </c>
      <c r="I349" s="19">
        <v>26</v>
      </c>
      <c r="J349" s="115" t="s">
        <v>10</v>
      </c>
    </row>
    <row r="350" spans="1:10" x14ac:dyDescent="0.2">
      <c r="A350" s="133" t="s">
        <v>10</v>
      </c>
      <c r="B350" s="19" t="s">
        <v>163</v>
      </c>
      <c r="C350" s="612"/>
      <c r="D350" s="17">
        <v>44824</v>
      </c>
      <c r="E350" s="19" t="s">
        <v>72</v>
      </c>
      <c r="F350" s="19" t="s">
        <v>1185</v>
      </c>
      <c r="G350" s="19" t="s">
        <v>76</v>
      </c>
      <c r="H350" s="19" t="s">
        <v>1186</v>
      </c>
      <c r="I350" s="19">
        <v>26</v>
      </c>
      <c r="J350" s="115" t="s">
        <v>10</v>
      </c>
    </row>
    <row r="351" spans="1:10" x14ac:dyDescent="0.2">
      <c r="A351" s="133" t="s">
        <v>10</v>
      </c>
      <c r="B351" s="19" t="s">
        <v>2162</v>
      </c>
      <c r="C351" s="612"/>
      <c r="D351" s="17">
        <v>44825</v>
      </c>
      <c r="E351" s="19" t="s">
        <v>375</v>
      </c>
      <c r="F351" s="19" t="s">
        <v>139</v>
      </c>
      <c r="G351" s="19" t="s">
        <v>139</v>
      </c>
      <c r="H351" s="19" t="s">
        <v>1187</v>
      </c>
      <c r="I351" s="19">
        <v>4</v>
      </c>
      <c r="J351" s="115" t="s">
        <v>424</v>
      </c>
    </row>
    <row r="352" spans="1:10" x14ac:dyDescent="0.2">
      <c r="A352" s="133" t="s">
        <v>10</v>
      </c>
      <c r="B352" s="19" t="s">
        <v>29</v>
      </c>
      <c r="C352" s="612"/>
      <c r="D352" s="17">
        <v>44826</v>
      </c>
      <c r="E352" s="19" t="s">
        <v>537</v>
      </c>
      <c r="F352" s="19" t="s">
        <v>1188</v>
      </c>
      <c r="G352" s="19" t="s">
        <v>1189</v>
      </c>
      <c r="H352" s="19" t="s">
        <v>1190</v>
      </c>
      <c r="I352" s="19">
        <v>6</v>
      </c>
      <c r="J352" s="115" t="s">
        <v>34</v>
      </c>
    </row>
    <row r="353" spans="1:10" x14ac:dyDescent="0.2">
      <c r="A353" s="133" t="s">
        <v>17</v>
      </c>
      <c r="B353" s="19" t="s">
        <v>24</v>
      </c>
      <c r="C353" s="612"/>
      <c r="D353" s="17">
        <v>44828</v>
      </c>
      <c r="E353" s="19" t="s">
        <v>493</v>
      </c>
      <c r="F353" s="19" t="s">
        <v>1191</v>
      </c>
      <c r="G353" s="19"/>
      <c r="H353" s="19" t="s">
        <v>28</v>
      </c>
      <c r="I353" s="19">
        <v>1</v>
      </c>
      <c r="J353" s="115" t="s">
        <v>50</v>
      </c>
    </row>
    <row r="354" spans="1:10" x14ac:dyDescent="0.2">
      <c r="A354" s="133" t="s">
        <v>10</v>
      </c>
      <c r="B354" s="19" t="s">
        <v>29</v>
      </c>
      <c r="C354" s="612"/>
      <c r="D354" s="17">
        <v>44828</v>
      </c>
      <c r="E354" s="19" t="s">
        <v>493</v>
      </c>
      <c r="F354" s="19" t="s">
        <v>1192</v>
      </c>
      <c r="G354" s="19"/>
      <c r="H354" s="19" t="s">
        <v>581</v>
      </c>
      <c r="I354" s="19">
        <v>2</v>
      </c>
      <c r="J354" s="115" t="s">
        <v>50</v>
      </c>
    </row>
    <row r="355" spans="1:10" x14ac:dyDescent="0.2">
      <c r="A355" s="133" t="s">
        <v>10</v>
      </c>
      <c r="B355" s="19" t="s">
        <v>29</v>
      </c>
      <c r="C355" s="612"/>
      <c r="D355" s="17">
        <v>44828</v>
      </c>
      <c r="E355" s="19" t="s">
        <v>493</v>
      </c>
      <c r="F355" s="19" t="s">
        <v>1193</v>
      </c>
      <c r="G355" s="19"/>
      <c r="H355" s="19" t="s">
        <v>581</v>
      </c>
      <c r="I355" s="19">
        <v>2</v>
      </c>
      <c r="J355" s="115" t="s">
        <v>50</v>
      </c>
    </row>
    <row r="356" spans="1:10" x14ac:dyDescent="0.2">
      <c r="A356" s="133" t="s">
        <v>10</v>
      </c>
      <c r="B356" s="19" t="s">
        <v>29</v>
      </c>
      <c r="C356" s="612"/>
      <c r="D356" s="17">
        <v>44829</v>
      </c>
      <c r="E356" s="19" t="s">
        <v>72</v>
      </c>
      <c r="F356" s="19" t="s">
        <v>1194</v>
      </c>
      <c r="G356" s="19" t="s">
        <v>1195</v>
      </c>
      <c r="H356" s="19" t="s">
        <v>1196</v>
      </c>
      <c r="I356" s="19">
        <v>2</v>
      </c>
      <c r="J356" s="115" t="s">
        <v>78</v>
      </c>
    </row>
    <row r="357" spans="1:10" x14ac:dyDescent="0.2">
      <c r="A357" s="133" t="s">
        <v>10</v>
      </c>
      <c r="B357" s="19" t="s">
        <v>163</v>
      </c>
      <c r="C357" s="612"/>
      <c r="D357" s="17">
        <v>44830</v>
      </c>
      <c r="E357" s="19" t="s">
        <v>1197</v>
      </c>
      <c r="F357" s="19" t="s">
        <v>1198</v>
      </c>
      <c r="G357" s="19" t="s">
        <v>76</v>
      </c>
      <c r="H357" s="19" t="s">
        <v>1199</v>
      </c>
      <c r="I357" s="19">
        <v>38</v>
      </c>
      <c r="J357" s="115" t="s">
        <v>10</v>
      </c>
    </row>
    <row r="358" spans="1:10" x14ac:dyDescent="0.2">
      <c r="A358" s="133" t="s">
        <v>10</v>
      </c>
      <c r="B358" s="19" t="s">
        <v>163</v>
      </c>
      <c r="C358" s="612"/>
      <c r="D358" s="17">
        <v>44831</v>
      </c>
      <c r="E358" s="19" t="s">
        <v>1200</v>
      </c>
      <c r="F358" s="19" t="s">
        <v>1201</v>
      </c>
      <c r="G358" s="19" t="s">
        <v>76</v>
      </c>
      <c r="H358" s="19" t="s">
        <v>1202</v>
      </c>
      <c r="I358" s="19">
        <v>29</v>
      </c>
      <c r="J358" s="115" t="s">
        <v>10</v>
      </c>
    </row>
    <row r="359" spans="1:10" x14ac:dyDescent="0.2">
      <c r="A359" s="133" t="s">
        <v>10</v>
      </c>
      <c r="B359" s="19" t="s">
        <v>2161</v>
      </c>
      <c r="C359" s="612"/>
      <c r="D359" s="17">
        <v>44831</v>
      </c>
      <c r="E359" s="19" t="s">
        <v>1203</v>
      </c>
      <c r="F359" s="19" t="s">
        <v>1204</v>
      </c>
      <c r="G359" s="19" t="s">
        <v>139</v>
      </c>
      <c r="H359" s="19" t="s">
        <v>1205</v>
      </c>
      <c r="I359" s="19">
        <v>2</v>
      </c>
      <c r="J359" s="115" t="s">
        <v>34</v>
      </c>
    </row>
    <row r="360" spans="1:10" x14ac:dyDescent="0.2">
      <c r="A360" s="133" t="s">
        <v>10</v>
      </c>
      <c r="B360" s="19" t="s">
        <v>656</v>
      </c>
      <c r="C360" s="612"/>
      <c r="D360" s="17">
        <v>44831</v>
      </c>
      <c r="E360" s="19" t="s">
        <v>351</v>
      </c>
      <c r="F360" s="19" t="s">
        <v>658</v>
      </c>
      <c r="G360" s="19" t="s">
        <v>1206</v>
      </c>
      <c r="H360" s="19" t="s">
        <v>1207</v>
      </c>
      <c r="I360" s="19">
        <v>2</v>
      </c>
      <c r="J360" s="115" t="s">
        <v>50</v>
      </c>
    </row>
    <row r="361" spans="1:10" x14ac:dyDescent="0.2">
      <c r="A361" s="133" t="s">
        <v>10</v>
      </c>
      <c r="B361" s="19" t="s">
        <v>2162</v>
      </c>
      <c r="C361" s="612"/>
      <c r="D361" s="17">
        <v>44832</v>
      </c>
      <c r="E361" s="19" t="s">
        <v>240</v>
      </c>
      <c r="F361" s="19" t="s">
        <v>1208</v>
      </c>
      <c r="G361" s="19" t="s">
        <v>246</v>
      </c>
      <c r="H361" s="19" t="s">
        <v>1209</v>
      </c>
      <c r="I361" s="19">
        <v>3</v>
      </c>
      <c r="J361" s="115" t="s">
        <v>34</v>
      </c>
    </row>
    <row r="362" spans="1:10" x14ac:dyDescent="0.2">
      <c r="A362" s="133" t="s">
        <v>10</v>
      </c>
      <c r="B362" s="19" t="s">
        <v>29</v>
      </c>
      <c r="C362" s="612"/>
      <c r="D362" s="17">
        <v>44832</v>
      </c>
      <c r="E362" s="19" t="s">
        <v>368</v>
      </c>
      <c r="F362" s="19" t="s">
        <v>370</v>
      </c>
      <c r="G362" s="19" t="s">
        <v>1210</v>
      </c>
      <c r="H362" s="19" t="s">
        <v>1211</v>
      </c>
      <c r="I362" s="19">
        <v>2</v>
      </c>
      <c r="J362" s="115" t="s">
        <v>192</v>
      </c>
    </row>
    <row r="363" spans="1:10" x14ac:dyDescent="0.2">
      <c r="A363" s="133" t="s">
        <v>10</v>
      </c>
      <c r="B363" s="19" t="s">
        <v>2162</v>
      </c>
      <c r="C363" s="612"/>
      <c r="D363" s="17">
        <v>44834</v>
      </c>
      <c r="E363" s="19" t="s">
        <v>595</v>
      </c>
      <c r="F363" s="19" t="s">
        <v>1212</v>
      </c>
      <c r="G363" s="19" t="s">
        <v>390</v>
      </c>
      <c r="H363" s="19" t="s">
        <v>1213</v>
      </c>
      <c r="I363" s="19">
        <v>2</v>
      </c>
      <c r="J363" s="115" t="s">
        <v>50</v>
      </c>
    </row>
    <row r="364" spans="1:10" x14ac:dyDescent="0.2">
      <c r="A364" s="133" t="s">
        <v>10</v>
      </c>
      <c r="B364" s="19" t="s">
        <v>2162</v>
      </c>
      <c r="C364" s="613"/>
      <c r="D364" s="17">
        <v>44834</v>
      </c>
      <c r="E364" s="19" t="s">
        <v>337</v>
      </c>
      <c r="F364" s="19" t="s">
        <v>1214</v>
      </c>
      <c r="G364" s="19" t="s">
        <v>281</v>
      </c>
      <c r="H364" s="19" t="s">
        <v>1215</v>
      </c>
      <c r="I364" s="19">
        <v>2</v>
      </c>
      <c r="J364" s="115" t="s">
        <v>78</v>
      </c>
    </row>
    <row r="365" spans="1:10" ht="13.6" x14ac:dyDescent="0.2">
      <c r="A365" s="131" t="s">
        <v>2149</v>
      </c>
      <c r="B365" s="130"/>
      <c r="C365" s="130"/>
      <c r="D365" s="130"/>
      <c r="E365" s="130"/>
      <c r="F365" s="130"/>
      <c r="G365" s="93"/>
      <c r="H365" s="93"/>
      <c r="I365" s="93"/>
      <c r="J365" s="121"/>
    </row>
    <row r="366" spans="1:10" x14ac:dyDescent="0.2">
      <c r="A366" s="133" t="s">
        <v>17</v>
      </c>
      <c r="B366" s="19" t="s">
        <v>24</v>
      </c>
      <c r="C366" s="611">
        <f>COUNTIF(B366:B408,C2)</f>
        <v>2</v>
      </c>
      <c r="D366" s="17">
        <v>44837</v>
      </c>
      <c r="E366" s="19" t="s">
        <v>1216</v>
      </c>
      <c r="F366" s="19" t="s">
        <v>1217</v>
      </c>
      <c r="G366" s="19" t="s">
        <v>1218</v>
      </c>
      <c r="H366" s="19" t="s">
        <v>1219</v>
      </c>
      <c r="I366" s="19">
        <v>2</v>
      </c>
      <c r="J366" s="115" t="s">
        <v>50</v>
      </c>
    </row>
    <row r="367" spans="1:10" x14ac:dyDescent="0.2">
      <c r="A367" s="133" t="s">
        <v>17</v>
      </c>
      <c r="B367" s="19" t="s">
        <v>24</v>
      </c>
      <c r="C367" s="612"/>
      <c r="D367" s="17">
        <v>44837</v>
      </c>
      <c r="E367" s="19" t="s">
        <v>1220</v>
      </c>
      <c r="F367" s="19" t="s">
        <v>1221</v>
      </c>
      <c r="G367" s="19" t="s">
        <v>144</v>
      </c>
      <c r="H367" s="19" t="s">
        <v>1222</v>
      </c>
      <c r="I367" s="19">
        <v>1</v>
      </c>
      <c r="J367" s="115" t="s">
        <v>10</v>
      </c>
    </row>
    <row r="368" spans="1:10" x14ac:dyDescent="0.2">
      <c r="A368" s="133" t="s">
        <v>17</v>
      </c>
      <c r="B368" s="19" t="s">
        <v>24</v>
      </c>
      <c r="C368" s="612"/>
      <c r="D368" s="17">
        <v>44837</v>
      </c>
      <c r="E368" s="24" t="s">
        <v>767</v>
      </c>
      <c r="F368" s="19" t="s">
        <v>1223</v>
      </c>
      <c r="G368" s="19" t="s">
        <v>76</v>
      </c>
      <c r="H368" s="19" t="s">
        <v>28</v>
      </c>
      <c r="I368" s="19">
        <v>1</v>
      </c>
      <c r="J368" s="115" t="s">
        <v>10</v>
      </c>
    </row>
    <row r="369" spans="1:10" x14ac:dyDescent="0.2">
      <c r="A369" s="133" t="s">
        <v>17</v>
      </c>
      <c r="B369" s="19" t="s">
        <v>24</v>
      </c>
      <c r="C369" s="612"/>
      <c r="D369" s="17">
        <v>44837</v>
      </c>
      <c r="E369" s="24" t="s">
        <v>767</v>
      </c>
      <c r="F369" s="19" t="s">
        <v>1224</v>
      </c>
      <c r="G369" s="19" t="s">
        <v>76</v>
      </c>
      <c r="H369" s="19" t="s">
        <v>1009</v>
      </c>
      <c r="I369" s="19">
        <v>1</v>
      </c>
      <c r="J369" s="115" t="s">
        <v>10</v>
      </c>
    </row>
    <row r="370" spans="1:10" x14ac:dyDescent="0.2">
      <c r="A370" s="133" t="s">
        <v>17</v>
      </c>
      <c r="B370" s="19" t="s">
        <v>24</v>
      </c>
      <c r="C370" s="612"/>
      <c r="D370" s="17">
        <v>44837</v>
      </c>
      <c r="E370" s="24" t="s">
        <v>1225</v>
      </c>
      <c r="F370" s="19" t="s">
        <v>978</v>
      </c>
      <c r="G370" s="19" t="s">
        <v>27</v>
      </c>
      <c r="H370" s="19" t="s">
        <v>554</v>
      </c>
      <c r="I370" s="19">
        <v>1</v>
      </c>
      <c r="J370" s="115" t="s">
        <v>10</v>
      </c>
    </row>
    <row r="371" spans="1:10" x14ac:dyDescent="0.2">
      <c r="A371" s="133" t="s">
        <v>17</v>
      </c>
      <c r="B371" s="19" t="s">
        <v>24</v>
      </c>
      <c r="C371" s="612"/>
      <c r="D371" s="17">
        <v>44837</v>
      </c>
      <c r="E371" s="24" t="s">
        <v>1225</v>
      </c>
      <c r="F371" s="19" t="s">
        <v>43</v>
      </c>
      <c r="G371" s="19" t="s">
        <v>27</v>
      </c>
      <c r="H371" s="19" t="s">
        <v>1226</v>
      </c>
      <c r="I371" s="19">
        <v>1</v>
      </c>
      <c r="J371" s="115" t="s">
        <v>10</v>
      </c>
    </row>
    <row r="372" spans="1:10" x14ac:dyDescent="0.2">
      <c r="A372" s="133" t="s">
        <v>17</v>
      </c>
      <c r="B372" s="19" t="s">
        <v>24</v>
      </c>
      <c r="C372" s="612"/>
      <c r="D372" s="17">
        <v>44837</v>
      </c>
      <c r="E372" s="24" t="s">
        <v>1225</v>
      </c>
      <c r="F372" s="19" t="s">
        <v>1227</v>
      </c>
      <c r="G372" s="19" t="s">
        <v>76</v>
      </c>
      <c r="H372" s="19" t="s">
        <v>1228</v>
      </c>
      <c r="I372" s="19">
        <v>1</v>
      </c>
      <c r="J372" s="115" t="s">
        <v>23</v>
      </c>
    </row>
    <row r="373" spans="1:10" x14ac:dyDescent="0.2">
      <c r="A373" s="133" t="s">
        <v>17</v>
      </c>
      <c r="B373" s="19" t="s">
        <v>24</v>
      </c>
      <c r="C373" s="612"/>
      <c r="D373" s="17">
        <v>44837</v>
      </c>
      <c r="E373" s="24" t="s">
        <v>1225</v>
      </c>
      <c r="F373" s="19" t="s">
        <v>1229</v>
      </c>
      <c r="G373" s="19" t="s">
        <v>76</v>
      </c>
      <c r="H373" s="19" t="s">
        <v>1230</v>
      </c>
      <c r="I373" s="19">
        <v>1</v>
      </c>
      <c r="J373" s="115" t="s">
        <v>23</v>
      </c>
    </row>
    <row r="374" spans="1:10" x14ac:dyDescent="0.2">
      <c r="A374" s="133" t="s">
        <v>17</v>
      </c>
      <c r="B374" s="19" t="s">
        <v>24</v>
      </c>
      <c r="C374" s="612"/>
      <c r="D374" s="17">
        <v>44837</v>
      </c>
      <c r="E374" s="24" t="s">
        <v>1225</v>
      </c>
      <c r="F374" s="19" t="s">
        <v>1229</v>
      </c>
      <c r="G374" s="19" t="s">
        <v>76</v>
      </c>
      <c r="H374" s="19" t="s">
        <v>1231</v>
      </c>
      <c r="I374" s="19">
        <v>1</v>
      </c>
      <c r="J374" s="115" t="s">
        <v>23</v>
      </c>
    </row>
    <row r="375" spans="1:10" x14ac:dyDescent="0.2">
      <c r="A375" s="133" t="s">
        <v>51</v>
      </c>
      <c r="B375" s="19" t="s">
        <v>52</v>
      </c>
      <c r="C375" s="612"/>
      <c r="D375" s="17">
        <v>44838</v>
      </c>
      <c r="E375" s="19" t="s">
        <v>57</v>
      </c>
      <c r="F375" s="19" t="s">
        <v>1232</v>
      </c>
      <c r="G375" s="19" t="s">
        <v>139</v>
      </c>
      <c r="H375" s="19" t="s">
        <v>1233</v>
      </c>
      <c r="I375" s="19">
        <v>4</v>
      </c>
      <c r="J375" s="115" t="s">
        <v>16</v>
      </c>
    </row>
    <row r="376" spans="1:10" x14ac:dyDescent="0.2">
      <c r="A376" s="133" t="s">
        <v>10</v>
      </c>
      <c r="B376" s="19" t="s">
        <v>163</v>
      </c>
      <c r="C376" s="612"/>
      <c r="D376" s="17">
        <v>44838</v>
      </c>
      <c r="E376" s="24" t="s">
        <v>1234</v>
      </c>
      <c r="F376" s="19" t="s">
        <v>165</v>
      </c>
      <c r="G376" s="19" t="s">
        <v>76</v>
      </c>
      <c r="H376" s="19" t="s">
        <v>444</v>
      </c>
      <c r="I376" s="19">
        <v>38</v>
      </c>
      <c r="J376" s="115" t="s">
        <v>167</v>
      </c>
    </row>
    <row r="377" spans="1:10" x14ac:dyDescent="0.2">
      <c r="A377" s="133" t="s">
        <v>17</v>
      </c>
      <c r="B377" s="19" t="s">
        <v>24</v>
      </c>
      <c r="C377" s="612"/>
      <c r="D377" s="17">
        <v>44841</v>
      </c>
      <c r="E377" s="19" t="s">
        <v>104</v>
      </c>
      <c r="F377" s="19" t="s">
        <v>1235</v>
      </c>
      <c r="G377" s="19" t="s">
        <v>85</v>
      </c>
      <c r="H377" s="19" t="s">
        <v>1236</v>
      </c>
      <c r="I377" s="19">
        <v>1</v>
      </c>
      <c r="J377" s="115" t="s">
        <v>50</v>
      </c>
    </row>
    <row r="378" spans="1:10" x14ac:dyDescent="0.2">
      <c r="A378" s="133" t="s">
        <v>51</v>
      </c>
      <c r="B378" s="19" t="s">
        <v>244</v>
      </c>
      <c r="C378" s="612"/>
      <c r="D378" s="17">
        <v>44844</v>
      </c>
      <c r="E378" s="19" t="s">
        <v>57</v>
      </c>
      <c r="F378" s="19" t="s">
        <v>1237</v>
      </c>
      <c r="G378" s="19" t="s">
        <v>1027</v>
      </c>
      <c r="H378" s="19" t="s">
        <v>1238</v>
      </c>
      <c r="I378" s="19">
        <v>7</v>
      </c>
      <c r="J378" s="115" t="s">
        <v>56</v>
      </c>
    </row>
    <row r="379" spans="1:10" x14ac:dyDescent="0.2">
      <c r="A379" s="133" t="s">
        <v>10</v>
      </c>
      <c r="B379" s="19" t="s">
        <v>163</v>
      </c>
      <c r="C379" s="612"/>
      <c r="D379" s="17">
        <v>44844</v>
      </c>
      <c r="E379" s="19" t="s">
        <v>305</v>
      </c>
      <c r="F379" s="19" t="s">
        <v>1239</v>
      </c>
      <c r="G379" s="19" t="s">
        <v>234</v>
      </c>
      <c r="H379" s="19" t="s">
        <v>1240</v>
      </c>
      <c r="I379" s="19">
        <v>40</v>
      </c>
      <c r="J379" s="115" t="s">
        <v>167</v>
      </c>
    </row>
    <row r="380" spans="1:10" x14ac:dyDescent="0.2">
      <c r="A380" s="133" t="s">
        <v>10</v>
      </c>
      <c r="B380" s="19" t="s">
        <v>163</v>
      </c>
      <c r="C380" s="612"/>
      <c r="D380" s="17">
        <v>44845</v>
      </c>
      <c r="E380" s="19" t="s">
        <v>368</v>
      </c>
      <c r="F380" s="19" t="s">
        <v>1241</v>
      </c>
      <c r="G380" s="19" t="s">
        <v>234</v>
      </c>
      <c r="H380" s="19" t="s">
        <v>339</v>
      </c>
      <c r="I380" s="19">
        <v>34</v>
      </c>
      <c r="J380" s="115" t="s">
        <v>167</v>
      </c>
    </row>
    <row r="381" spans="1:10" x14ac:dyDescent="0.2">
      <c r="A381" s="133" t="s">
        <v>10</v>
      </c>
      <c r="B381" s="19" t="s">
        <v>29</v>
      </c>
      <c r="C381" s="612"/>
      <c r="D381" s="17">
        <v>44481</v>
      </c>
      <c r="E381" s="19" t="s">
        <v>1242</v>
      </c>
      <c r="F381" s="19" t="s">
        <v>1243</v>
      </c>
      <c r="G381" s="19" t="s">
        <v>1244</v>
      </c>
      <c r="H381" s="19" t="s">
        <v>1245</v>
      </c>
      <c r="I381" s="19">
        <v>2</v>
      </c>
      <c r="J381" s="115" t="s">
        <v>50</v>
      </c>
    </row>
    <row r="382" spans="1:10" x14ac:dyDescent="0.2">
      <c r="A382" s="133" t="s">
        <v>17</v>
      </c>
      <c r="B382" s="19" t="s">
        <v>24</v>
      </c>
      <c r="C382" s="612"/>
      <c r="D382" s="17">
        <v>44849</v>
      </c>
      <c r="E382" s="19" t="s">
        <v>57</v>
      </c>
      <c r="F382" s="19" t="s">
        <v>1246</v>
      </c>
      <c r="G382" s="19" t="s">
        <v>1247</v>
      </c>
      <c r="H382" s="19" t="s">
        <v>1248</v>
      </c>
      <c r="I382" s="19">
        <v>2</v>
      </c>
      <c r="J382" s="115" t="s">
        <v>50</v>
      </c>
    </row>
    <row r="383" spans="1:10" x14ac:dyDescent="0.2">
      <c r="A383" s="133" t="s">
        <v>17</v>
      </c>
      <c r="B383" s="19" t="s">
        <v>24</v>
      </c>
      <c r="C383" s="612"/>
      <c r="D383" s="17">
        <v>44849</v>
      </c>
      <c r="E383" s="19" t="s">
        <v>57</v>
      </c>
      <c r="F383" s="19" t="s">
        <v>1249</v>
      </c>
      <c r="G383" s="19" t="s">
        <v>1247</v>
      </c>
      <c r="H383" s="19" t="s">
        <v>1250</v>
      </c>
      <c r="I383" s="19">
        <v>2</v>
      </c>
      <c r="J383" s="115" t="s">
        <v>50</v>
      </c>
    </row>
    <row r="384" spans="1:10" x14ac:dyDescent="0.2">
      <c r="A384" s="133" t="s">
        <v>17</v>
      </c>
      <c r="B384" s="19" t="s">
        <v>24</v>
      </c>
      <c r="C384" s="612"/>
      <c r="D384" s="17">
        <v>44849</v>
      </c>
      <c r="E384" s="19" t="s">
        <v>57</v>
      </c>
      <c r="F384" s="19" t="s">
        <v>1251</v>
      </c>
      <c r="G384" s="19" t="s">
        <v>1252</v>
      </c>
      <c r="H384" s="19" t="s">
        <v>1253</v>
      </c>
      <c r="I384" s="19">
        <v>2</v>
      </c>
      <c r="J384" s="115" t="s">
        <v>50</v>
      </c>
    </row>
    <row r="385" spans="1:10" x14ac:dyDescent="0.2">
      <c r="A385" s="133" t="s">
        <v>10</v>
      </c>
      <c r="B385" s="19" t="s">
        <v>24</v>
      </c>
      <c r="C385" s="612"/>
      <c r="D385" s="17">
        <v>44849</v>
      </c>
      <c r="E385" s="19" t="s">
        <v>1197</v>
      </c>
      <c r="F385" s="19" t="s">
        <v>1254</v>
      </c>
      <c r="G385" s="19" t="s">
        <v>1255</v>
      </c>
      <c r="H385" s="19" t="s">
        <v>1256</v>
      </c>
      <c r="I385" s="19">
        <v>3</v>
      </c>
      <c r="J385" s="115" t="s">
        <v>78</v>
      </c>
    </row>
    <row r="386" spans="1:10" x14ac:dyDescent="0.2">
      <c r="A386" s="133" t="s">
        <v>10</v>
      </c>
      <c r="B386" s="19" t="s">
        <v>2162</v>
      </c>
      <c r="C386" s="612"/>
      <c r="D386" s="17">
        <v>44850</v>
      </c>
      <c r="E386" s="19" t="s">
        <v>1257</v>
      </c>
      <c r="F386" s="19" t="s">
        <v>1258</v>
      </c>
      <c r="G386" s="19" t="s">
        <v>234</v>
      </c>
      <c r="H386" s="19" t="s">
        <v>1259</v>
      </c>
      <c r="I386" s="19">
        <v>4</v>
      </c>
      <c r="J386" s="115" t="s">
        <v>50</v>
      </c>
    </row>
    <row r="387" spans="1:10" x14ac:dyDescent="0.2">
      <c r="A387" s="133" t="s">
        <v>10</v>
      </c>
      <c r="B387" s="19" t="s">
        <v>2162</v>
      </c>
      <c r="C387" s="612"/>
      <c r="D387" s="17">
        <v>44850</v>
      </c>
      <c r="E387" s="19" t="s">
        <v>1260</v>
      </c>
      <c r="F387" s="19" t="s">
        <v>1261</v>
      </c>
      <c r="G387" s="19" t="s">
        <v>76</v>
      </c>
      <c r="H387" s="19" t="s">
        <v>1262</v>
      </c>
      <c r="I387" s="19">
        <v>4</v>
      </c>
      <c r="J387" s="115" t="s">
        <v>50</v>
      </c>
    </row>
    <row r="388" spans="1:10" x14ac:dyDescent="0.2">
      <c r="A388" s="133" t="s">
        <v>51</v>
      </c>
      <c r="B388" s="19" t="s">
        <v>52</v>
      </c>
      <c r="C388" s="612"/>
      <c r="D388" s="17">
        <v>44850</v>
      </c>
      <c r="E388" s="19" t="s">
        <v>57</v>
      </c>
      <c r="F388" s="19" t="s">
        <v>1263</v>
      </c>
      <c r="G388" s="19" t="s">
        <v>1264</v>
      </c>
      <c r="H388" s="19" t="s">
        <v>1265</v>
      </c>
      <c r="I388" s="19">
        <v>4</v>
      </c>
      <c r="J388" s="115" t="s">
        <v>192</v>
      </c>
    </row>
    <row r="389" spans="1:10" x14ac:dyDescent="0.2">
      <c r="A389" s="133" t="s">
        <v>10</v>
      </c>
      <c r="B389" s="19" t="s">
        <v>163</v>
      </c>
      <c r="C389" s="612"/>
      <c r="D389" s="17">
        <v>44852</v>
      </c>
      <c r="E389" s="19" t="s">
        <v>164</v>
      </c>
      <c r="F389" s="19" t="s">
        <v>1266</v>
      </c>
      <c r="G389" s="19" t="s">
        <v>1267</v>
      </c>
      <c r="H389" s="19" t="s">
        <v>1268</v>
      </c>
      <c r="I389" s="19">
        <v>29</v>
      </c>
      <c r="J389" s="115" t="s">
        <v>10</v>
      </c>
    </row>
    <row r="390" spans="1:10" x14ac:dyDescent="0.2">
      <c r="A390" s="133" t="s">
        <v>10</v>
      </c>
      <c r="B390" s="19" t="s">
        <v>656</v>
      </c>
      <c r="C390" s="612"/>
      <c r="D390" s="17">
        <v>44852</v>
      </c>
      <c r="E390" s="19" t="s">
        <v>215</v>
      </c>
      <c r="F390" s="19" t="s">
        <v>1055</v>
      </c>
      <c r="G390" s="19" t="s">
        <v>1269</v>
      </c>
      <c r="H390" s="19" t="s">
        <v>1270</v>
      </c>
      <c r="I390" s="19">
        <v>1</v>
      </c>
      <c r="J390" s="115" t="s">
        <v>10</v>
      </c>
    </row>
    <row r="391" spans="1:10" x14ac:dyDescent="0.2">
      <c r="A391" s="133" t="s">
        <v>10</v>
      </c>
      <c r="B391" s="19" t="s">
        <v>152</v>
      </c>
      <c r="C391" s="612"/>
      <c r="D391" s="17">
        <v>44853</v>
      </c>
      <c r="E391" s="19" t="s">
        <v>1271</v>
      </c>
      <c r="F391" s="19" t="s">
        <v>1272</v>
      </c>
      <c r="G391" s="19" t="s">
        <v>234</v>
      </c>
      <c r="H391" s="19" t="s">
        <v>1273</v>
      </c>
      <c r="I391" s="19">
        <v>5</v>
      </c>
      <c r="J391" s="115" t="s">
        <v>50</v>
      </c>
    </row>
    <row r="392" spans="1:10" x14ac:dyDescent="0.2">
      <c r="A392" s="133" t="s">
        <v>10</v>
      </c>
      <c r="B392" s="19" t="s">
        <v>656</v>
      </c>
      <c r="C392" s="612"/>
      <c r="D392" s="17">
        <v>44853</v>
      </c>
      <c r="E392" s="19" t="s">
        <v>131</v>
      </c>
      <c r="F392" s="19" t="s">
        <v>1274</v>
      </c>
      <c r="G392" s="19" t="s">
        <v>76</v>
      </c>
      <c r="H392" s="19" t="s">
        <v>1275</v>
      </c>
      <c r="I392" s="19">
        <v>3</v>
      </c>
      <c r="J392" s="115" t="s">
        <v>10</v>
      </c>
    </row>
    <row r="393" spans="1:10" x14ac:dyDescent="0.2">
      <c r="A393" s="133" t="s">
        <v>10</v>
      </c>
      <c r="B393" s="19" t="s">
        <v>244</v>
      </c>
      <c r="C393" s="612"/>
      <c r="D393" s="17">
        <v>44854</v>
      </c>
      <c r="E393" s="19" t="s">
        <v>595</v>
      </c>
      <c r="F393" s="19" t="s">
        <v>1276</v>
      </c>
      <c r="G393" s="19" t="s">
        <v>593</v>
      </c>
      <c r="H393" s="19" t="s">
        <v>1277</v>
      </c>
      <c r="I393" s="19">
        <v>3</v>
      </c>
      <c r="J393" s="115" t="s">
        <v>34</v>
      </c>
    </row>
    <row r="394" spans="1:10" x14ac:dyDescent="0.2">
      <c r="A394" s="133" t="s">
        <v>10</v>
      </c>
      <c r="B394" s="19" t="s">
        <v>152</v>
      </c>
      <c r="C394" s="612"/>
      <c r="D394" s="17">
        <v>44854</v>
      </c>
      <c r="E394" s="19" t="s">
        <v>112</v>
      </c>
      <c r="F394" s="19" t="s">
        <v>1278</v>
      </c>
      <c r="G394" s="19" t="s">
        <v>1279</v>
      </c>
      <c r="H394" s="19" t="s">
        <v>1280</v>
      </c>
      <c r="I394" s="19">
        <v>2</v>
      </c>
      <c r="J394" s="115" t="s">
        <v>34</v>
      </c>
    </row>
    <row r="395" spans="1:10" x14ac:dyDescent="0.2">
      <c r="A395" s="133" t="s">
        <v>10</v>
      </c>
      <c r="B395" s="19" t="s">
        <v>2162</v>
      </c>
      <c r="C395" s="612"/>
      <c r="D395" s="17">
        <v>44856</v>
      </c>
      <c r="E395" s="19" t="s">
        <v>431</v>
      </c>
      <c r="F395" s="19" t="s">
        <v>1281</v>
      </c>
      <c r="G395" s="19" t="s">
        <v>390</v>
      </c>
      <c r="H395" s="19" t="s">
        <v>1282</v>
      </c>
      <c r="I395" s="19">
        <v>3</v>
      </c>
      <c r="J395" s="115" t="s">
        <v>78</v>
      </c>
    </row>
    <row r="396" spans="1:10" x14ac:dyDescent="0.2">
      <c r="A396" s="133" t="s">
        <v>17</v>
      </c>
      <c r="B396" s="19" t="s">
        <v>24</v>
      </c>
      <c r="C396" s="612"/>
      <c r="D396" s="17">
        <v>44856</v>
      </c>
      <c r="E396" s="19" t="s">
        <v>37</v>
      </c>
      <c r="F396" s="19" t="s">
        <v>1283</v>
      </c>
      <c r="G396" s="19" t="s">
        <v>1284</v>
      </c>
      <c r="H396" s="19" t="s">
        <v>1285</v>
      </c>
      <c r="I396" s="19">
        <v>2</v>
      </c>
      <c r="J396" s="115" t="s">
        <v>50</v>
      </c>
    </row>
    <row r="397" spans="1:10" x14ac:dyDescent="0.2">
      <c r="A397" s="133" t="s">
        <v>17</v>
      </c>
      <c r="B397" s="19" t="s">
        <v>24</v>
      </c>
      <c r="C397" s="612"/>
      <c r="D397" s="17">
        <v>44856</v>
      </c>
      <c r="E397" s="19" t="s">
        <v>240</v>
      </c>
      <c r="F397" s="19" t="s">
        <v>1286</v>
      </c>
      <c r="G397" s="19" t="s">
        <v>355</v>
      </c>
      <c r="H397" s="19" t="s">
        <v>1287</v>
      </c>
      <c r="I397" s="19">
        <v>2</v>
      </c>
      <c r="J397" s="115" t="s">
        <v>50</v>
      </c>
    </row>
    <row r="398" spans="1:10" x14ac:dyDescent="0.2">
      <c r="A398" s="133" t="s">
        <v>10</v>
      </c>
      <c r="B398" s="19" t="s">
        <v>29</v>
      </c>
      <c r="C398" s="612"/>
      <c r="D398" s="17">
        <v>44857</v>
      </c>
      <c r="E398" s="19" t="s">
        <v>37</v>
      </c>
      <c r="F398" s="19" t="s">
        <v>1288</v>
      </c>
      <c r="G398" s="19" t="s">
        <v>27</v>
      </c>
      <c r="H398" s="19" t="s">
        <v>1289</v>
      </c>
      <c r="I398" s="19">
        <v>3</v>
      </c>
      <c r="J398" s="115" t="s">
        <v>34</v>
      </c>
    </row>
    <row r="399" spans="1:10" x14ac:dyDescent="0.2">
      <c r="A399" s="133" t="s">
        <v>10</v>
      </c>
      <c r="B399" s="19" t="s">
        <v>2162</v>
      </c>
      <c r="C399" s="612"/>
      <c r="D399" s="17">
        <v>44858</v>
      </c>
      <c r="E399" s="19" t="s">
        <v>153</v>
      </c>
      <c r="F399" s="19" t="s">
        <v>1290</v>
      </c>
      <c r="G399" s="19" t="s">
        <v>1291</v>
      </c>
      <c r="H399" s="19" t="s">
        <v>1292</v>
      </c>
      <c r="I399" s="19">
        <v>10</v>
      </c>
      <c r="J399" s="115" t="s">
        <v>1293</v>
      </c>
    </row>
    <row r="400" spans="1:10" x14ac:dyDescent="0.2">
      <c r="A400" s="133" t="s">
        <v>35</v>
      </c>
      <c r="B400" s="19" t="s">
        <v>137</v>
      </c>
      <c r="C400" s="612"/>
      <c r="D400" s="17">
        <v>44857</v>
      </c>
      <c r="E400" s="19" t="s">
        <v>57</v>
      </c>
      <c r="F400" s="19" t="s">
        <v>1178</v>
      </c>
      <c r="G400" s="19" t="s">
        <v>355</v>
      </c>
      <c r="H400" s="19" t="s">
        <v>1294</v>
      </c>
      <c r="I400" s="19">
        <v>3</v>
      </c>
      <c r="J400" s="115" t="s">
        <v>34</v>
      </c>
    </row>
    <row r="401" spans="1:10" x14ac:dyDescent="0.2">
      <c r="A401" s="133" t="s">
        <v>10</v>
      </c>
      <c r="B401" s="19" t="s">
        <v>163</v>
      </c>
      <c r="C401" s="612"/>
      <c r="D401" s="17">
        <v>44858</v>
      </c>
      <c r="E401" s="19" t="s">
        <v>164</v>
      </c>
      <c r="F401" s="19" t="s">
        <v>165</v>
      </c>
      <c r="G401" s="19" t="s">
        <v>805</v>
      </c>
      <c r="H401" s="19" t="s">
        <v>444</v>
      </c>
      <c r="I401" s="19">
        <v>32</v>
      </c>
      <c r="J401" s="115" t="s">
        <v>167</v>
      </c>
    </row>
    <row r="402" spans="1:10" x14ac:dyDescent="0.2">
      <c r="A402" s="133" t="s">
        <v>17</v>
      </c>
      <c r="B402" s="19" t="s">
        <v>24</v>
      </c>
      <c r="C402" s="612"/>
      <c r="D402" s="17">
        <v>44859</v>
      </c>
      <c r="E402" s="19" t="s">
        <v>72</v>
      </c>
      <c r="F402" s="19" t="s">
        <v>1295</v>
      </c>
      <c r="G402" s="19"/>
      <c r="H402" s="19" t="s">
        <v>1296</v>
      </c>
      <c r="I402" s="19">
        <v>1</v>
      </c>
      <c r="J402" s="115" t="s">
        <v>10</v>
      </c>
    </row>
    <row r="403" spans="1:10" x14ac:dyDescent="0.2">
      <c r="A403" s="133" t="s">
        <v>10</v>
      </c>
      <c r="B403" s="19" t="s">
        <v>163</v>
      </c>
      <c r="C403" s="612"/>
      <c r="D403" s="17">
        <v>44859</v>
      </c>
      <c r="E403" s="19" t="s">
        <v>164</v>
      </c>
      <c r="F403" s="19" t="s">
        <v>165</v>
      </c>
      <c r="G403" s="19" t="s">
        <v>1016</v>
      </c>
      <c r="H403" s="19" t="s">
        <v>166</v>
      </c>
      <c r="I403" s="19">
        <v>37</v>
      </c>
      <c r="J403" s="115" t="s">
        <v>167</v>
      </c>
    </row>
    <row r="404" spans="1:10" x14ac:dyDescent="0.2">
      <c r="A404" s="133" t="s">
        <v>17</v>
      </c>
      <c r="B404" s="19" t="s">
        <v>24</v>
      </c>
      <c r="C404" s="612"/>
      <c r="D404" s="17">
        <v>44860</v>
      </c>
      <c r="E404" s="19" t="s">
        <v>1297</v>
      </c>
      <c r="F404" s="19" t="s">
        <v>1298</v>
      </c>
      <c r="G404" s="19" t="s">
        <v>1299</v>
      </c>
      <c r="H404" s="19" t="s">
        <v>1300</v>
      </c>
      <c r="I404" s="19">
        <v>1</v>
      </c>
      <c r="J404" s="115" t="s">
        <v>78</v>
      </c>
    </row>
    <row r="405" spans="1:10" x14ac:dyDescent="0.2">
      <c r="A405" s="133" t="s">
        <v>10</v>
      </c>
      <c r="B405" s="19" t="s">
        <v>11</v>
      </c>
      <c r="C405" s="612"/>
      <c r="D405" s="17">
        <v>44861</v>
      </c>
      <c r="E405" s="19" t="s">
        <v>37</v>
      </c>
      <c r="F405" s="19" t="s">
        <v>1301</v>
      </c>
      <c r="G405" s="19" t="s">
        <v>70</v>
      </c>
      <c r="H405" s="19" t="s">
        <v>387</v>
      </c>
      <c r="I405" s="19">
        <v>5</v>
      </c>
      <c r="J405" s="115" t="s">
        <v>16</v>
      </c>
    </row>
    <row r="406" spans="1:10" x14ac:dyDescent="0.2">
      <c r="A406" s="133" t="s">
        <v>10</v>
      </c>
      <c r="B406" s="19" t="s">
        <v>29</v>
      </c>
      <c r="C406" s="612"/>
      <c r="D406" s="17">
        <v>44862</v>
      </c>
      <c r="E406" s="19" t="s">
        <v>1302</v>
      </c>
      <c r="F406" s="19" t="s">
        <v>1303</v>
      </c>
      <c r="G406" s="19" t="s">
        <v>1304</v>
      </c>
      <c r="H406" s="19" t="s">
        <v>1305</v>
      </c>
      <c r="I406" s="19">
        <v>2</v>
      </c>
      <c r="J406" s="115" t="s">
        <v>78</v>
      </c>
    </row>
    <row r="407" spans="1:10" x14ac:dyDescent="0.2">
      <c r="A407" s="133" t="s">
        <v>51</v>
      </c>
      <c r="B407" s="19" t="s">
        <v>481</v>
      </c>
      <c r="C407" s="612"/>
      <c r="D407" s="17">
        <v>44864</v>
      </c>
      <c r="E407" s="19" t="s">
        <v>1306</v>
      </c>
      <c r="F407" s="19" t="s">
        <v>1307</v>
      </c>
      <c r="G407" s="19" t="s">
        <v>27</v>
      </c>
      <c r="H407" s="19" t="s">
        <v>1308</v>
      </c>
      <c r="I407" s="19">
        <v>6</v>
      </c>
      <c r="J407" s="115" t="s">
        <v>60</v>
      </c>
    </row>
    <row r="408" spans="1:10" x14ac:dyDescent="0.2">
      <c r="A408" s="133" t="s">
        <v>10</v>
      </c>
      <c r="B408" s="19" t="s">
        <v>163</v>
      </c>
      <c r="C408" s="613"/>
      <c r="D408" s="17">
        <v>44865</v>
      </c>
      <c r="E408" s="19" t="s">
        <v>305</v>
      </c>
      <c r="F408" s="19" t="s">
        <v>1309</v>
      </c>
      <c r="G408" s="19" t="s">
        <v>76</v>
      </c>
      <c r="H408" s="19" t="s">
        <v>1310</v>
      </c>
      <c r="I408" s="19">
        <v>37</v>
      </c>
      <c r="J408" s="115" t="s">
        <v>10</v>
      </c>
    </row>
    <row r="409" spans="1:10" ht="13.6" x14ac:dyDescent="0.2">
      <c r="A409" s="132" t="s">
        <v>2150</v>
      </c>
      <c r="B409" s="130"/>
      <c r="C409" s="130"/>
      <c r="D409" s="130"/>
      <c r="E409" s="130"/>
      <c r="F409" s="130"/>
      <c r="G409" s="94"/>
      <c r="H409" s="94"/>
      <c r="I409" s="94"/>
      <c r="J409" s="122"/>
    </row>
    <row r="410" spans="1:10" x14ac:dyDescent="0.2">
      <c r="A410" s="133" t="s">
        <v>10</v>
      </c>
      <c r="B410" s="19" t="s">
        <v>29</v>
      </c>
      <c r="C410" s="611">
        <f>COUNTIF(B410:B452,C2)</f>
        <v>2</v>
      </c>
      <c r="D410" s="17">
        <v>44866</v>
      </c>
      <c r="E410" s="19" t="s">
        <v>305</v>
      </c>
      <c r="F410" s="19" t="s">
        <v>1311</v>
      </c>
      <c r="G410" s="19" t="s">
        <v>242</v>
      </c>
      <c r="H410" s="19" t="s">
        <v>1312</v>
      </c>
      <c r="I410" s="19">
        <v>3</v>
      </c>
      <c r="J410" s="115" t="s">
        <v>78</v>
      </c>
    </row>
    <row r="411" spans="1:10" x14ac:dyDescent="0.2">
      <c r="A411" s="133" t="s">
        <v>51</v>
      </c>
      <c r="B411" s="19" t="s">
        <v>52</v>
      </c>
      <c r="C411" s="612"/>
      <c r="D411" s="17">
        <v>44867</v>
      </c>
      <c r="E411" s="19" t="s">
        <v>91</v>
      </c>
      <c r="F411" s="19" t="s">
        <v>1313</v>
      </c>
      <c r="G411" s="19" t="s">
        <v>110</v>
      </c>
      <c r="H411" s="19" t="s">
        <v>1314</v>
      </c>
      <c r="I411" s="19">
        <v>4</v>
      </c>
      <c r="J411" s="115" t="s">
        <v>192</v>
      </c>
    </row>
    <row r="412" spans="1:10" x14ac:dyDescent="0.2">
      <c r="A412" s="133" t="s">
        <v>10</v>
      </c>
      <c r="B412" s="19" t="s">
        <v>324</v>
      </c>
      <c r="C412" s="612"/>
      <c r="D412" s="17">
        <v>44867</v>
      </c>
      <c r="E412" s="19" t="s">
        <v>1042</v>
      </c>
      <c r="F412" s="19" t="s">
        <v>1315</v>
      </c>
      <c r="G412" s="19" t="s">
        <v>1316</v>
      </c>
      <c r="H412" s="19" t="s">
        <v>1317</v>
      </c>
      <c r="I412" s="19">
        <v>17</v>
      </c>
      <c r="J412" s="115" t="s">
        <v>1318</v>
      </c>
    </row>
    <row r="413" spans="1:10" x14ac:dyDescent="0.2">
      <c r="A413" s="133" t="s">
        <v>10</v>
      </c>
      <c r="B413" s="19" t="s">
        <v>2162</v>
      </c>
      <c r="C413" s="612"/>
      <c r="D413" s="17">
        <v>44868</v>
      </c>
      <c r="E413" s="19" t="s">
        <v>1319</v>
      </c>
      <c r="F413" s="19" t="s">
        <v>1320</v>
      </c>
      <c r="G413" s="19" t="s">
        <v>1321</v>
      </c>
      <c r="H413" s="19" t="s">
        <v>1322</v>
      </c>
      <c r="I413" s="19">
        <v>10</v>
      </c>
      <c r="J413" s="115" t="s">
        <v>1323</v>
      </c>
    </row>
    <row r="414" spans="1:10" x14ac:dyDescent="0.2">
      <c r="A414" s="133" t="s">
        <v>10</v>
      </c>
      <c r="B414" s="19" t="s">
        <v>2162</v>
      </c>
      <c r="C414" s="612"/>
      <c r="D414" s="17">
        <v>44869</v>
      </c>
      <c r="E414" s="19" t="s">
        <v>261</v>
      </c>
      <c r="F414" s="19" t="s">
        <v>1324</v>
      </c>
      <c r="G414" s="19" t="s">
        <v>139</v>
      </c>
      <c r="H414" s="19" t="s">
        <v>1325</v>
      </c>
      <c r="I414" s="19">
        <v>2</v>
      </c>
      <c r="J414" s="115" t="s">
        <v>78</v>
      </c>
    </row>
    <row r="415" spans="1:10" x14ac:dyDescent="0.2">
      <c r="A415" s="133" t="s">
        <v>10</v>
      </c>
      <c r="B415" s="19" t="s">
        <v>2161</v>
      </c>
      <c r="C415" s="612"/>
      <c r="D415" s="17">
        <v>44870</v>
      </c>
      <c r="E415" s="19" t="s">
        <v>800</v>
      </c>
      <c r="F415" s="19" t="s">
        <v>1326</v>
      </c>
      <c r="G415" s="19" t="s">
        <v>1327</v>
      </c>
      <c r="H415" s="19" t="s">
        <v>1328</v>
      </c>
      <c r="I415" s="19">
        <v>3</v>
      </c>
      <c r="J415" s="115" t="s">
        <v>78</v>
      </c>
    </row>
    <row r="416" spans="1:10" x14ac:dyDescent="0.2">
      <c r="A416" s="133" t="s">
        <v>10</v>
      </c>
      <c r="B416" s="19" t="s">
        <v>188</v>
      </c>
      <c r="C416" s="612"/>
      <c r="D416" s="17">
        <v>44870</v>
      </c>
      <c r="E416" s="19" t="s">
        <v>368</v>
      </c>
      <c r="F416" s="19" t="s">
        <v>1329</v>
      </c>
      <c r="G416" s="19" t="s">
        <v>134</v>
      </c>
      <c r="H416" s="19" t="s">
        <v>1330</v>
      </c>
      <c r="I416" s="19">
        <v>4</v>
      </c>
      <c r="J416" s="115" t="s">
        <v>424</v>
      </c>
    </row>
    <row r="417" spans="1:10" x14ac:dyDescent="0.2">
      <c r="A417" s="133" t="s">
        <v>10</v>
      </c>
      <c r="B417" s="19" t="s">
        <v>188</v>
      </c>
      <c r="C417" s="612"/>
      <c r="D417" s="17">
        <v>44870</v>
      </c>
      <c r="E417" s="19" t="s">
        <v>368</v>
      </c>
      <c r="F417" s="19" t="s">
        <v>134</v>
      </c>
      <c r="G417" s="19" t="s">
        <v>134</v>
      </c>
      <c r="H417" s="19" t="s">
        <v>1331</v>
      </c>
      <c r="I417" s="19">
        <v>4</v>
      </c>
      <c r="J417" s="115" t="s">
        <v>424</v>
      </c>
    </row>
    <row r="418" spans="1:10" x14ac:dyDescent="0.2">
      <c r="A418" s="133" t="s">
        <v>10</v>
      </c>
      <c r="B418" s="19" t="s">
        <v>152</v>
      </c>
      <c r="C418" s="612"/>
      <c r="D418" s="17">
        <v>44871</v>
      </c>
      <c r="E418" s="19" t="s">
        <v>1332</v>
      </c>
      <c r="F418" s="19" t="s">
        <v>747</v>
      </c>
      <c r="G418" s="19" t="s">
        <v>1160</v>
      </c>
      <c r="H418" s="19" t="s">
        <v>1333</v>
      </c>
      <c r="I418" s="19">
        <v>5</v>
      </c>
      <c r="J418" s="115" t="s">
        <v>78</v>
      </c>
    </row>
    <row r="419" spans="1:10" x14ac:dyDescent="0.2">
      <c r="A419" s="133" t="s">
        <v>10</v>
      </c>
      <c r="B419" s="19" t="s">
        <v>2162</v>
      </c>
      <c r="C419" s="612"/>
      <c r="D419" s="17">
        <v>44871</v>
      </c>
      <c r="E419" s="19" t="s">
        <v>800</v>
      </c>
      <c r="F419" s="19" t="s">
        <v>1334</v>
      </c>
      <c r="G419" s="19" t="s">
        <v>1335</v>
      </c>
      <c r="H419" s="19" t="s">
        <v>1336</v>
      </c>
      <c r="I419" s="19">
        <v>6</v>
      </c>
      <c r="J419" s="115" t="s">
        <v>34</v>
      </c>
    </row>
    <row r="420" spans="1:10" x14ac:dyDescent="0.2">
      <c r="A420" s="133" t="s">
        <v>10</v>
      </c>
      <c r="B420" s="19" t="s">
        <v>2162</v>
      </c>
      <c r="C420" s="612"/>
      <c r="D420" s="17">
        <v>44873</v>
      </c>
      <c r="E420" s="19" t="s">
        <v>388</v>
      </c>
      <c r="F420" s="19" t="s">
        <v>1337</v>
      </c>
      <c r="G420" s="19" t="s">
        <v>1338</v>
      </c>
      <c r="H420" s="19" t="s">
        <v>1339</v>
      </c>
      <c r="I420" s="19">
        <v>2</v>
      </c>
      <c r="J420" s="115" t="s">
        <v>78</v>
      </c>
    </row>
    <row r="421" spans="1:10" x14ac:dyDescent="0.2">
      <c r="A421" s="133" t="s">
        <v>10</v>
      </c>
      <c r="B421" s="19" t="s">
        <v>152</v>
      </c>
      <c r="C421" s="612"/>
      <c r="D421" s="17">
        <v>44873</v>
      </c>
      <c r="E421" s="19" t="s">
        <v>388</v>
      </c>
      <c r="F421" s="19" t="s">
        <v>1340</v>
      </c>
      <c r="G421" s="19" t="s">
        <v>246</v>
      </c>
      <c r="H421" s="19" t="s">
        <v>1341</v>
      </c>
      <c r="I421" s="19">
        <v>8</v>
      </c>
      <c r="J421" s="115" t="s">
        <v>10</v>
      </c>
    </row>
    <row r="422" spans="1:10" x14ac:dyDescent="0.2">
      <c r="A422" s="133" t="s">
        <v>10</v>
      </c>
      <c r="B422" s="19" t="s">
        <v>2161</v>
      </c>
      <c r="C422" s="612"/>
      <c r="D422" s="17">
        <v>44873</v>
      </c>
      <c r="E422" s="19" t="s">
        <v>118</v>
      </c>
      <c r="F422" s="19" t="s">
        <v>1342</v>
      </c>
      <c r="G422" s="19" t="s">
        <v>1343</v>
      </c>
      <c r="H422" s="19" t="s">
        <v>1344</v>
      </c>
      <c r="I422" s="19">
        <v>1</v>
      </c>
      <c r="J422" s="115" t="s">
        <v>78</v>
      </c>
    </row>
    <row r="423" spans="1:10" x14ac:dyDescent="0.2">
      <c r="A423" s="133" t="s">
        <v>10</v>
      </c>
      <c r="B423" s="19" t="s">
        <v>163</v>
      </c>
      <c r="C423" s="612"/>
      <c r="D423" s="17">
        <v>44873</v>
      </c>
      <c r="E423" s="19" t="s">
        <v>131</v>
      </c>
      <c r="F423" s="19" t="s">
        <v>1345</v>
      </c>
      <c r="G423" s="19" t="s">
        <v>1346</v>
      </c>
      <c r="H423" s="19" t="s">
        <v>1347</v>
      </c>
      <c r="I423" s="19">
        <v>37</v>
      </c>
      <c r="J423" s="115" t="s">
        <v>10</v>
      </c>
    </row>
    <row r="424" spans="1:10" x14ac:dyDescent="0.2">
      <c r="A424" s="133" t="s">
        <v>10</v>
      </c>
      <c r="B424" s="19" t="s">
        <v>2162</v>
      </c>
      <c r="C424" s="612"/>
      <c r="D424" s="17">
        <v>44874</v>
      </c>
      <c r="E424" s="19" t="s">
        <v>112</v>
      </c>
      <c r="F424" s="19" t="s">
        <v>1348</v>
      </c>
      <c r="G424" s="19" t="s">
        <v>390</v>
      </c>
      <c r="H424" s="19" t="s">
        <v>1349</v>
      </c>
      <c r="I424" s="19">
        <v>2</v>
      </c>
      <c r="J424" s="115" t="s">
        <v>78</v>
      </c>
    </row>
    <row r="425" spans="1:10" x14ac:dyDescent="0.2">
      <c r="A425" s="133" t="s">
        <v>10</v>
      </c>
      <c r="B425" s="19" t="s">
        <v>188</v>
      </c>
      <c r="C425" s="612"/>
      <c r="D425" s="17">
        <v>44874</v>
      </c>
      <c r="E425" s="19" t="s">
        <v>1350</v>
      </c>
      <c r="F425" s="19" t="s">
        <v>1351</v>
      </c>
      <c r="G425" s="19" t="s">
        <v>76</v>
      </c>
      <c r="H425" s="19" t="s">
        <v>1352</v>
      </c>
      <c r="I425" s="19">
        <v>2</v>
      </c>
      <c r="J425" s="115" t="s">
        <v>1094</v>
      </c>
    </row>
    <row r="426" spans="1:10" x14ac:dyDescent="0.2">
      <c r="A426" s="133" t="s">
        <v>10</v>
      </c>
      <c r="B426" s="19" t="s">
        <v>64</v>
      </c>
      <c r="C426" s="612"/>
      <c r="D426" s="17">
        <v>44875</v>
      </c>
      <c r="E426" s="19" t="s">
        <v>1353</v>
      </c>
      <c r="F426" s="19" t="s">
        <v>1354</v>
      </c>
      <c r="G426" s="19" t="s">
        <v>1338</v>
      </c>
      <c r="H426" s="19" t="s">
        <v>1355</v>
      </c>
      <c r="I426" s="19">
        <v>1</v>
      </c>
      <c r="J426" s="115" t="s">
        <v>10</v>
      </c>
    </row>
    <row r="427" spans="1:10" x14ac:dyDescent="0.2">
      <c r="A427" s="133" t="s">
        <v>10</v>
      </c>
      <c r="B427" s="19" t="s">
        <v>2161</v>
      </c>
      <c r="C427" s="612"/>
      <c r="D427" s="17">
        <v>44875</v>
      </c>
      <c r="E427" s="19" t="s">
        <v>431</v>
      </c>
      <c r="F427" s="19" t="s">
        <v>1337</v>
      </c>
      <c r="G427" s="19" t="s">
        <v>1338</v>
      </c>
      <c r="H427" s="19" t="s">
        <v>1356</v>
      </c>
      <c r="I427" s="19">
        <v>2</v>
      </c>
      <c r="J427" s="115" t="s">
        <v>34</v>
      </c>
    </row>
    <row r="428" spans="1:10" x14ac:dyDescent="0.2">
      <c r="A428" s="133" t="s">
        <v>17</v>
      </c>
      <c r="B428" s="19" t="s">
        <v>24</v>
      </c>
      <c r="C428" s="612"/>
      <c r="D428" s="17">
        <v>44875</v>
      </c>
      <c r="E428" s="19" t="s">
        <v>368</v>
      </c>
      <c r="F428" s="19" t="s">
        <v>1357</v>
      </c>
      <c r="G428" s="19" t="s">
        <v>234</v>
      </c>
      <c r="H428" s="19" t="s">
        <v>1358</v>
      </c>
      <c r="I428" s="19">
        <v>2</v>
      </c>
      <c r="J428" s="115" t="s">
        <v>10</v>
      </c>
    </row>
    <row r="429" spans="1:10" x14ac:dyDescent="0.2">
      <c r="A429" s="133" t="s">
        <v>35</v>
      </c>
      <c r="B429" s="19" t="s">
        <v>137</v>
      </c>
      <c r="C429" s="612"/>
      <c r="D429" s="17">
        <v>44875</v>
      </c>
      <c r="E429" s="19" t="s">
        <v>1359</v>
      </c>
      <c r="F429" s="19" t="s">
        <v>1360</v>
      </c>
      <c r="G429" s="19" t="s">
        <v>242</v>
      </c>
      <c r="H429" s="19" t="s">
        <v>1361</v>
      </c>
      <c r="I429" s="19">
        <v>5</v>
      </c>
      <c r="J429" s="115" t="s">
        <v>34</v>
      </c>
    </row>
    <row r="430" spans="1:10" x14ac:dyDescent="0.2">
      <c r="A430" s="133" t="s">
        <v>10</v>
      </c>
      <c r="B430" s="19" t="s">
        <v>188</v>
      </c>
      <c r="C430" s="612"/>
      <c r="D430" s="17">
        <v>44876</v>
      </c>
      <c r="E430" s="19" t="s">
        <v>74</v>
      </c>
      <c r="F430" s="19" t="s">
        <v>636</v>
      </c>
      <c r="G430" s="19" t="s">
        <v>76</v>
      </c>
      <c r="H430" s="19" t="s">
        <v>1362</v>
      </c>
      <c r="I430" s="19">
        <v>2</v>
      </c>
      <c r="J430" s="115" t="s">
        <v>192</v>
      </c>
    </row>
    <row r="431" spans="1:10" x14ac:dyDescent="0.2">
      <c r="A431" s="133" t="s">
        <v>10</v>
      </c>
      <c r="B431" s="19" t="s">
        <v>656</v>
      </c>
      <c r="C431" s="612"/>
      <c r="D431" s="17">
        <v>44876</v>
      </c>
      <c r="E431" s="19" t="s">
        <v>800</v>
      </c>
      <c r="F431" s="19" t="s">
        <v>1363</v>
      </c>
      <c r="G431" s="19" t="s">
        <v>76</v>
      </c>
      <c r="H431" s="19" t="s">
        <v>1364</v>
      </c>
      <c r="I431" s="19">
        <v>1</v>
      </c>
      <c r="J431" s="115" t="s">
        <v>10</v>
      </c>
    </row>
    <row r="432" spans="1:10" x14ac:dyDescent="0.2">
      <c r="A432" s="133" t="s">
        <v>10</v>
      </c>
      <c r="B432" s="19" t="s">
        <v>2162</v>
      </c>
      <c r="C432" s="612"/>
      <c r="D432" s="17">
        <v>44877</v>
      </c>
      <c r="E432" s="19" t="s">
        <v>74</v>
      </c>
      <c r="F432" s="19" t="s">
        <v>1365</v>
      </c>
      <c r="G432" s="19" t="s">
        <v>1366</v>
      </c>
      <c r="H432" s="19" t="s">
        <v>1367</v>
      </c>
      <c r="I432" s="19">
        <v>2</v>
      </c>
      <c r="J432" s="115" t="s">
        <v>78</v>
      </c>
    </row>
    <row r="433" spans="1:10" x14ac:dyDescent="0.2">
      <c r="A433" s="133" t="s">
        <v>10</v>
      </c>
      <c r="B433" s="19" t="s">
        <v>2162</v>
      </c>
      <c r="C433" s="612"/>
      <c r="D433" s="17">
        <v>44879</v>
      </c>
      <c r="E433" s="19" t="s">
        <v>215</v>
      </c>
      <c r="F433" s="19" t="s">
        <v>636</v>
      </c>
      <c r="G433" s="19"/>
      <c r="H433" s="19" t="s">
        <v>1368</v>
      </c>
      <c r="I433" s="19">
        <v>4</v>
      </c>
      <c r="J433" s="115" t="s">
        <v>78</v>
      </c>
    </row>
    <row r="434" spans="1:10" x14ac:dyDescent="0.2">
      <c r="A434" s="133" t="s">
        <v>10</v>
      </c>
      <c r="B434" s="19" t="s">
        <v>2161</v>
      </c>
      <c r="C434" s="612"/>
      <c r="D434" s="17">
        <v>44880</v>
      </c>
      <c r="E434" s="19" t="s">
        <v>57</v>
      </c>
      <c r="F434" s="19" t="s">
        <v>1369</v>
      </c>
      <c r="G434" s="19"/>
      <c r="H434" s="19" t="s">
        <v>1370</v>
      </c>
      <c r="I434" s="19">
        <v>2</v>
      </c>
      <c r="J434" s="115" t="s">
        <v>78</v>
      </c>
    </row>
    <row r="435" spans="1:10" x14ac:dyDescent="0.2">
      <c r="A435" s="133" t="s">
        <v>10</v>
      </c>
      <c r="B435" s="19" t="s">
        <v>163</v>
      </c>
      <c r="C435" s="612"/>
      <c r="D435" s="17">
        <v>44880</v>
      </c>
      <c r="E435" s="24" t="s">
        <v>1234</v>
      </c>
      <c r="F435" s="19" t="s">
        <v>165</v>
      </c>
      <c r="G435" s="19"/>
      <c r="H435" s="19" t="s">
        <v>166</v>
      </c>
      <c r="I435" s="19">
        <v>42</v>
      </c>
      <c r="J435" s="115" t="s">
        <v>167</v>
      </c>
    </row>
    <row r="436" spans="1:10" x14ac:dyDescent="0.2">
      <c r="A436" s="133" t="s">
        <v>10</v>
      </c>
      <c r="B436" s="19" t="s">
        <v>2162</v>
      </c>
      <c r="C436" s="612"/>
      <c r="D436" s="17">
        <v>44881</v>
      </c>
      <c r="E436" s="19" t="s">
        <v>800</v>
      </c>
      <c r="F436" s="19" t="s">
        <v>722</v>
      </c>
      <c r="G436" s="19" t="s">
        <v>1371</v>
      </c>
      <c r="H436" s="19" t="s">
        <v>1372</v>
      </c>
      <c r="I436" s="19">
        <v>3</v>
      </c>
      <c r="J436" s="115" t="s">
        <v>78</v>
      </c>
    </row>
    <row r="437" spans="1:10" x14ac:dyDescent="0.2">
      <c r="A437" s="133" t="s">
        <v>10</v>
      </c>
      <c r="B437" s="19" t="s">
        <v>188</v>
      </c>
      <c r="C437" s="612"/>
      <c r="D437" s="17">
        <v>44883</v>
      </c>
      <c r="E437" s="19" t="s">
        <v>133</v>
      </c>
      <c r="F437" s="19" t="s">
        <v>173</v>
      </c>
      <c r="G437" s="19" t="s">
        <v>173</v>
      </c>
      <c r="H437" s="19" t="s">
        <v>1373</v>
      </c>
      <c r="I437" s="19">
        <v>2</v>
      </c>
      <c r="J437" s="115" t="s">
        <v>424</v>
      </c>
    </row>
    <row r="438" spans="1:10" x14ac:dyDescent="0.2">
      <c r="A438" s="133" t="s">
        <v>17</v>
      </c>
      <c r="B438" s="19" t="s">
        <v>24</v>
      </c>
      <c r="C438" s="612"/>
      <c r="D438" s="17">
        <v>44884</v>
      </c>
      <c r="E438" s="19" t="s">
        <v>57</v>
      </c>
      <c r="F438" s="19" t="s">
        <v>1374</v>
      </c>
      <c r="G438" s="19" t="s">
        <v>144</v>
      </c>
      <c r="H438" s="19" t="s">
        <v>1375</v>
      </c>
      <c r="I438" s="19">
        <v>1</v>
      </c>
      <c r="J438" s="115" t="s">
        <v>23</v>
      </c>
    </row>
    <row r="439" spans="1:10" x14ac:dyDescent="0.2">
      <c r="A439" s="133" t="s">
        <v>17</v>
      </c>
      <c r="B439" s="19" t="s">
        <v>24</v>
      </c>
      <c r="C439" s="612"/>
      <c r="D439" s="17">
        <v>44884</v>
      </c>
      <c r="E439" s="19" t="s">
        <v>57</v>
      </c>
      <c r="F439" s="19" t="s">
        <v>144</v>
      </c>
      <c r="G439" s="19" t="s">
        <v>27</v>
      </c>
      <c r="H439" s="19" t="s">
        <v>1376</v>
      </c>
      <c r="I439" s="19">
        <v>1</v>
      </c>
      <c r="J439" s="115" t="s">
        <v>23</v>
      </c>
    </row>
    <row r="440" spans="1:10" x14ac:dyDescent="0.2">
      <c r="A440" s="133" t="s">
        <v>17</v>
      </c>
      <c r="B440" s="19" t="s">
        <v>24</v>
      </c>
      <c r="C440" s="612"/>
      <c r="D440" s="17">
        <v>44884</v>
      </c>
      <c r="E440" s="19" t="s">
        <v>176</v>
      </c>
      <c r="F440" s="19" t="s">
        <v>1377</v>
      </c>
      <c r="G440" s="19" t="s">
        <v>110</v>
      </c>
      <c r="H440" s="19" t="s">
        <v>1378</v>
      </c>
      <c r="I440" s="19">
        <v>1</v>
      </c>
      <c r="J440" s="115" t="s">
        <v>23</v>
      </c>
    </row>
    <row r="441" spans="1:10" x14ac:dyDescent="0.2">
      <c r="A441" s="133" t="s">
        <v>10</v>
      </c>
      <c r="B441" s="19" t="s">
        <v>188</v>
      </c>
      <c r="C441" s="612"/>
      <c r="D441" s="17">
        <v>44884</v>
      </c>
      <c r="E441" s="19" t="s">
        <v>1379</v>
      </c>
      <c r="F441" s="19" t="s">
        <v>173</v>
      </c>
      <c r="G441" s="19" t="s">
        <v>1380</v>
      </c>
      <c r="H441" s="19" t="s">
        <v>1381</v>
      </c>
      <c r="I441" s="19">
        <v>2</v>
      </c>
      <c r="J441" s="115" t="s">
        <v>424</v>
      </c>
    </row>
    <row r="442" spans="1:10" x14ac:dyDescent="0.2">
      <c r="A442" s="133" t="s">
        <v>10</v>
      </c>
      <c r="B442" s="19" t="s">
        <v>163</v>
      </c>
      <c r="C442" s="612"/>
      <c r="D442" s="17">
        <v>44886</v>
      </c>
      <c r="E442" s="19" t="s">
        <v>164</v>
      </c>
      <c r="F442" s="19" t="s">
        <v>1382</v>
      </c>
      <c r="G442" s="19"/>
      <c r="H442" s="19" t="s">
        <v>1383</v>
      </c>
      <c r="I442" s="19">
        <v>37</v>
      </c>
      <c r="J442" s="115" t="s">
        <v>167</v>
      </c>
    </row>
    <row r="443" spans="1:10" x14ac:dyDescent="0.2">
      <c r="A443" s="133" t="s">
        <v>10</v>
      </c>
      <c r="B443" s="19" t="s">
        <v>163</v>
      </c>
      <c r="C443" s="612"/>
      <c r="D443" s="17">
        <v>44887</v>
      </c>
      <c r="E443" s="19" t="s">
        <v>676</v>
      </c>
      <c r="F443" s="19" t="s">
        <v>1384</v>
      </c>
      <c r="G443" s="19"/>
      <c r="H443" s="19" t="s">
        <v>857</v>
      </c>
      <c r="I443" s="19">
        <v>37</v>
      </c>
      <c r="J443" s="115" t="s">
        <v>167</v>
      </c>
    </row>
    <row r="444" spans="1:10" x14ac:dyDescent="0.2">
      <c r="A444" s="133" t="s">
        <v>10</v>
      </c>
      <c r="B444" s="19" t="s">
        <v>2163</v>
      </c>
      <c r="C444" s="612"/>
      <c r="D444" s="17">
        <v>44889</v>
      </c>
      <c r="E444" s="19" t="s">
        <v>37</v>
      </c>
      <c r="F444" s="19" t="s">
        <v>1385</v>
      </c>
      <c r="G444" s="19" t="s">
        <v>1386</v>
      </c>
      <c r="H444" s="19" t="s">
        <v>1387</v>
      </c>
      <c r="I444" s="19">
        <v>5</v>
      </c>
      <c r="J444" s="115" t="s">
        <v>16</v>
      </c>
    </row>
    <row r="445" spans="1:10" x14ac:dyDescent="0.2">
      <c r="A445" s="133" t="s">
        <v>35</v>
      </c>
      <c r="B445" s="19" t="s">
        <v>2164</v>
      </c>
      <c r="C445" s="612"/>
      <c r="D445" s="17">
        <v>44890</v>
      </c>
      <c r="E445" s="19" t="s">
        <v>1388</v>
      </c>
      <c r="F445" s="19" t="s">
        <v>1389</v>
      </c>
      <c r="G445" s="19" t="s">
        <v>21</v>
      </c>
      <c r="H445" s="19" t="s">
        <v>1390</v>
      </c>
      <c r="I445" s="19">
        <v>2</v>
      </c>
      <c r="J445" s="115" t="s">
        <v>16</v>
      </c>
    </row>
    <row r="446" spans="1:10" x14ac:dyDescent="0.2">
      <c r="A446" s="133" t="s">
        <v>51</v>
      </c>
      <c r="B446" s="19" t="s">
        <v>52</v>
      </c>
      <c r="C446" s="612"/>
      <c r="D446" s="17">
        <v>44891</v>
      </c>
      <c r="E446" s="19" t="s">
        <v>91</v>
      </c>
      <c r="F446" s="19" t="s">
        <v>1391</v>
      </c>
      <c r="G446" s="19" t="s">
        <v>95</v>
      </c>
      <c r="H446" s="19" t="s">
        <v>1265</v>
      </c>
      <c r="I446" s="19">
        <v>3</v>
      </c>
      <c r="J446" s="115" t="s">
        <v>16</v>
      </c>
    </row>
    <row r="447" spans="1:10" x14ac:dyDescent="0.2">
      <c r="A447" s="133" t="s">
        <v>10</v>
      </c>
      <c r="B447" s="19" t="s">
        <v>324</v>
      </c>
      <c r="C447" s="612"/>
      <c r="D447" s="17">
        <v>44891</v>
      </c>
      <c r="E447" s="19" t="s">
        <v>337</v>
      </c>
      <c r="F447" s="19" t="s">
        <v>1392</v>
      </c>
      <c r="G447" s="19" t="s">
        <v>1393</v>
      </c>
      <c r="H447" s="19" t="s">
        <v>1394</v>
      </c>
      <c r="I447" s="19">
        <v>4</v>
      </c>
      <c r="J447" s="115" t="s">
        <v>34</v>
      </c>
    </row>
    <row r="448" spans="1:10" x14ac:dyDescent="0.2">
      <c r="A448" s="133" t="s">
        <v>10</v>
      </c>
      <c r="B448" s="19" t="s">
        <v>324</v>
      </c>
      <c r="C448" s="612"/>
      <c r="D448" s="17">
        <v>44891</v>
      </c>
      <c r="E448" s="19" t="s">
        <v>337</v>
      </c>
      <c r="F448" s="19" t="s">
        <v>1395</v>
      </c>
      <c r="G448" s="19" t="s">
        <v>702</v>
      </c>
      <c r="H448" s="19" t="s">
        <v>1396</v>
      </c>
      <c r="I448" s="19">
        <v>4</v>
      </c>
      <c r="J448" s="115" t="s">
        <v>16</v>
      </c>
    </row>
    <row r="449" spans="1:10" x14ac:dyDescent="0.2">
      <c r="A449" s="133" t="s">
        <v>10</v>
      </c>
      <c r="B449" s="19" t="s">
        <v>2162</v>
      </c>
      <c r="C449" s="612"/>
      <c r="D449" s="17">
        <v>44891</v>
      </c>
      <c r="E449" s="19" t="s">
        <v>1397</v>
      </c>
      <c r="F449" s="19" t="s">
        <v>1398</v>
      </c>
      <c r="G449" s="19" t="s">
        <v>14</v>
      </c>
      <c r="H449" s="19" t="s">
        <v>1399</v>
      </c>
      <c r="I449" s="19">
        <v>4</v>
      </c>
      <c r="J449" s="115" t="s">
        <v>34</v>
      </c>
    </row>
    <row r="450" spans="1:10" x14ac:dyDescent="0.2">
      <c r="A450" s="133" t="s">
        <v>10</v>
      </c>
      <c r="B450" s="19" t="s">
        <v>244</v>
      </c>
      <c r="C450" s="612"/>
      <c r="D450" s="17">
        <v>44892</v>
      </c>
      <c r="E450" s="19" t="s">
        <v>57</v>
      </c>
      <c r="F450" s="19" t="s">
        <v>1400</v>
      </c>
      <c r="G450" s="19" t="s">
        <v>139</v>
      </c>
      <c r="H450" s="19" t="s">
        <v>1401</v>
      </c>
      <c r="I450" s="19">
        <v>4</v>
      </c>
      <c r="J450" s="115" t="s">
        <v>16</v>
      </c>
    </row>
    <row r="451" spans="1:10" x14ac:dyDescent="0.2">
      <c r="A451" s="133" t="s">
        <v>10</v>
      </c>
      <c r="B451" s="19" t="s">
        <v>163</v>
      </c>
      <c r="C451" s="612"/>
      <c r="D451" s="17">
        <v>44893</v>
      </c>
      <c r="E451" s="19" t="s">
        <v>131</v>
      </c>
      <c r="F451" s="19" t="s">
        <v>1402</v>
      </c>
      <c r="G451" s="19" t="s">
        <v>76</v>
      </c>
      <c r="H451" s="19" t="s">
        <v>1403</v>
      </c>
      <c r="I451" s="19">
        <v>36</v>
      </c>
      <c r="J451" s="115" t="s">
        <v>10</v>
      </c>
    </row>
    <row r="452" spans="1:10" x14ac:dyDescent="0.2">
      <c r="A452" s="133" t="s">
        <v>10</v>
      </c>
      <c r="B452" s="19" t="s">
        <v>163</v>
      </c>
      <c r="C452" s="613"/>
      <c r="D452" s="17">
        <v>44894</v>
      </c>
      <c r="E452" s="19" t="s">
        <v>1404</v>
      </c>
      <c r="F452" s="19" t="s">
        <v>1405</v>
      </c>
      <c r="G452" s="19" t="s">
        <v>76</v>
      </c>
      <c r="H452" s="19" t="s">
        <v>1403</v>
      </c>
      <c r="I452" s="19">
        <v>39</v>
      </c>
      <c r="J452" s="115" t="s">
        <v>10</v>
      </c>
    </row>
    <row r="453" spans="1:10" ht="13.6" x14ac:dyDescent="0.2">
      <c r="A453" s="132" t="s">
        <v>2151</v>
      </c>
      <c r="B453" s="130"/>
      <c r="C453" s="130"/>
      <c r="D453" s="130"/>
      <c r="E453" s="130"/>
      <c r="F453" s="130"/>
      <c r="G453" s="94"/>
      <c r="H453" s="94"/>
      <c r="I453" s="94"/>
      <c r="J453" s="122"/>
    </row>
    <row r="454" spans="1:10" x14ac:dyDescent="0.2">
      <c r="A454" s="133" t="s">
        <v>10</v>
      </c>
      <c r="B454" s="19" t="s">
        <v>188</v>
      </c>
      <c r="C454" s="614">
        <f>COUNTIF(B454:B484,C2)</f>
        <v>4</v>
      </c>
      <c r="D454" s="17">
        <v>44896</v>
      </c>
      <c r="E454" s="19" t="s">
        <v>337</v>
      </c>
      <c r="F454" s="19" t="s">
        <v>1406</v>
      </c>
      <c r="G454" s="19" t="s">
        <v>234</v>
      </c>
      <c r="H454" s="19" t="s">
        <v>1407</v>
      </c>
      <c r="I454" s="19">
        <v>2</v>
      </c>
      <c r="J454" s="115" t="s">
        <v>424</v>
      </c>
    </row>
    <row r="455" spans="1:10" x14ac:dyDescent="0.2">
      <c r="A455" s="133" t="s">
        <v>17</v>
      </c>
      <c r="B455" s="19" t="s">
        <v>24</v>
      </c>
      <c r="C455" s="615"/>
      <c r="D455" s="17">
        <v>44897</v>
      </c>
      <c r="E455" s="19" t="s">
        <v>19</v>
      </c>
      <c r="F455" s="19" t="s">
        <v>1408</v>
      </c>
      <c r="G455" s="19" t="s">
        <v>110</v>
      </c>
      <c r="H455" s="19" t="s">
        <v>1409</v>
      </c>
      <c r="I455" s="19">
        <v>2</v>
      </c>
      <c r="J455" s="115" t="s">
        <v>10</v>
      </c>
    </row>
    <row r="456" spans="1:10" x14ac:dyDescent="0.2">
      <c r="A456" s="133" t="s">
        <v>17</v>
      </c>
      <c r="B456" s="19" t="s">
        <v>24</v>
      </c>
      <c r="C456" s="615"/>
      <c r="D456" s="17">
        <v>44897</v>
      </c>
      <c r="E456" s="19" t="s">
        <v>19</v>
      </c>
      <c r="F456" s="19" t="s">
        <v>1410</v>
      </c>
      <c r="G456" s="19" t="s">
        <v>1411</v>
      </c>
      <c r="H456" s="19" t="s">
        <v>1412</v>
      </c>
      <c r="I456" s="19">
        <v>2</v>
      </c>
      <c r="J456" s="115" t="s">
        <v>10</v>
      </c>
    </row>
    <row r="457" spans="1:10" x14ac:dyDescent="0.2">
      <c r="A457" s="133" t="s">
        <v>35</v>
      </c>
      <c r="B457" s="19" t="s">
        <v>137</v>
      </c>
      <c r="C457" s="615"/>
      <c r="D457" s="17">
        <v>44900</v>
      </c>
      <c r="E457" s="19" t="s">
        <v>74</v>
      </c>
      <c r="F457" s="19" t="s">
        <v>1413</v>
      </c>
      <c r="G457" s="19" t="s">
        <v>217</v>
      </c>
      <c r="H457" s="19" t="s">
        <v>1414</v>
      </c>
      <c r="I457" s="19">
        <v>5</v>
      </c>
      <c r="J457" s="115" t="s">
        <v>16</v>
      </c>
    </row>
    <row r="458" spans="1:10" x14ac:dyDescent="0.2">
      <c r="A458" s="133" t="s">
        <v>10</v>
      </c>
      <c r="B458" s="19" t="s">
        <v>163</v>
      </c>
      <c r="C458" s="615"/>
      <c r="D458" s="17">
        <v>44900</v>
      </c>
      <c r="E458" s="19" t="s">
        <v>164</v>
      </c>
      <c r="F458" s="19" t="s">
        <v>1415</v>
      </c>
      <c r="G458" s="19"/>
      <c r="H458" s="19" t="s">
        <v>166</v>
      </c>
      <c r="I458" s="19">
        <v>35</v>
      </c>
      <c r="J458" s="115" t="s">
        <v>167</v>
      </c>
    </row>
    <row r="459" spans="1:10" x14ac:dyDescent="0.2">
      <c r="A459" s="133" t="s">
        <v>10</v>
      </c>
      <c r="B459" s="19" t="s">
        <v>163</v>
      </c>
      <c r="C459" s="615"/>
      <c r="D459" s="17">
        <v>44901</v>
      </c>
      <c r="E459" s="19" t="s">
        <v>164</v>
      </c>
      <c r="F459" s="19" t="s">
        <v>165</v>
      </c>
      <c r="G459" s="19" t="s">
        <v>76</v>
      </c>
      <c r="H459" s="19" t="s">
        <v>166</v>
      </c>
      <c r="I459" s="19">
        <v>37</v>
      </c>
      <c r="J459" s="115" t="s">
        <v>167</v>
      </c>
    </row>
    <row r="460" spans="1:10" x14ac:dyDescent="0.2">
      <c r="A460" s="133" t="s">
        <v>10</v>
      </c>
      <c r="B460" s="19" t="s">
        <v>11</v>
      </c>
      <c r="C460" s="615"/>
      <c r="D460" s="17">
        <v>44903</v>
      </c>
      <c r="E460" s="19" t="s">
        <v>108</v>
      </c>
      <c r="F460" s="19" t="s">
        <v>1416</v>
      </c>
      <c r="G460" s="19" t="s">
        <v>1417</v>
      </c>
      <c r="H460" s="19" t="s">
        <v>1418</v>
      </c>
      <c r="I460" s="19">
        <v>3</v>
      </c>
      <c r="J460" s="115" t="s">
        <v>16</v>
      </c>
    </row>
    <row r="461" spans="1:10" x14ac:dyDescent="0.2">
      <c r="A461" s="133" t="s">
        <v>10</v>
      </c>
      <c r="B461" s="19" t="s">
        <v>324</v>
      </c>
      <c r="C461" s="615"/>
      <c r="D461" s="17">
        <v>44903</v>
      </c>
      <c r="E461" s="19" t="s">
        <v>305</v>
      </c>
      <c r="F461" s="19" t="s">
        <v>1419</v>
      </c>
      <c r="G461" s="19" t="s">
        <v>1420</v>
      </c>
      <c r="H461" s="19" t="s">
        <v>1421</v>
      </c>
      <c r="I461" s="19">
        <v>5</v>
      </c>
      <c r="J461" s="115" t="s">
        <v>1422</v>
      </c>
    </row>
    <row r="462" spans="1:10" x14ac:dyDescent="0.2">
      <c r="A462" s="133" t="s">
        <v>10</v>
      </c>
      <c r="B462" s="19" t="s">
        <v>64</v>
      </c>
      <c r="C462" s="615"/>
      <c r="D462" s="17">
        <v>44540</v>
      </c>
      <c r="E462" s="19" t="s">
        <v>1423</v>
      </c>
      <c r="F462" s="19" t="s">
        <v>1424</v>
      </c>
      <c r="G462" s="19" t="s">
        <v>95</v>
      </c>
      <c r="H462" s="19" t="s">
        <v>1425</v>
      </c>
      <c r="I462" s="19">
        <v>3</v>
      </c>
      <c r="J462" s="115" t="s">
        <v>16</v>
      </c>
    </row>
    <row r="463" spans="1:10" x14ac:dyDescent="0.2">
      <c r="A463" s="133" t="s">
        <v>10</v>
      </c>
      <c r="B463" s="19" t="s">
        <v>324</v>
      </c>
      <c r="C463" s="615"/>
      <c r="D463" s="17">
        <v>44906</v>
      </c>
      <c r="E463" s="19" t="s">
        <v>37</v>
      </c>
      <c r="F463" s="19" t="s">
        <v>1426</v>
      </c>
      <c r="G463" s="19" t="s">
        <v>95</v>
      </c>
      <c r="H463" s="19" t="s">
        <v>1427</v>
      </c>
      <c r="I463" s="19">
        <v>3</v>
      </c>
      <c r="J463" s="115" t="s">
        <v>50</v>
      </c>
    </row>
    <row r="464" spans="1:10" x14ac:dyDescent="0.2">
      <c r="A464" s="133" t="s">
        <v>10</v>
      </c>
      <c r="B464" s="19" t="s">
        <v>324</v>
      </c>
      <c r="C464" s="615"/>
      <c r="D464" s="17">
        <v>44906</v>
      </c>
      <c r="E464" s="19" t="s">
        <v>37</v>
      </c>
      <c r="F464" s="19" t="s">
        <v>1428</v>
      </c>
      <c r="G464" s="19" t="s">
        <v>95</v>
      </c>
      <c r="H464" s="19" t="s">
        <v>1429</v>
      </c>
      <c r="I464" s="19">
        <v>3</v>
      </c>
      <c r="J464" s="115" t="s">
        <v>50</v>
      </c>
    </row>
    <row r="465" spans="1:10" x14ac:dyDescent="0.2">
      <c r="A465" s="133" t="s">
        <v>10</v>
      </c>
      <c r="B465" s="19" t="s">
        <v>2162</v>
      </c>
      <c r="C465" s="615"/>
      <c r="D465" s="17">
        <v>44902</v>
      </c>
      <c r="E465" s="19" t="s">
        <v>337</v>
      </c>
      <c r="F465" s="19" t="s">
        <v>1430</v>
      </c>
      <c r="G465" s="19" t="s">
        <v>234</v>
      </c>
      <c r="H465" s="19" t="s">
        <v>1431</v>
      </c>
      <c r="I465" s="19">
        <v>4</v>
      </c>
      <c r="J465" s="115" t="s">
        <v>34</v>
      </c>
    </row>
    <row r="466" spans="1:10" x14ac:dyDescent="0.2">
      <c r="A466" s="133" t="s">
        <v>10</v>
      </c>
      <c r="B466" s="19" t="s">
        <v>2162</v>
      </c>
      <c r="C466" s="615"/>
      <c r="D466" s="17">
        <v>44902</v>
      </c>
      <c r="E466" s="19" t="s">
        <v>619</v>
      </c>
      <c r="F466" s="19" t="s">
        <v>242</v>
      </c>
      <c r="G466" s="19" t="s">
        <v>242</v>
      </c>
      <c r="H466" s="19" t="s">
        <v>1432</v>
      </c>
      <c r="I466" s="19">
        <v>4</v>
      </c>
      <c r="J466" s="115" t="s">
        <v>34</v>
      </c>
    </row>
    <row r="467" spans="1:10" x14ac:dyDescent="0.2">
      <c r="A467" s="133" t="s">
        <v>10</v>
      </c>
      <c r="B467" s="19" t="s">
        <v>163</v>
      </c>
      <c r="C467" s="615"/>
      <c r="D467" s="17">
        <v>44907</v>
      </c>
      <c r="E467" s="19" t="s">
        <v>431</v>
      </c>
      <c r="F467" s="19" t="s">
        <v>1433</v>
      </c>
      <c r="G467" s="19" t="s">
        <v>234</v>
      </c>
      <c r="H467" s="19" t="s">
        <v>339</v>
      </c>
      <c r="I467" s="19">
        <v>40</v>
      </c>
      <c r="J467" s="115" t="s">
        <v>167</v>
      </c>
    </row>
    <row r="468" spans="1:10" x14ac:dyDescent="0.2">
      <c r="A468" s="133" t="s">
        <v>17</v>
      </c>
      <c r="B468" s="19" t="s">
        <v>24</v>
      </c>
      <c r="C468" s="615"/>
      <c r="D468" s="17">
        <v>44909</v>
      </c>
      <c r="E468" s="19" t="s">
        <v>240</v>
      </c>
      <c r="F468" s="19" t="s">
        <v>1434</v>
      </c>
      <c r="G468" s="19"/>
      <c r="H468" s="19" t="s">
        <v>27</v>
      </c>
      <c r="I468" s="19">
        <v>1</v>
      </c>
      <c r="J468" s="115" t="s">
        <v>23</v>
      </c>
    </row>
    <row r="469" spans="1:10" x14ac:dyDescent="0.2">
      <c r="A469" s="133" t="s">
        <v>17</v>
      </c>
      <c r="B469" s="19" t="s">
        <v>24</v>
      </c>
      <c r="C469" s="615"/>
      <c r="D469" s="17">
        <v>44909</v>
      </c>
      <c r="E469" s="19" t="s">
        <v>240</v>
      </c>
      <c r="F469" s="19" t="s">
        <v>1435</v>
      </c>
      <c r="G469" s="19" t="s">
        <v>27</v>
      </c>
      <c r="H469" s="19" t="s">
        <v>1436</v>
      </c>
      <c r="I469" s="19">
        <v>1</v>
      </c>
      <c r="J469" s="115" t="s">
        <v>23</v>
      </c>
    </row>
    <row r="470" spans="1:10" x14ac:dyDescent="0.2">
      <c r="A470" s="133" t="s">
        <v>51</v>
      </c>
      <c r="B470" s="19" t="s">
        <v>52</v>
      </c>
      <c r="C470" s="615"/>
      <c r="D470" s="17">
        <v>44913</v>
      </c>
      <c r="E470" s="19" t="s">
        <v>57</v>
      </c>
      <c r="F470" s="19" t="s">
        <v>1437</v>
      </c>
      <c r="G470" s="19" t="s">
        <v>110</v>
      </c>
      <c r="H470" s="19" t="s">
        <v>1438</v>
      </c>
      <c r="I470" s="19">
        <v>4</v>
      </c>
      <c r="J470" s="115" t="s">
        <v>16</v>
      </c>
    </row>
    <row r="471" spans="1:10" x14ac:dyDescent="0.2">
      <c r="A471" s="133" t="s">
        <v>10</v>
      </c>
      <c r="B471" s="19" t="s">
        <v>29</v>
      </c>
      <c r="C471" s="615"/>
      <c r="D471" s="17">
        <v>44914</v>
      </c>
      <c r="E471" s="19" t="s">
        <v>112</v>
      </c>
      <c r="F471" s="19" t="s">
        <v>1439</v>
      </c>
      <c r="G471" s="19" t="s">
        <v>1329</v>
      </c>
      <c r="H471" s="19" t="s">
        <v>1440</v>
      </c>
      <c r="I471" s="19">
        <v>2</v>
      </c>
      <c r="J471" s="115" t="s">
        <v>78</v>
      </c>
    </row>
    <row r="472" spans="1:10" x14ac:dyDescent="0.2">
      <c r="A472" s="133" t="s">
        <v>10</v>
      </c>
      <c r="B472" s="19" t="s">
        <v>163</v>
      </c>
      <c r="C472" s="615"/>
      <c r="D472" s="17">
        <v>44914</v>
      </c>
      <c r="E472" s="19" t="s">
        <v>72</v>
      </c>
      <c r="F472" s="19" t="s">
        <v>1402</v>
      </c>
      <c r="G472" s="19" t="s">
        <v>76</v>
      </c>
      <c r="H472" s="19" t="s">
        <v>1441</v>
      </c>
      <c r="I472" s="19">
        <v>34</v>
      </c>
      <c r="J472" s="115" t="s">
        <v>10</v>
      </c>
    </row>
    <row r="473" spans="1:10" x14ac:dyDescent="0.2">
      <c r="A473" s="133" t="s">
        <v>10</v>
      </c>
      <c r="B473" s="19" t="s">
        <v>29</v>
      </c>
      <c r="C473" s="615"/>
      <c r="D473" s="17">
        <v>44913</v>
      </c>
      <c r="E473" s="19" t="s">
        <v>1350</v>
      </c>
      <c r="F473" s="19" t="s">
        <v>1442</v>
      </c>
      <c r="G473" s="19" t="s">
        <v>1443</v>
      </c>
      <c r="H473" s="19" t="s">
        <v>1444</v>
      </c>
      <c r="I473" s="19">
        <v>4</v>
      </c>
      <c r="J473" s="115" t="s">
        <v>34</v>
      </c>
    </row>
    <row r="474" spans="1:10" x14ac:dyDescent="0.2">
      <c r="A474" s="133" t="s">
        <v>10</v>
      </c>
      <c r="B474" s="19" t="s">
        <v>2162</v>
      </c>
      <c r="C474" s="615"/>
      <c r="D474" s="17">
        <v>44915</v>
      </c>
      <c r="E474" s="19" t="s">
        <v>388</v>
      </c>
      <c r="F474" s="19" t="s">
        <v>1445</v>
      </c>
      <c r="G474" s="19" t="s">
        <v>157</v>
      </c>
      <c r="H474" s="19" t="s">
        <v>1446</v>
      </c>
      <c r="I474" s="19">
        <v>1</v>
      </c>
      <c r="J474" s="115" t="s">
        <v>78</v>
      </c>
    </row>
    <row r="475" spans="1:10" x14ac:dyDescent="0.2">
      <c r="A475" s="133" t="s">
        <v>35</v>
      </c>
      <c r="B475" s="19" t="s">
        <v>137</v>
      </c>
      <c r="C475" s="615"/>
      <c r="D475" s="17">
        <v>44917</v>
      </c>
      <c r="E475" s="19" t="s">
        <v>91</v>
      </c>
      <c r="F475" s="19" t="s">
        <v>1447</v>
      </c>
      <c r="G475" s="19"/>
      <c r="H475" s="19" t="s">
        <v>1448</v>
      </c>
      <c r="I475" s="19">
        <v>3</v>
      </c>
      <c r="J475" s="115" t="s">
        <v>16</v>
      </c>
    </row>
    <row r="476" spans="1:10" x14ac:dyDescent="0.2">
      <c r="A476" s="133" t="s">
        <v>10</v>
      </c>
      <c r="B476" s="19" t="s">
        <v>188</v>
      </c>
      <c r="C476" s="615"/>
      <c r="D476" s="17">
        <v>44917</v>
      </c>
      <c r="E476" s="19" t="s">
        <v>1449</v>
      </c>
      <c r="F476" s="19" t="s">
        <v>32</v>
      </c>
      <c r="G476" s="19" t="s">
        <v>32</v>
      </c>
      <c r="H476" s="19" t="s">
        <v>1450</v>
      </c>
      <c r="I476" s="19">
        <v>2</v>
      </c>
      <c r="J476" s="115" t="s">
        <v>16</v>
      </c>
    </row>
    <row r="477" spans="1:10" x14ac:dyDescent="0.2">
      <c r="A477" s="133" t="s">
        <v>51</v>
      </c>
      <c r="B477" s="19" t="s">
        <v>481</v>
      </c>
      <c r="C477" s="615"/>
      <c r="D477" s="17">
        <v>44918</v>
      </c>
      <c r="E477" s="19" t="s">
        <v>428</v>
      </c>
      <c r="F477" s="19" t="s">
        <v>1451</v>
      </c>
      <c r="G477" s="19"/>
      <c r="H477" s="19" t="s">
        <v>1452</v>
      </c>
      <c r="I477" s="19">
        <v>3</v>
      </c>
      <c r="J477" s="115" t="s">
        <v>16</v>
      </c>
    </row>
    <row r="478" spans="1:10" x14ac:dyDescent="0.2">
      <c r="A478" s="133" t="s">
        <v>51</v>
      </c>
      <c r="B478" s="19" t="s">
        <v>52</v>
      </c>
      <c r="C478" s="615"/>
      <c r="D478" s="17">
        <v>44920</v>
      </c>
      <c r="E478" s="19" t="s">
        <v>91</v>
      </c>
      <c r="F478" s="19" t="s">
        <v>1453</v>
      </c>
      <c r="G478" s="19" t="s">
        <v>110</v>
      </c>
      <c r="H478" s="19" t="s">
        <v>1454</v>
      </c>
      <c r="I478" s="19">
        <v>4</v>
      </c>
      <c r="J478" s="115" t="s">
        <v>16</v>
      </c>
    </row>
    <row r="479" spans="1:10" x14ac:dyDescent="0.2">
      <c r="A479" s="133" t="s">
        <v>10</v>
      </c>
      <c r="B479" s="19" t="s">
        <v>2163</v>
      </c>
      <c r="C479" s="615"/>
      <c r="D479" s="17">
        <v>44920</v>
      </c>
      <c r="E479" s="19" t="s">
        <v>91</v>
      </c>
      <c r="F479" s="19" t="s">
        <v>1455</v>
      </c>
      <c r="G479" s="19" t="s">
        <v>21</v>
      </c>
      <c r="H479" s="19" t="s">
        <v>817</v>
      </c>
      <c r="I479" s="19">
        <v>3</v>
      </c>
      <c r="J479" s="115" t="s">
        <v>16</v>
      </c>
    </row>
    <row r="480" spans="1:10" x14ac:dyDescent="0.2">
      <c r="A480" s="133" t="s">
        <v>10</v>
      </c>
      <c r="B480" s="19" t="s">
        <v>24</v>
      </c>
      <c r="C480" s="615"/>
      <c r="D480" s="17">
        <v>44557</v>
      </c>
      <c r="E480" s="19" t="s">
        <v>74</v>
      </c>
      <c r="F480" s="19" t="s">
        <v>1456</v>
      </c>
      <c r="G480" s="19" t="s">
        <v>110</v>
      </c>
      <c r="H480" s="19" t="s">
        <v>1457</v>
      </c>
      <c r="I480" s="19">
        <v>1</v>
      </c>
      <c r="J480" s="115" t="s">
        <v>10</v>
      </c>
    </row>
    <row r="481" spans="1:10" x14ac:dyDescent="0.2">
      <c r="A481" s="133" t="s">
        <v>35</v>
      </c>
      <c r="B481" s="19" t="s">
        <v>152</v>
      </c>
      <c r="C481" s="615"/>
      <c r="D481" s="17">
        <v>44922</v>
      </c>
      <c r="E481" s="19" t="s">
        <v>118</v>
      </c>
      <c r="F481" s="19" t="s">
        <v>1458</v>
      </c>
      <c r="G481" s="19" t="s">
        <v>1459</v>
      </c>
      <c r="H481" s="19" t="s">
        <v>1460</v>
      </c>
      <c r="I481" s="19">
        <v>6</v>
      </c>
      <c r="J481" s="115" t="s">
        <v>16</v>
      </c>
    </row>
    <row r="482" spans="1:10" x14ac:dyDescent="0.2">
      <c r="A482" s="133" t="s">
        <v>10</v>
      </c>
      <c r="B482" s="19" t="s">
        <v>163</v>
      </c>
      <c r="C482" s="615"/>
      <c r="D482" s="17">
        <v>44922</v>
      </c>
      <c r="E482" s="19" t="s">
        <v>164</v>
      </c>
      <c r="F482" s="19" t="s">
        <v>443</v>
      </c>
      <c r="G482" s="19"/>
      <c r="H482" s="19" t="s">
        <v>166</v>
      </c>
      <c r="I482" s="19">
        <v>30</v>
      </c>
      <c r="J482" s="115" t="s">
        <v>167</v>
      </c>
    </row>
    <row r="483" spans="1:10" x14ac:dyDescent="0.2">
      <c r="A483" s="133" t="s">
        <v>51</v>
      </c>
      <c r="B483" s="19" t="s">
        <v>52</v>
      </c>
      <c r="C483" s="615"/>
      <c r="D483" s="17">
        <v>44924</v>
      </c>
      <c r="E483" s="19" t="s">
        <v>1461</v>
      </c>
      <c r="F483" s="19" t="s">
        <v>1462</v>
      </c>
      <c r="G483" s="19" t="s">
        <v>1463</v>
      </c>
      <c r="H483" s="19" t="s">
        <v>1464</v>
      </c>
      <c r="I483" s="19">
        <v>6</v>
      </c>
      <c r="J483" s="115" t="s">
        <v>16</v>
      </c>
    </row>
    <row r="484" spans="1:10" ht="13.6" thickBot="1" x14ac:dyDescent="0.25">
      <c r="A484" s="136" t="s">
        <v>51</v>
      </c>
      <c r="B484" s="111" t="s">
        <v>52</v>
      </c>
      <c r="C484" s="616"/>
      <c r="D484" s="112">
        <v>44925</v>
      </c>
      <c r="E484" s="111" t="s">
        <v>57</v>
      </c>
      <c r="F484" s="111" t="s">
        <v>1465</v>
      </c>
      <c r="G484" s="111" t="s">
        <v>76</v>
      </c>
      <c r="H484" s="111" t="s">
        <v>1466</v>
      </c>
      <c r="I484" s="111">
        <v>9</v>
      </c>
      <c r="J484" s="123" t="s">
        <v>1467</v>
      </c>
    </row>
    <row r="485" spans="1:10" s="153" customFormat="1" ht="48.25" thickTop="1" thickBot="1" x14ac:dyDescent="0.3">
      <c r="A485" s="401" t="s">
        <v>2677</v>
      </c>
      <c r="B485" s="402">
        <f>COUNTA(B3:B484)</f>
        <v>470</v>
      </c>
      <c r="C485" s="403">
        <f>SUM(C3:C484)</f>
        <v>22</v>
      </c>
      <c r="D485" s="403"/>
      <c r="E485" s="403"/>
      <c r="F485" s="403"/>
      <c r="G485" s="403"/>
      <c r="H485" s="403"/>
      <c r="I485" s="403"/>
      <c r="J485" s="404"/>
    </row>
    <row r="486" spans="1:10" x14ac:dyDescent="0.2">
      <c r="A486" s="25"/>
      <c r="B486" s="25"/>
      <c r="D486" s="33"/>
      <c r="E486" s="25"/>
      <c r="F486" s="25"/>
      <c r="G486" s="25"/>
      <c r="H486" s="25"/>
      <c r="I486" s="25"/>
      <c r="J486" s="25"/>
    </row>
    <row r="487" spans="1:10" x14ac:dyDescent="0.2">
      <c r="A487" s="25"/>
      <c r="B487" s="25"/>
      <c r="D487" s="33"/>
      <c r="E487" s="25"/>
      <c r="F487" s="25"/>
      <c r="G487" s="25"/>
      <c r="H487" s="25"/>
      <c r="I487" s="25"/>
      <c r="J487" s="25"/>
    </row>
    <row r="488" spans="1:10" x14ac:dyDescent="0.2">
      <c r="A488" s="25"/>
      <c r="B488" s="25"/>
      <c r="D488" s="33"/>
      <c r="E488" s="25"/>
      <c r="F488" s="25"/>
      <c r="G488" s="25"/>
      <c r="H488" s="25"/>
      <c r="I488" s="25"/>
      <c r="J488" s="25"/>
    </row>
    <row r="489" spans="1:10" x14ac:dyDescent="0.2">
      <c r="A489" s="25"/>
      <c r="B489" s="25"/>
      <c r="D489" s="33"/>
      <c r="E489" s="25"/>
      <c r="F489" s="25"/>
      <c r="G489" s="25"/>
      <c r="H489" s="25"/>
      <c r="I489" s="25"/>
      <c r="J489" s="25"/>
    </row>
    <row r="490" spans="1:10" x14ac:dyDescent="0.2">
      <c r="A490" s="25"/>
      <c r="B490" s="25"/>
      <c r="D490" s="33"/>
      <c r="E490" s="25"/>
      <c r="F490" s="25"/>
      <c r="G490" s="25"/>
      <c r="H490" s="25"/>
      <c r="I490" s="25"/>
      <c r="J490" s="25"/>
    </row>
    <row r="491" spans="1:10" x14ac:dyDescent="0.2">
      <c r="A491" s="25"/>
      <c r="B491" s="25"/>
      <c r="D491" s="33"/>
      <c r="E491" s="25"/>
      <c r="F491" s="25"/>
      <c r="G491" s="25"/>
      <c r="H491" s="25"/>
      <c r="I491" s="25"/>
      <c r="J491" s="25"/>
    </row>
    <row r="492" spans="1:10" x14ac:dyDescent="0.2">
      <c r="A492" s="25"/>
      <c r="B492" s="25"/>
      <c r="D492" s="33"/>
      <c r="E492" s="25"/>
      <c r="F492" s="25"/>
      <c r="G492" s="25"/>
      <c r="H492" s="25"/>
      <c r="I492" s="25"/>
      <c r="J492" s="25"/>
    </row>
    <row r="493" spans="1:10" x14ac:dyDescent="0.2">
      <c r="A493" s="25"/>
      <c r="B493" s="25"/>
      <c r="D493" s="33"/>
      <c r="E493" s="25"/>
      <c r="F493" s="25"/>
      <c r="G493" s="25"/>
      <c r="H493" s="25"/>
      <c r="I493" s="25"/>
      <c r="J493" s="25"/>
    </row>
    <row r="494" spans="1:10" x14ac:dyDescent="0.2">
      <c r="A494" s="25"/>
      <c r="B494" s="25"/>
      <c r="D494" s="33"/>
      <c r="E494" s="25"/>
      <c r="F494" s="25"/>
      <c r="G494" s="25"/>
      <c r="H494" s="25"/>
      <c r="I494" s="25"/>
      <c r="J494" s="25"/>
    </row>
    <row r="495" spans="1:10" x14ac:dyDescent="0.2">
      <c r="A495" s="25"/>
      <c r="B495" s="25"/>
      <c r="D495" s="33"/>
      <c r="E495" s="25"/>
      <c r="F495" s="25"/>
      <c r="G495" s="25"/>
      <c r="H495" s="25"/>
      <c r="I495" s="25"/>
      <c r="J495" s="25"/>
    </row>
    <row r="496" spans="1:10" x14ac:dyDescent="0.2">
      <c r="A496" s="25"/>
      <c r="B496" s="25"/>
      <c r="D496" s="33"/>
      <c r="E496" s="25"/>
      <c r="F496" s="25"/>
      <c r="G496" s="25"/>
      <c r="H496" s="25"/>
      <c r="I496" s="25"/>
      <c r="J496" s="25"/>
    </row>
    <row r="497" spans="1:10" x14ac:dyDescent="0.2">
      <c r="A497" s="25"/>
      <c r="B497" s="25"/>
      <c r="D497" s="33"/>
      <c r="E497" s="25"/>
      <c r="F497" s="25"/>
      <c r="G497" s="25"/>
      <c r="H497" s="25"/>
      <c r="I497" s="25"/>
      <c r="J497" s="25"/>
    </row>
    <row r="498" spans="1:10" x14ac:dyDescent="0.2">
      <c r="A498" s="25"/>
      <c r="B498" s="25"/>
      <c r="D498" s="33"/>
      <c r="E498" s="25"/>
      <c r="F498" s="25"/>
      <c r="G498" s="25"/>
      <c r="H498" s="25"/>
      <c r="I498" s="25"/>
      <c r="J498" s="25"/>
    </row>
    <row r="499" spans="1:10" x14ac:dyDescent="0.2">
      <c r="A499" s="25"/>
      <c r="B499" s="25"/>
      <c r="D499" s="33"/>
      <c r="E499" s="25"/>
      <c r="F499" s="25"/>
      <c r="G499" s="25"/>
      <c r="H499" s="25"/>
      <c r="I499" s="25"/>
      <c r="J499" s="25"/>
    </row>
    <row r="500" spans="1:10" x14ac:dyDescent="0.2">
      <c r="A500" s="25"/>
      <c r="B500" s="25"/>
      <c r="D500" s="33"/>
      <c r="E500" s="25"/>
      <c r="F500" s="25"/>
      <c r="G500" s="25"/>
      <c r="H500" s="25"/>
      <c r="I500" s="25"/>
      <c r="J500" s="25"/>
    </row>
    <row r="501" spans="1:10" x14ac:dyDescent="0.2">
      <c r="A501" s="25"/>
      <c r="B501" s="25"/>
      <c r="D501" s="33"/>
      <c r="E501" s="25"/>
      <c r="F501" s="25"/>
      <c r="G501" s="25"/>
      <c r="H501" s="25"/>
      <c r="I501" s="25"/>
      <c r="J501" s="25"/>
    </row>
    <row r="502" spans="1:10" x14ac:dyDescent="0.2">
      <c r="A502" s="25"/>
      <c r="B502" s="25"/>
      <c r="D502" s="33"/>
      <c r="E502" s="25"/>
      <c r="F502" s="25"/>
      <c r="G502" s="25"/>
      <c r="H502" s="25"/>
      <c r="I502" s="25"/>
      <c r="J502" s="25"/>
    </row>
    <row r="503" spans="1:10" x14ac:dyDescent="0.2">
      <c r="A503" s="25"/>
      <c r="B503" s="25"/>
      <c r="D503" s="33"/>
      <c r="E503" s="25"/>
      <c r="F503" s="25"/>
      <c r="G503" s="25"/>
      <c r="H503" s="25"/>
      <c r="I503" s="25"/>
      <c r="J503" s="25"/>
    </row>
    <row r="504" spans="1:10" x14ac:dyDescent="0.2">
      <c r="A504" s="25"/>
      <c r="B504" s="25"/>
      <c r="D504" s="33"/>
      <c r="E504" s="25"/>
      <c r="F504" s="25"/>
      <c r="G504" s="25"/>
      <c r="H504" s="25"/>
      <c r="I504" s="25"/>
      <c r="J504" s="25"/>
    </row>
    <row r="505" spans="1:10" x14ac:dyDescent="0.2">
      <c r="A505" s="25"/>
      <c r="B505" s="25"/>
      <c r="D505" s="33"/>
      <c r="E505" s="25"/>
      <c r="F505" s="25"/>
      <c r="G505" s="25"/>
      <c r="H505" s="25"/>
      <c r="I505" s="25"/>
      <c r="J505" s="25"/>
    </row>
    <row r="506" spans="1:10" x14ac:dyDescent="0.2">
      <c r="A506" s="25"/>
      <c r="B506" s="25"/>
      <c r="D506" s="33"/>
      <c r="E506" s="25"/>
      <c r="F506" s="25"/>
      <c r="G506" s="25"/>
      <c r="H506" s="25"/>
      <c r="I506" s="25"/>
      <c r="J506" s="25"/>
    </row>
    <row r="507" spans="1:10" x14ac:dyDescent="0.2">
      <c r="A507" s="25"/>
      <c r="B507" s="25"/>
      <c r="D507" s="33"/>
      <c r="E507" s="25"/>
      <c r="F507" s="25"/>
      <c r="G507" s="25"/>
      <c r="H507" s="25"/>
      <c r="I507" s="25"/>
      <c r="J507" s="25"/>
    </row>
    <row r="508" spans="1:10" x14ac:dyDescent="0.2">
      <c r="A508" s="25"/>
      <c r="B508" s="25"/>
      <c r="D508" s="33"/>
      <c r="E508" s="25"/>
      <c r="F508" s="25"/>
      <c r="G508" s="25"/>
      <c r="H508" s="25"/>
      <c r="I508" s="25"/>
      <c r="J508" s="25"/>
    </row>
    <row r="509" spans="1:10" x14ac:dyDescent="0.2">
      <c r="A509" s="25"/>
      <c r="B509" s="25"/>
      <c r="D509" s="33"/>
      <c r="E509" s="25"/>
      <c r="F509" s="25"/>
      <c r="G509" s="25"/>
      <c r="H509" s="25"/>
      <c r="I509" s="25"/>
      <c r="J509" s="25"/>
    </row>
    <row r="510" spans="1:10" x14ac:dyDescent="0.2">
      <c r="A510" s="25"/>
      <c r="B510" s="25"/>
      <c r="D510" s="33"/>
      <c r="E510" s="25"/>
      <c r="F510" s="25"/>
      <c r="G510" s="25"/>
      <c r="H510" s="25"/>
      <c r="I510" s="25"/>
      <c r="J510" s="25"/>
    </row>
    <row r="511" spans="1:10" x14ac:dyDescent="0.2">
      <c r="A511" s="25"/>
      <c r="B511" s="25"/>
      <c r="D511" s="33"/>
      <c r="E511" s="25"/>
      <c r="F511" s="25"/>
      <c r="G511" s="25"/>
      <c r="H511" s="25"/>
      <c r="I511" s="25"/>
      <c r="J511" s="25"/>
    </row>
    <row r="512" spans="1:10" x14ac:dyDescent="0.2">
      <c r="A512" s="25"/>
      <c r="B512" s="25"/>
      <c r="D512" s="33"/>
      <c r="E512" s="25"/>
      <c r="F512" s="25"/>
      <c r="G512" s="25"/>
      <c r="H512" s="25"/>
      <c r="I512" s="25"/>
      <c r="J512" s="25"/>
    </row>
    <row r="513" spans="1:10" x14ac:dyDescent="0.2">
      <c r="A513" s="25"/>
      <c r="B513" s="25"/>
      <c r="D513" s="33"/>
      <c r="E513" s="25"/>
      <c r="F513" s="25"/>
      <c r="G513" s="25"/>
      <c r="H513" s="25"/>
      <c r="I513" s="25"/>
      <c r="J513" s="25"/>
    </row>
    <row r="514" spans="1:10" x14ac:dyDescent="0.2">
      <c r="A514" s="25"/>
      <c r="B514" s="25"/>
      <c r="D514" s="33"/>
      <c r="E514" s="25"/>
      <c r="F514" s="25"/>
      <c r="G514" s="25"/>
      <c r="H514" s="25"/>
      <c r="I514" s="25"/>
      <c r="J514" s="25"/>
    </row>
    <row r="515" spans="1:10" x14ac:dyDescent="0.2">
      <c r="A515" s="25"/>
      <c r="B515" s="25"/>
      <c r="D515" s="33"/>
      <c r="E515" s="25"/>
      <c r="F515" s="25"/>
      <c r="G515" s="25"/>
      <c r="H515" s="25"/>
      <c r="I515" s="25"/>
      <c r="J515" s="25"/>
    </row>
    <row r="516" spans="1:10" x14ac:dyDescent="0.2">
      <c r="A516" s="25"/>
      <c r="B516" s="25"/>
      <c r="D516" s="33"/>
      <c r="E516" s="25"/>
      <c r="F516" s="25"/>
      <c r="G516" s="25"/>
      <c r="H516" s="25"/>
      <c r="I516" s="25"/>
      <c r="J516" s="25"/>
    </row>
    <row r="517" spans="1:10" x14ac:dyDescent="0.2">
      <c r="A517" s="25"/>
      <c r="B517" s="25"/>
      <c r="D517" s="33"/>
      <c r="E517" s="25"/>
      <c r="F517" s="25"/>
      <c r="G517" s="25"/>
      <c r="H517" s="25"/>
      <c r="I517" s="25"/>
      <c r="J517" s="25"/>
    </row>
    <row r="518" spans="1:10" x14ac:dyDescent="0.2">
      <c r="A518" s="25"/>
      <c r="B518" s="25"/>
      <c r="D518" s="33"/>
      <c r="E518" s="25"/>
      <c r="F518" s="25"/>
      <c r="G518" s="25"/>
      <c r="H518" s="25"/>
      <c r="I518" s="25"/>
      <c r="J518" s="25"/>
    </row>
    <row r="519" spans="1:10" x14ac:dyDescent="0.2">
      <c r="A519" s="25"/>
      <c r="B519" s="25"/>
      <c r="D519" s="33"/>
      <c r="E519" s="25"/>
      <c r="F519" s="25"/>
      <c r="G519" s="25"/>
      <c r="H519" s="25"/>
      <c r="I519" s="25"/>
      <c r="J519" s="25"/>
    </row>
    <row r="520" spans="1:10" x14ac:dyDescent="0.2">
      <c r="A520" s="25"/>
      <c r="B520" s="25"/>
      <c r="D520" s="33"/>
      <c r="E520" s="25"/>
      <c r="F520" s="25"/>
      <c r="G520" s="25"/>
      <c r="H520" s="25"/>
      <c r="I520" s="25"/>
      <c r="J520" s="25"/>
    </row>
    <row r="521" spans="1:10" x14ac:dyDescent="0.2">
      <c r="A521" s="25"/>
      <c r="B521" s="25"/>
      <c r="D521" s="33"/>
      <c r="E521" s="25"/>
      <c r="F521" s="25"/>
      <c r="G521" s="25"/>
      <c r="H521" s="25"/>
      <c r="I521" s="25"/>
      <c r="J521" s="25"/>
    </row>
    <row r="522" spans="1:10" x14ac:dyDescent="0.2">
      <c r="A522" s="25"/>
      <c r="B522" s="25"/>
      <c r="D522" s="33"/>
      <c r="E522" s="25"/>
      <c r="F522" s="25"/>
      <c r="G522" s="25"/>
      <c r="H522" s="25"/>
      <c r="I522" s="25"/>
      <c r="J522" s="25"/>
    </row>
    <row r="523" spans="1:10" x14ac:dyDescent="0.2">
      <c r="A523" s="25"/>
      <c r="B523" s="25"/>
      <c r="D523" s="33"/>
      <c r="E523" s="25"/>
      <c r="F523" s="25"/>
      <c r="G523" s="25"/>
      <c r="H523" s="25"/>
      <c r="I523" s="25"/>
      <c r="J523" s="25"/>
    </row>
    <row r="524" spans="1:10" x14ac:dyDescent="0.2">
      <c r="A524" s="25"/>
      <c r="B524" s="25"/>
      <c r="D524" s="33"/>
      <c r="E524" s="25"/>
      <c r="F524" s="25"/>
      <c r="G524" s="25"/>
      <c r="H524" s="25"/>
      <c r="I524" s="25"/>
      <c r="J524" s="25"/>
    </row>
    <row r="525" spans="1:10" x14ac:dyDescent="0.2">
      <c r="A525" s="25"/>
      <c r="B525" s="25"/>
      <c r="D525" s="33"/>
      <c r="E525" s="25"/>
      <c r="F525" s="25"/>
      <c r="G525" s="25"/>
      <c r="H525" s="25"/>
      <c r="I525" s="25"/>
      <c r="J525" s="25"/>
    </row>
    <row r="526" spans="1:10" x14ac:dyDescent="0.2">
      <c r="A526" s="25"/>
      <c r="B526" s="25"/>
      <c r="D526" s="33"/>
      <c r="E526" s="25"/>
      <c r="F526" s="25"/>
      <c r="G526" s="25"/>
      <c r="H526" s="25"/>
      <c r="I526" s="25"/>
      <c r="J526" s="25"/>
    </row>
    <row r="527" spans="1:10" x14ac:dyDescent="0.2">
      <c r="A527" s="25"/>
      <c r="B527" s="25"/>
      <c r="D527" s="33"/>
      <c r="E527" s="25"/>
      <c r="F527" s="25"/>
      <c r="G527" s="25"/>
      <c r="H527" s="25"/>
      <c r="I527" s="25"/>
      <c r="J527" s="25"/>
    </row>
    <row r="528" spans="1:10" x14ac:dyDescent="0.2">
      <c r="A528" s="25"/>
      <c r="B528" s="25"/>
      <c r="D528" s="33"/>
      <c r="E528" s="25"/>
      <c r="F528" s="25"/>
      <c r="G528" s="25"/>
      <c r="H528" s="25"/>
      <c r="I528" s="25"/>
      <c r="J528" s="25"/>
    </row>
    <row r="529" spans="1:10" x14ac:dyDescent="0.2">
      <c r="A529" s="25"/>
      <c r="B529" s="25"/>
      <c r="D529" s="33"/>
      <c r="E529" s="25"/>
      <c r="F529" s="25"/>
      <c r="G529" s="25"/>
      <c r="H529" s="25"/>
      <c r="I529" s="25"/>
      <c r="J529" s="25"/>
    </row>
    <row r="530" spans="1:10" x14ac:dyDescent="0.2">
      <c r="A530" s="25"/>
      <c r="B530" s="25"/>
      <c r="D530" s="33"/>
      <c r="E530" s="25"/>
      <c r="F530" s="25"/>
      <c r="G530" s="25"/>
      <c r="H530" s="25"/>
      <c r="I530" s="25"/>
      <c r="J530" s="25"/>
    </row>
    <row r="531" spans="1:10" x14ac:dyDescent="0.2">
      <c r="A531" s="25"/>
      <c r="B531" s="25"/>
      <c r="D531" s="33"/>
      <c r="E531" s="25"/>
      <c r="F531" s="25"/>
      <c r="G531" s="25"/>
      <c r="H531" s="25"/>
      <c r="I531" s="25"/>
      <c r="J531" s="25"/>
    </row>
    <row r="532" spans="1:10" x14ac:dyDescent="0.2">
      <c r="A532" s="25"/>
      <c r="B532" s="25"/>
      <c r="D532" s="33"/>
      <c r="E532" s="25"/>
      <c r="F532" s="25"/>
      <c r="G532" s="25"/>
      <c r="H532" s="25"/>
      <c r="I532" s="25"/>
      <c r="J532" s="25"/>
    </row>
    <row r="533" spans="1:10" x14ac:dyDescent="0.2">
      <c r="A533" s="25"/>
      <c r="B533" s="25"/>
      <c r="D533" s="33"/>
      <c r="E533" s="25"/>
      <c r="F533" s="25"/>
      <c r="G533" s="25"/>
      <c r="H533" s="25"/>
      <c r="I533" s="25"/>
      <c r="J533" s="25"/>
    </row>
    <row r="534" spans="1:10" x14ac:dyDescent="0.2">
      <c r="A534" s="25"/>
      <c r="B534" s="25"/>
      <c r="D534" s="33"/>
      <c r="E534" s="25"/>
      <c r="F534" s="25"/>
      <c r="G534" s="25"/>
      <c r="H534" s="25"/>
      <c r="I534" s="25"/>
      <c r="J534" s="25"/>
    </row>
    <row r="535" spans="1:10" x14ac:dyDescent="0.2">
      <c r="A535" s="25"/>
      <c r="B535" s="25"/>
      <c r="D535" s="33"/>
      <c r="E535" s="25"/>
      <c r="F535" s="25"/>
      <c r="G535" s="25"/>
      <c r="H535" s="25"/>
      <c r="I535" s="25"/>
      <c r="J535" s="25"/>
    </row>
    <row r="536" spans="1:10" x14ac:dyDescent="0.2">
      <c r="A536" s="25"/>
      <c r="B536" s="25"/>
      <c r="D536" s="33"/>
      <c r="E536" s="25"/>
      <c r="F536" s="25"/>
      <c r="G536" s="25"/>
      <c r="H536" s="25"/>
      <c r="I536" s="25"/>
      <c r="J536" s="25"/>
    </row>
    <row r="537" spans="1:10" x14ac:dyDescent="0.2">
      <c r="A537" s="25"/>
      <c r="B537" s="25"/>
      <c r="D537" s="33"/>
      <c r="E537" s="25"/>
      <c r="F537" s="25"/>
      <c r="G537" s="25"/>
      <c r="H537" s="25"/>
      <c r="I537" s="25"/>
      <c r="J537" s="25"/>
    </row>
    <row r="538" spans="1:10" x14ac:dyDescent="0.2">
      <c r="A538" s="25"/>
      <c r="B538" s="25"/>
      <c r="D538" s="33"/>
      <c r="E538" s="25"/>
      <c r="F538" s="25"/>
      <c r="G538" s="25"/>
      <c r="H538" s="25"/>
      <c r="I538" s="25"/>
      <c r="J538" s="25"/>
    </row>
    <row r="539" spans="1:10" x14ac:dyDescent="0.2">
      <c r="A539" s="25"/>
      <c r="B539" s="25"/>
      <c r="D539" s="33"/>
      <c r="E539" s="25"/>
      <c r="F539" s="25"/>
      <c r="G539" s="25"/>
      <c r="H539" s="25"/>
      <c r="I539" s="25"/>
      <c r="J539" s="25"/>
    </row>
    <row r="540" spans="1:10" x14ac:dyDescent="0.2">
      <c r="A540" s="25"/>
      <c r="B540" s="25"/>
      <c r="D540" s="33"/>
      <c r="E540" s="25"/>
      <c r="F540" s="25"/>
      <c r="G540" s="25"/>
      <c r="H540" s="25"/>
      <c r="I540" s="25"/>
      <c r="J540" s="25"/>
    </row>
    <row r="541" spans="1:10" x14ac:dyDescent="0.2">
      <c r="A541" s="25"/>
      <c r="B541" s="25"/>
      <c r="D541" s="33"/>
      <c r="E541" s="25"/>
      <c r="F541" s="25"/>
      <c r="G541" s="25"/>
      <c r="H541" s="25"/>
      <c r="I541" s="25"/>
      <c r="J541" s="25"/>
    </row>
    <row r="542" spans="1:10" x14ac:dyDescent="0.2">
      <c r="A542" s="25"/>
      <c r="B542" s="25"/>
      <c r="D542" s="33"/>
      <c r="E542" s="25"/>
      <c r="F542" s="25"/>
      <c r="G542" s="25"/>
      <c r="H542" s="25"/>
      <c r="I542" s="25"/>
      <c r="J542" s="25"/>
    </row>
    <row r="543" spans="1:10" x14ac:dyDescent="0.2">
      <c r="A543" s="25"/>
      <c r="B543" s="25"/>
      <c r="D543" s="33"/>
      <c r="E543" s="25"/>
      <c r="F543" s="25"/>
      <c r="G543" s="25"/>
      <c r="H543" s="25"/>
      <c r="I543" s="25"/>
      <c r="J543" s="25"/>
    </row>
    <row r="544" spans="1:10" x14ac:dyDescent="0.2">
      <c r="A544" s="25"/>
      <c r="B544" s="25"/>
      <c r="D544" s="33"/>
      <c r="E544" s="25"/>
      <c r="F544" s="25"/>
      <c r="G544" s="25"/>
      <c r="H544" s="25"/>
      <c r="I544" s="25"/>
      <c r="J544" s="25"/>
    </row>
    <row r="545" spans="1:10" x14ac:dyDescent="0.2">
      <c r="A545" s="25"/>
      <c r="B545" s="25"/>
      <c r="D545" s="33"/>
      <c r="E545" s="25"/>
      <c r="F545" s="25"/>
      <c r="G545" s="25"/>
      <c r="H545" s="25"/>
      <c r="I545" s="25"/>
      <c r="J545" s="25"/>
    </row>
    <row r="546" spans="1:10" x14ac:dyDescent="0.2">
      <c r="A546" s="25"/>
      <c r="B546" s="25"/>
      <c r="D546" s="33"/>
      <c r="E546" s="25"/>
      <c r="F546" s="25"/>
      <c r="G546" s="25"/>
      <c r="H546" s="25"/>
      <c r="I546" s="25"/>
      <c r="J546" s="25"/>
    </row>
    <row r="547" spans="1:10" x14ac:dyDescent="0.2">
      <c r="A547" s="25"/>
      <c r="B547" s="25"/>
      <c r="D547" s="33"/>
      <c r="E547" s="25"/>
      <c r="F547" s="25"/>
      <c r="G547" s="25"/>
      <c r="H547" s="25"/>
      <c r="I547" s="25"/>
      <c r="J547" s="25"/>
    </row>
    <row r="548" spans="1:10" x14ac:dyDescent="0.2">
      <c r="A548" s="25"/>
      <c r="B548" s="25"/>
      <c r="D548" s="33"/>
      <c r="E548" s="25"/>
      <c r="F548" s="25"/>
      <c r="G548" s="25"/>
      <c r="H548" s="25"/>
      <c r="I548" s="25"/>
      <c r="J548" s="25"/>
    </row>
    <row r="549" spans="1:10" x14ac:dyDescent="0.2">
      <c r="A549" s="25"/>
      <c r="B549" s="25"/>
      <c r="D549" s="33"/>
      <c r="E549" s="25"/>
      <c r="F549" s="25"/>
      <c r="G549" s="25"/>
      <c r="H549" s="25"/>
      <c r="I549" s="25"/>
      <c r="J549" s="25"/>
    </row>
    <row r="550" spans="1:10" x14ac:dyDescent="0.2">
      <c r="A550" s="25"/>
      <c r="B550" s="25"/>
      <c r="D550" s="33"/>
      <c r="E550" s="25"/>
      <c r="F550" s="25"/>
      <c r="G550" s="25"/>
      <c r="H550" s="25"/>
      <c r="I550" s="25"/>
      <c r="J550" s="25"/>
    </row>
    <row r="551" spans="1:10" x14ac:dyDescent="0.2">
      <c r="A551" s="25"/>
      <c r="B551" s="25"/>
      <c r="D551" s="33"/>
      <c r="E551" s="25"/>
      <c r="F551" s="25"/>
      <c r="G551" s="25"/>
      <c r="H551" s="25"/>
      <c r="I551" s="25"/>
      <c r="J551" s="25"/>
    </row>
    <row r="552" spans="1:10" x14ac:dyDescent="0.2">
      <c r="A552" s="25"/>
      <c r="B552" s="25"/>
      <c r="D552" s="33"/>
      <c r="E552" s="25"/>
      <c r="F552" s="25"/>
      <c r="G552" s="25"/>
      <c r="H552" s="25"/>
      <c r="I552" s="25"/>
      <c r="J552" s="25"/>
    </row>
    <row r="553" spans="1:10" x14ac:dyDescent="0.2">
      <c r="A553" s="25"/>
      <c r="B553" s="25"/>
      <c r="D553" s="33"/>
      <c r="E553" s="25"/>
      <c r="F553" s="25"/>
      <c r="G553" s="25"/>
      <c r="H553" s="25"/>
      <c r="I553" s="25"/>
      <c r="J553" s="25"/>
    </row>
    <row r="554" spans="1:10" x14ac:dyDescent="0.2">
      <c r="A554" s="25"/>
      <c r="B554" s="25"/>
      <c r="D554" s="33"/>
      <c r="E554" s="25"/>
      <c r="F554" s="25"/>
      <c r="G554" s="25"/>
      <c r="H554" s="25"/>
      <c r="I554" s="25"/>
      <c r="J554" s="25"/>
    </row>
    <row r="555" spans="1:10" x14ac:dyDescent="0.2">
      <c r="A555" s="25"/>
      <c r="B555" s="25"/>
      <c r="D555" s="33"/>
      <c r="E555" s="25"/>
      <c r="F555" s="25"/>
      <c r="G555" s="25"/>
      <c r="H555" s="25"/>
      <c r="I555" s="25"/>
      <c r="J555" s="25"/>
    </row>
    <row r="556" spans="1:10" x14ac:dyDescent="0.2">
      <c r="A556" s="25"/>
      <c r="B556" s="25"/>
      <c r="D556" s="33"/>
      <c r="E556" s="25"/>
      <c r="F556" s="25"/>
      <c r="G556" s="25"/>
      <c r="H556" s="25"/>
      <c r="I556" s="25"/>
      <c r="J556" s="25"/>
    </row>
    <row r="557" spans="1:10" x14ac:dyDescent="0.2">
      <c r="A557" s="25"/>
      <c r="B557" s="25"/>
      <c r="D557" s="33"/>
      <c r="E557" s="25"/>
      <c r="F557" s="25"/>
      <c r="G557" s="25"/>
      <c r="H557" s="25"/>
      <c r="I557" s="25"/>
      <c r="J557" s="25"/>
    </row>
    <row r="558" spans="1:10" x14ac:dyDescent="0.2">
      <c r="A558" s="25"/>
      <c r="B558" s="25"/>
      <c r="D558" s="33"/>
      <c r="E558" s="25"/>
      <c r="F558" s="25"/>
      <c r="G558" s="25"/>
      <c r="H558" s="25"/>
      <c r="I558" s="25"/>
      <c r="J558" s="25"/>
    </row>
    <row r="559" spans="1:10" x14ac:dyDescent="0.2">
      <c r="A559" s="25"/>
      <c r="B559" s="25"/>
      <c r="D559" s="33"/>
      <c r="E559" s="25"/>
      <c r="F559" s="25"/>
      <c r="G559" s="25"/>
      <c r="H559" s="25"/>
      <c r="I559" s="25"/>
      <c r="J559" s="25"/>
    </row>
    <row r="560" spans="1:10" x14ac:dyDescent="0.2">
      <c r="A560" s="25"/>
      <c r="B560" s="25"/>
      <c r="D560" s="33"/>
      <c r="E560" s="25"/>
      <c r="F560" s="25"/>
      <c r="G560" s="25"/>
      <c r="H560" s="25"/>
      <c r="I560" s="25"/>
      <c r="J560" s="25"/>
    </row>
    <row r="561" spans="1:10" x14ac:dyDescent="0.2">
      <c r="A561" s="25"/>
      <c r="B561" s="25"/>
      <c r="D561" s="33"/>
      <c r="E561" s="25"/>
      <c r="F561" s="25"/>
      <c r="G561" s="25"/>
      <c r="H561" s="25"/>
      <c r="I561" s="25"/>
      <c r="J561" s="25"/>
    </row>
    <row r="562" spans="1:10" x14ac:dyDescent="0.2">
      <c r="A562" s="25"/>
      <c r="B562" s="25"/>
      <c r="D562" s="33"/>
      <c r="E562" s="25"/>
      <c r="F562" s="25"/>
      <c r="G562" s="25"/>
      <c r="H562" s="25"/>
      <c r="I562" s="25"/>
      <c r="J562" s="25"/>
    </row>
    <row r="563" spans="1:10" x14ac:dyDescent="0.2">
      <c r="A563" s="25"/>
      <c r="B563" s="25"/>
      <c r="D563" s="33"/>
      <c r="E563" s="25"/>
      <c r="F563" s="25"/>
      <c r="G563" s="25"/>
      <c r="H563" s="25"/>
      <c r="I563" s="25"/>
      <c r="J563" s="25"/>
    </row>
    <row r="564" spans="1:10" x14ac:dyDescent="0.2">
      <c r="A564" s="25"/>
      <c r="B564" s="25"/>
      <c r="D564" s="33"/>
      <c r="E564" s="25"/>
      <c r="F564" s="25"/>
      <c r="G564" s="25"/>
      <c r="H564" s="25"/>
      <c r="I564" s="25"/>
      <c r="J564" s="25"/>
    </row>
    <row r="565" spans="1:10" x14ac:dyDescent="0.2">
      <c r="A565" s="25"/>
      <c r="B565" s="25"/>
      <c r="D565" s="33"/>
      <c r="E565" s="25"/>
      <c r="F565" s="25"/>
      <c r="G565" s="25"/>
      <c r="H565" s="25"/>
      <c r="I565" s="25"/>
      <c r="J565" s="25"/>
    </row>
    <row r="566" spans="1:10" x14ac:dyDescent="0.2">
      <c r="A566" s="25"/>
      <c r="B566" s="25"/>
      <c r="D566" s="33"/>
      <c r="E566" s="25"/>
      <c r="F566" s="25"/>
      <c r="G566" s="25"/>
      <c r="H566" s="25"/>
      <c r="I566" s="25"/>
      <c r="J566" s="25"/>
    </row>
    <row r="567" spans="1:10" x14ac:dyDescent="0.2">
      <c r="A567" s="25"/>
      <c r="B567" s="25"/>
      <c r="D567" s="33"/>
      <c r="E567" s="25"/>
      <c r="F567" s="25"/>
      <c r="G567" s="25"/>
      <c r="H567" s="25"/>
      <c r="I567" s="25"/>
      <c r="J567" s="25"/>
    </row>
    <row r="568" spans="1:10" x14ac:dyDescent="0.2">
      <c r="A568" s="25"/>
      <c r="B568" s="25"/>
      <c r="D568" s="33"/>
      <c r="E568" s="25"/>
      <c r="F568" s="25"/>
      <c r="G568" s="25"/>
      <c r="H568" s="25"/>
      <c r="I568" s="25"/>
      <c r="J568" s="25"/>
    </row>
    <row r="569" spans="1:10" x14ac:dyDescent="0.2">
      <c r="A569" s="25"/>
      <c r="B569" s="25"/>
      <c r="D569" s="33"/>
      <c r="E569" s="25"/>
      <c r="F569" s="25"/>
      <c r="G569" s="25"/>
      <c r="H569" s="25"/>
      <c r="I569" s="25"/>
      <c r="J569" s="25"/>
    </row>
    <row r="570" spans="1:10" x14ac:dyDescent="0.2">
      <c r="A570" s="25"/>
      <c r="B570" s="25"/>
      <c r="D570" s="33"/>
      <c r="E570" s="25"/>
      <c r="F570" s="25"/>
      <c r="G570" s="25"/>
      <c r="H570" s="25"/>
      <c r="I570" s="25"/>
      <c r="J570" s="25"/>
    </row>
    <row r="571" spans="1:10" x14ac:dyDescent="0.2">
      <c r="A571" s="25"/>
      <c r="B571" s="25"/>
      <c r="D571" s="33"/>
      <c r="E571" s="25"/>
      <c r="F571" s="25"/>
      <c r="G571" s="25"/>
      <c r="H571" s="25"/>
      <c r="I571" s="25"/>
      <c r="J571" s="25"/>
    </row>
    <row r="572" spans="1:10" x14ac:dyDescent="0.2">
      <c r="A572" s="25"/>
      <c r="B572" s="25"/>
      <c r="D572" s="33"/>
      <c r="E572" s="25"/>
      <c r="F572" s="25"/>
      <c r="G572" s="25"/>
      <c r="H572" s="25"/>
      <c r="I572" s="25"/>
      <c r="J572" s="25"/>
    </row>
    <row r="573" spans="1:10" x14ac:dyDescent="0.2">
      <c r="A573" s="25"/>
      <c r="B573" s="25"/>
      <c r="D573" s="33"/>
      <c r="E573" s="25"/>
      <c r="F573" s="25"/>
      <c r="G573" s="25"/>
      <c r="H573" s="25"/>
      <c r="I573" s="25"/>
      <c r="J573" s="25"/>
    </row>
    <row r="574" spans="1:10" x14ac:dyDescent="0.2">
      <c r="A574" s="25"/>
      <c r="B574" s="25"/>
      <c r="D574" s="33"/>
      <c r="E574" s="25"/>
      <c r="F574" s="25"/>
      <c r="G574" s="25"/>
      <c r="H574" s="25"/>
      <c r="I574" s="25"/>
      <c r="J574" s="25"/>
    </row>
    <row r="575" spans="1:10" x14ac:dyDescent="0.2">
      <c r="A575" s="25"/>
      <c r="B575" s="25"/>
      <c r="D575" s="33"/>
      <c r="E575" s="25"/>
      <c r="F575" s="25"/>
      <c r="G575" s="25"/>
      <c r="H575" s="25"/>
      <c r="I575" s="25"/>
      <c r="J575" s="25"/>
    </row>
    <row r="576" spans="1:10" x14ac:dyDescent="0.2">
      <c r="A576" s="25"/>
      <c r="B576" s="25"/>
      <c r="D576" s="33"/>
      <c r="E576" s="25"/>
      <c r="F576" s="25"/>
      <c r="G576" s="25"/>
      <c r="H576" s="25"/>
      <c r="I576" s="25"/>
      <c r="J576" s="25"/>
    </row>
    <row r="577" spans="1:10" x14ac:dyDescent="0.2">
      <c r="A577" s="25"/>
      <c r="B577" s="25"/>
      <c r="D577" s="33"/>
      <c r="E577" s="25"/>
      <c r="F577" s="25"/>
      <c r="G577" s="25"/>
      <c r="H577" s="25"/>
      <c r="I577" s="25"/>
      <c r="J577" s="25"/>
    </row>
    <row r="578" spans="1:10" x14ac:dyDescent="0.2">
      <c r="A578" s="25"/>
      <c r="B578" s="25"/>
      <c r="D578" s="33"/>
      <c r="E578" s="25"/>
      <c r="F578" s="25"/>
      <c r="G578" s="25"/>
      <c r="H578" s="25"/>
      <c r="I578" s="25"/>
      <c r="J578" s="25"/>
    </row>
    <row r="579" spans="1:10" x14ac:dyDescent="0.2">
      <c r="A579" s="25"/>
      <c r="B579" s="25"/>
      <c r="D579" s="33"/>
      <c r="E579" s="25"/>
      <c r="F579" s="25"/>
      <c r="G579" s="25"/>
      <c r="H579" s="25"/>
      <c r="I579" s="25"/>
      <c r="J579" s="25"/>
    </row>
    <row r="580" spans="1:10" x14ac:dyDescent="0.2">
      <c r="A580" s="25"/>
      <c r="B580" s="25"/>
      <c r="D580" s="33"/>
      <c r="E580" s="25"/>
      <c r="F580" s="25"/>
      <c r="G580" s="25"/>
      <c r="H580" s="25"/>
      <c r="I580" s="25"/>
      <c r="J580" s="25"/>
    </row>
  </sheetData>
  <sheetProtection sheet="1" objects="1" scenarios="1"/>
  <mergeCells count="21">
    <mergeCell ref="C410:C452"/>
    <mergeCell ref="C454:C484"/>
    <mergeCell ref="A1:A2"/>
    <mergeCell ref="D1:D2"/>
    <mergeCell ref="C169:C210"/>
    <mergeCell ref="C212:C270"/>
    <mergeCell ref="C272:C324"/>
    <mergeCell ref="C326:C364"/>
    <mergeCell ref="C366:C408"/>
    <mergeCell ref="C4:C22"/>
    <mergeCell ref="C24:C54"/>
    <mergeCell ref="C56:C87"/>
    <mergeCell ref="C89:C128"/>
    <mergeCell ref="C130:C167"/>
    <mergeCell ref="B1:B2"/>
    <mergeCell ref="J1:J2"/>
    <mergeCell ref="E1:E2"/>
    <mergeCell ref="F1:F2"/>
    <mergeCell ref="G1:G2"/>
    <mergeCell ref="H1:H2"/>
    <mergeCell ref="I1:I2"/>
  </mergeCells>
  <conditionalFormatting sqref="B1 B3:B1048576">
    <cfRule type="cellIs" dxfId="3" priority="2" operator="equal">
      <formula>$C$2</formula>
    </cfRule>
  </conditionalFormatting>
  <conditionalFormatting sqref="C2">
    <cfRule type="cellIs" dxfId="2" priority="1" operator="equal">
      <formula>$C$2</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31"/>
  <sheetViews>
    <sheetView zoomScaleNormal="100" workbookViewId="0">
      <pane ySplit="2" topLeftCell="A261" activePane="bottomLeft" state="frozen"/>
      <selection pane="bottomLeft" activeCell="B274" sqref="B274"/>
    </sheetView>
  </sheetViews>
  <sheetFormatPr baseColWidth="10" defaultColWidth="12.625" defaultRowHeight="12.9" x14ac:dyDescent="0.2"/>
  <cols>
    <col min="1" max="1" width="29.375" style="25" bestFit="1" customWidth="1"/>
    <col min="2" max="2" width="72.125" style="25" bestFit="1" customWidth="1"/>
    <col min="3" max="3" width="43.375" style="25" customWidth="1"/>
    <col min="4" max="4" width="16.5" style="25" bestFit="1" customWidth="1"/>
    <col min="5" max="5" width="44.75" style="25" bestFit="1" customWidth="1"/>
    <col min="6" max="6" width="84" style="25" bestFit="1" customWidth="1"/>
    <col min="7" max="7" width="36.125" style="25" bestFit="1" customWidth="1"/>
    <col min="8" max="8" width="255.625" style="25" bestFit="1" customWidth="1"/>
    <col min="9" max="9" width="33.25" style="25" bestFit="1" customWidth="1"/>
    <col min="10" max="10" width="18.625" style="25" bestFit="1" customWidth="1"/>
    <col min="11" max="16" width="18.875" customWidth="1"/>
  </cols>
  <sheetData>
    <row r="1" spans="1:10" ht="15.8" customHeight="1" x14ac:dyDescent="0.2">
      <c r="A1" s="578" t="s">
        <v>0</v>
      </c>
      <c r="B1" s="605" t="s">
        <v>1</v>
      </c>
      <c r="C1" s="392" t="s">
        <v>2651</v>
      </c>
      <c r="D1" s="588" t="s">
        <v>2</v>
      </c>
      <c r="E1" s="605" t="s">
        <v>3</v>
      </c>
      <c r="F1" s="605" t="s">
        <v>4</v>
      </c>
      <c r="G1" s="609" t="s">
        <v>5</v>
      </c>
      <c r="H1" s="605" t="s">
        <v>6</v>
      </c>
      <c r="I1" s="605" t="s">
        <v>7</v>
      </c>
      <c r="J1" s="607" t="s">
        <v>8</v>
      </c>
    </row>
    <row r="2" spans="1:10" ht="28.05" customHeight="1" x14ac:dyDescent="0.2">
      <c r="A2" s="579"/>
      <c r="B2" s="606"/>
      <c r="C2" s="396" t="str">
        <f>'DETALLADO X MES 2026'!J2</f>
        <v>INCENDIO FORESTAL</v>
      </c>
      <c r="D2" s="589"/>
      <c r="E2" s="606"/>
      <c r="F2" s="606"/>
      <c r="G2" s="610"/>
      <c r="H2" s="606"/>
      <c r="I2" s="606"/>
      <c r="J2" s="608"/>
    </row>
    <row r="3" spans="1:10" ht="13.6" x14ac:dyDescent="0.2">
      <c r="A3" s="113" t="s">
        <v>9</v>
      </c>
      <c r="B3" s="18"/>
      <c r="C3" s="18"/>
      <c r="D3" s="18"/>
      <c r="E3" s="18"/>
      <c r="F3" s="18"/>
      <c r="G3" s="18"/>
      <c r="H3" s="18"/>
      <c r="I3" s="18"/>
      <c r="J3" s="114"/>
    </row>
    <row r="4" spans="1:10" x14ac:dyDescent="0.2">
      <c r="A4" s="133" t="s">
        <v>10</v>
      </c>
      <c r="B4" s="19" t="s">
        <v>2162</v>
      </c>
      <c r="C4" s="611">
        <f>COUNTIF(B4:B27,C2)</f>
        <v>4</v>
      </c>
      <c r="D4" s="17">
        <v>44197</v>
      </c>
      <c r="E4" s="19" t="s">
        <v>1468</v>
      </c>
      <c r="F4" s="19" t="s">
        <v>1469</v>
      </c>
      <c r="G4" s="19" t="s">
        <v>355</v>
      </c>
      <c r="H4" s="19" t="s">
        <v>1470</v>
      </c>
      <c r="I4" s="19">
        <v>2</v>
      </c>
      <c r="J4" s="115" t="s">
        <v>490</v>
      </c>
    </row>
    <row r="5" spans="1:10" x14ac:dyDescent="0.2">
      <c r="A5" s="133" t="s">
        <v>10</v>
      </c>
      <c r="B5" s="19" t="s">
        <v>324</v>
      </c>
      <c r="C5" s="612"/>
      <c r="D5" s="17">
        <v>44197</v>
      </c>
      <c r="E5" s="19" t="s">
        <v>1471</v>
      </c>
      <c r="F5" s="19" t="s">
        <v>1472</v>
      </c>
      <c r="G5" s="19" t="s">
        <v>157</v>
      </c>
      <c r="H5" s="19" t="s">
        <v>1473</v>
      </c>
      <c r="I5" s="19">
        <v>3</v>
      </c>
      <c r="J5" s="115" t="s">
        <v>490</v>
      </c>
    </row>
    <row r="6" spans="1:10" x14ac:dyDescent="0.2">
      <c r="A6" s="133" t="s">
        <v>17</v>
      </c>
      <c r="B6" s="19" t="s">
        <v>24</v>
      </c>
      <c r="C6" s="612"/>
      <c r="D6" s="17">
        <v>44200</v>
      </c>
      <c r="E6" s="19" t="s">
        <v>57</v>
      </c>
      <c r="F6" s="19" t="s">
        <v>27</v>
      </c>
      <c r="G6" s="19"/>
      <c r="H6" s="19" t="s">
        <v>1474</v>
      </c>
      <c r="I6" s="19">
        <v>1</v>
      </c>
      <c r="J6" s="115" t="s">
        <v>544</v>
      </c>
    </row>
    <row r="7" spans="1:10" x14ac:dyDescent="0.2">
      <c r="A7" s="133" t="s">
        <v>17</v>
      </c>
      <c r="B7" s="19" t="s">
        <v>24</v>
      </c>
      <c r="C7" s="612"/>
      <c r="D7" s="17">
        <v>44202</v>
      </c>
      <c r="E7" s="19" t="s">
        <v>305</v>
      </c>
      <c r="F7" s="19" t="s">
        <v>381</v>
      </c>
      <c r="G7" s="19"/>
      <c r="H7" s="19" t="s">
        <v>1475</v>
      </c>
      <c r="I7" s="19">
        <v>1</v>
      </c>
      <c r="J7" s="115" t="s">
        <v>544</v>
      </c>
    </row>
    <row r="8" spans="1:10" x14ac:dyDescent="0.2">
      <c r="A8" s="133" t="s">
        <v>17</v>
      </c>
      <c r="B8" s="19" t="s">
        <v>24</v>
      </c>
      <c r="C8" s="612"/>
      <c r="D8" s="17">
        <v>44202</v>
      </c>
      <c r="E8" s="19" t="s">
        <v>1476</v>
      </c>
      <c r="F8" s="19" t="s">
        <v>27</v>
      </c>
      <c r="G8" s="19"/>
      <c r="H8" s="19" t="s">
        <v>1477</v>
      </c>
      <c r="I8" s="19">
        <v>1</v>
      </c>
      <c r="J8" s="115" t="s">
        <v>544</v>
      </c>
    </row>
    <row r="9" spans="1:10" x14ac:dyDescent="0.2">
      <c r="A9" s="133" t="s">
        <v>17</v>
      </c>
      <c r="B9" s="19" t="s">
        <v>24</v>
      </c>
      <c r="C9" s="612"/>
      <c r="D9" s="17">
        <v>44202</v>
      </c>
      <c r="E9" s="19" t="s">
        <v>1478</v>
      </c>
      <c r="F9" s="19" t="s">
        <v>27</v>
      </c>
      <c r="G9" s="19"/>
      <c r="H9" s="19" t="s">
        <v>1479</v>
      </c>
      <c r="I9" s="19">
        <v>1</v>
      </c>
      <c r="J9" s="115" t="s">
        <v>544</v>
      </c>
    </row>
    <row r="10" spans="1:10" x14ac:dyDescent="0.2">
      <c r="A10" s="133" t="s">
        <v>17</v>
      </c>
      <c r="B10" s="19" t="s">
        <v>24</v>
      </c>
      <c r="C10" s="612"/>
      <c r="D10" s="17">
        <v>44203</v>
      </c>
      <c r="E10" s="19" t="s">
        <v>305</v>
      </c>
      <c r="F10" s="19" t="s">
        <v>27</v>
      </c>
      <c r="G10" s="19"/>
      <c r="H10" s="19" t="s">
        <v>909</v>
      </c>
      <c r="I10" s="19">
        <v>1</v>
      </c>
      <c r="J10" s="115" t="s">
        <v>544</v>
      </c>
    </row>
    <row r="11" spans="1:10" x14ac:dyDescent="0.2">
      <c r="A11" s="133" t="s">
        <v>10</v>
      </c>
      <c r="B11" s="19" t="s">
        <v>2162</v>
      </c>
      <c r="C11" s="612"/>
      <c r="D11" s="17">
        <v>44203</v>
      </c>
      <c r="E11" s="19" t="s">
        <v>1480</v>
      </c>
      <c r="F11" s="19" t="s">
        <v>1481</v>
      </c>
      <c r="G11" s="19" t="s">
        <v>381</v>
      </c>
      <c r="H11" s="19" t="s">
        <v>1482</v>
      </c>
      <c r="I11" s="19">
        <v>1</v>
      </c>
      <c r="J11" s="115" t="s">
        <v>10</v>
      </c>
    </row>
    <row r="12" spans="1:10" x14ac:dyDescent="0.2">
      <c r="A12" s="133" t="s">
        <v>10</v>
      </c>
      <c r="B12" s="19" t="s">
        <v>2162</v>
      </c>
      <c r="C12" s="612"/>
      <c r="D12" s="17">
        <v>44204</v>
      </c>
      <c r="E12" s="19" t="s">
        <v>1483</v>
      </c>
      <c r="F12" s="19" t="s">
        <v>381</v>
      </c>
      <c r="G12" s="19"/>
      <c r="H12" s="19" t="s">
        <v>1484</v>
      </c>
      <c r="I12" s="19">
        <v>1</v>
      </c>
      <c r="J12" s="115" t="s">
        <v>544</v>
      </c>
    </row>
    <row r="13" spans="1:10" x14ac:dyDescent="0.2">
      <c r="A13" s="133" t="s">
        <v>10</v>
      </c>
      <c r="B13" s="19" t="s">
        <v>2162</v>
      </c>
      <c r="C13" s="612"/>
      <c r="D13" s="17">
        <v>44204</v>
      </c>
      <c r="E13" s="19" t="s">
        <v>72</v>
      </c>
      <c r="F13" s="19" t="s">
        <v>27</v>
      </c>
      <c r="G13" s="19"/>
      <c r="H13" s="19" t="s">
        <v>1485</v>
      </c>
      <c r="I13" s="19">
        <v>1</v>
      </c>
      <c r="J13" s="115" t="s">
        <v>10</v>
      </c>
    </row>
    <row r="14" spans="1:10" x14ac:dyDescent="0.2">
      <c r="A14" s="133" t="s">
        <v>17</v>
      </c>
      <c r="B14" s="19" t="s">
        <v>24</v>
      </c>
      <c r="C14" s="612"/>
      <c r="D14" s="17">
        <v>44208</v>
      </c>
      <c r="E14" s="19" t="s">
        <v>375</v>
      </c>
      <c r="F14" s="19" t="s">
        <v>768</v>
      </c>
      <c r="G14" s="19" t="s">
        <v>1486</v>
      </c>
      <c r="H14" s="19" t="s">
        <v>28</v>
      </c>
      <c r="I14" s="19">
        <v>1</v>
      </c>
      <c r="J14" s="115" t="s">
        <v>544</v>
      </c>
    </row>
    <row r="15" spans="1:10" x14ac:dyDescent="0.2">
      <c r="A15" s="133" t="s">
        <v>17</v>
      </c>
      <c r="B15" s="19" t="s">
        <v>24</v>
      </c>
      <c r="C15" s="612"/>
      <c r="D15" s="17">
        <v>44208</v>
      </c>
      <c r="E15" s="19" t="s">
        <v>72</v>
      </c>
      <c r="F15" s="19" t="s">
        <v>1487</v>
      </c>
      <c r="G15" s="19" t="s">
        <v>1488</v>
      </c>
      <c r="H15" s="19" t="s">
        <v>28</v>
      </c>
      <c r="I15" s="19">
        <v>1</v>
      </c>
      <c r="J15" s="115" t="s">
        <v>544</v>
      </c>
    </row>
    <row r="16" spans="1:10" x14ac:dyDescent="0.2">
      <c r="A16" s="133" t="s">
        <v>17</v>
      </c>
      <c r="B16" s="19" t="s">
        <v>24</v>
      </c>
      <c r="C16" s="612"/>
      <c r="D16" s="17">
        <v>44208</v>
      </c>
      <c r="E16" s="19" t="s">
        <v>91</v>
      </c>
      <c r="F16" s="19" t="s">
        <v>1489</v>
      </c>
      <c r="G16" s="19" t="s">
        <v>1490</v>
      </c>
      <c r="H16" s="19" t="s">
        <v>28</v>
      </c>
      <c r="I16" s="19">
        <v>1</v>
      </c>
      <c r="J16" s="115" t="s">
        <v>544</v>
      </c>
    </row>
    <row r="17" spans="1:10" x14ac:dyDescent="0.2">
      <c r="A17" s="133" t="s">
        <v>51</v>
      </c>
      <c r="B17" s="19" t="s">
        <v>52</v>
      </c>
      <c r="C17" s="612"/>
      <c r="D17" s="17">
        <v>44209</v>
      </c>
      <c r="E17" s="19" t="s">
        <v>72</v>
      </c>
      <c r="F17" s="19" t="s">
        <v>1491</v>
      </c>
      <c r="G17" s="19" t="s">
        <v>124</v>
      </c>
      <c r="H17" s="19" t="s">
        <v>52</v>
      </c>
      <c r="I17" s="19">
        <v>7</v>
      </c>
      <c r="J17" s="115" t="s">
        <v>487</v>
      </c>
    </row>
    <row r="18" spans="1:10" x14ac:dyDescent="0.2">
      <c r="A18" s="133" t="s">
        <v>146</v>
      </c>
      <c r="B18" s="19" t="s">
        <v>11</v>
      </c>
      <c r="C18" s="612"/>
      <c r="D18" s="17">
        <v>44210</v>
      </c>
      <c r="E18" s="19" t="s">
        <v>57</v>
      </c>
      <c r="F18" s="19" t="s">
        <v>1492</v>
      </c>
      <c r="G18" s="19" t="s">
        <v>110</v>
      </c>
      <c r="H18" s="19" t="s">
        <v>1493</v>
      </c>
      <c r="I18" s="19">
        <v>6</v>
      </c>
      <c r="J18" s="115" t="s">
        <v>490</v>
      </c>
    </row>
    <row r="19" spans="1:10" x14ac:dyDescent="0.2">
      <c r="A19" s="133" t="s">
        <v>146</v>
      </c>
      <c r="B19" s="19" t="s">
        <v>11</v>
      </c>
      <c r="C19" s="612"/>
      <c r="D19" s="17">
        <v>44210</v>
      </c>
      <c r="E19" s="19" t="s">
        <v>57</v>
      </c>
      <c r="F19" s="19" t="s">
        <v>1494</v>
      </c>
      <c r="G19" s="19" t="s">
        <v>918</v>
      </c>
      <c r="H19" s="19" t="s">
        <v>1495</v>
      </c>
      <c r="I19" s="19">
        <v>6</v>
      </c>
      <c r="J19" s="115" t="s">
        <v>487</v>
      </c>
    </row>
    <row r="20" spans="1:10" x14ac:dyDescent="0.2">
      <c r="A20" s="133" t="s">
        <v>17</v>
      </c>
      <c r="B20" s="19" t="s">
        <v>24</v>
      </c>
      <c r="C20" s="612"/>
      <c r="D20" s="17">
        <v>44210</v>
      </c>
      <c r="E20" s="19" t="s">
        <v>57</v>
      </c>
      <c r="F20" s="19" t="s">
        <v>1496</v>
      </c>
      <c r="G20" s="19"/>
      <c r="H20" s="19" t="s">
        <v>28</v>
      </c>
      <c r="I20" s="19">
        <v>1</v>
      </c>
      <c r="J20" s="115" t="s">
        <v>544</v>
      </c>
    </row>
    <row r="21" spans="1:10" x14ac:dyDescent="0.2">
      <c r="A21" s="133" t="s">
        <v>51</v>
      </c>
      <c r="B21" s="19" t="s">
        <v>52</v>
      </c>
      <c r="C21" s="612"/>
      <c r="D21" s="17">
        <v>44211</v>
      </c>
      <c r="E21" s="19" t="s">
        <v>72</v>
      </c>
      <c r="F21" s="19" t="s">
        <v>1497</v>
      </c>
      <c r="G21" s="19" t="s">
        <v>124</v>
      </c>
      <c r="H21" s="19" t="s">
        <v>1498</v>
      </c>
      <c r="I21" s="19">
        <v>5</v>
      </c>
      <c r="J21" s="115" t="s">
        <v>490</v>
      </c>
    </row>
    <row r="22" spans="1:10" x14ac:dyDescent="0.2">
      <c r="A22" s="133" t="s">
        <v>17</v>
      </c>
      <c r="B22" s="19" t="s">
        <v>24</v>
      </c>
      <c r="C22" s="612"/>
      <c r="D22" s="17">
        <v>44215</v>
      </c>
      <c r="E22" s="19" t="s">
        <v>37</v>
      </c>
      <c r="F22" s="19" t="s">
        <v>555</v>
      </c>
      <c r="G22" s="19"/>
      <c r="H22" s="19" t="s">
        <v>1475</v>
      </c>
      <c r="I22" s="19">
        <v>1</v>
      </c>
      <c r="J22" s="115" t="s">
        <v>544</v>
      </c>
    </row>
    <row r="23" spans="1:10" x14ac:dyDescent="0.2">
      <c r="A23" s="133" t="s">
        <v>17</v>
      </c>
      <c r="B23" s="19" t="s">
        <v>24</v>
      </c>
      <c r="C23" s="612"/>
      <c r="D23" s="17">
        <v>44215</v>
      </c>
      <c r="E23" s="19" t="s">
        <v>37</v>
      </c>
      <c r="F23" s="19" t="s">
        <v>1499</v>
      </c>
      <c r="G23" s="19"/>
      <c r="H23" s="19" t="s">
        <v>1475</v>
      </c>
      <c r="I23" s="19">
        <v>1</v>
      </c>
      <c r="J23" s="115" t="s">
        <v>544</v>
      </c>
    </row>
    <row r="24" spans="1:10" x14ac:dyDescent="0.2">
      <c r="A24" s="133" t="s">
        <v>35</v>
      </c>
      <c r="B24" s="19" t="s">
        <v>2164</v>
      </c>
      <c r="C24" s="612"/>
      <c r="D24" s="17">
        <v>44221</v>
      </c>
      <c r="E24" s="19" t="s">
        <v>37</v>
      </c>
      <c r="F24" s="19" t="s">
        <v>1500</v>
      </c>
      <c r="G24" s="19" t="s">
        <v>831</v>
      </c>
      <c r="H24" s="19" t="s">
        <v>1501</v>
      </c>
      <c r="I24" s="19">
        <v>6</v>
      </c>
      <c r="J24" s="115" t="s">
        <v>490</v>
      </c>
    </row>
    <row r="25" spans="1:10" x14ac:dyDescent="0.2">
      <c r="A25" s="133" t="s">
        <v>17</v>
      </c>
      <c r="B25" s="19" t="s">
        <v>24</v>
      </c>
      <c r="C25" s="612"/>
      <c r="D25" s="17">
        <v>44225</v>
      </c>
      <c r="E25" s="19" t="s">
        <v>1502</v>
      </c>
      <c r="F25" s="19" t="s">
        <v>1503</v>
      </c>
      <c r="G25" s="19"/>
      <c r="H25" s="19" t="s">
        <v>1504</v>
      </c>
      <c r="I25" s="19">
        <v>1</v>
      </c>
      <c r="J25" s="115" t="s">
        <v>544</v>
      </c>
    </row>
    <row r="26" spans="1:10" x14ac:dyDescent="0.2">
      <c r="A26" s="133" t="s">
        <v>10</v>
      </c>
      <c r="B26" s="19" t="s">
        <v>52</v>
      </c>
      <c r="C26" s="612"/>
      <c r="D26" s="17">
        <v>44226</v>
      </c>
      <c r="E26" s="19" t="s">
        <v>1505</v>
      </c>
      <c r="F26" s="19" t="s">
        <v>1506</v>
      </c>
      <c r="G26" s="19" t="s">
        <v>1507</v>
      </c>
      <c r="H26" s="19" t="s">
        <v>1508</v>
      </c>
      <c r="I26" s="19">
        <v>4</v>
      </c>
      <c r="J26" s="115" t="s">
        <v>490</v>
      </c>
    </row>
    <row r="27" spans="1:10" x14ac:dyDescent="0.2">
      <c r="A27" s="133" t="s">
        <v>51</v>
      </c>
      <c r="B27" s="19" t="s">
        <v>52</v>
      </c>
      <c r="C27" s="613"/>
      <c r="D27" s="17">
        <v>44227</v>
      </c>
      <c r="E27" s="19" t="s">
        <v>57</v>
      </c>
      <c r="F27" s="19" t="s">
        <v>1509</v>
      </c>
      <c r="G27" s="19" t="s">
        <v>1510</v>
      </c>
      <c r="H27" s="19" t="s">
        <v>1511</v>
      </c>
      <c r="I27" s="19">
        <v>6</v>
      </c>
      <c r="J27" s="115" t="s">
        <v>490</v>
      </c>
    </row>
    <row r="28" spans="1:10" ht="13.6" x14ac:dyDescent="0.2">
      <c r="A28" s="124" t="s">
        <v>130</v>
      </c>
      <c r="B28" s="30"/>
      <c r="C28" s="30"/>
      <c r="D28" s="31"/>
      <c r="E28" s="30"/>
      <c r="F28" s="30"/>
      <c r="G28" s="30"/>
      <c r="H28" s="30"/>
      <c r="I28" s="30"/>
      <c r="J28" s="125"/>
    </row>
    <row r="29" spans="1:10" x14ac:dyDescent="0.2">
      <c r="A29" s="133" t="s">
        <v>17</v>
      </c>
      <c r="B29" s="19" t="s">
        <v>24</v>
      </c>
      <c r="C29" s="611">
        <f>COUNTIF(B29:B65,C2)</f>
        <v>4</v>
      </c>
      <c r="D29" s="17">
        <v>44229</v>
      </c>
      <c r="E29" s="19" t="s">
        <v>1512</v>
      </c>
      <c r="F29" s="19" t="s">
        <v>281</v>
      </c>
      <c r="G29" s="19"/>
      <c r="H29" s="19" t="s">
        <v>1513</v>
      </c>
      <c r="I29" s="19">
        <v>1</v>
      </c>
      <c r="J29" s="115" t="s">
        <v>544</v>
      </c>
    </row>
    <row r="30" spans="1:10" x14ac:dyDescent="0.2">
      <c r="A30" s="133" t="s">
        <v>387</v>
      </c>
      <c r="B30" s="19" t="s">
        <v>481</v>
      </c>
      <c r="C30" s="612"/>
      <c r="D30" s="17">
        <v>44228</v>
      </c>
      <c r="E30" s="19" t="s">
        <v>91</v>
      </c>
      <c r="F30" s="19" t="s">
        <v>1514</v>
      </c>
      <c r="G30" s="19" t="s">
        <v>95</v>
      </c>
      <c r="H30" s="19" t="s">
        <v>1515</v>
      </c>
      <c r="I30" s="19">
        <v>6</v>
      </c>
      <c r="J30" s="115" t="s">
        <v>490</v>
      </c>
    </row>
    <row r="31" spans="1:10" x14ac:dyDescent="0.2">
      <c r="A31" s="133" t="s">
        <v>387</v>
      </c>
      <c r="B31" s="19" t="s">
        <v>397</v>
      </c>
      <c r="C31" s="612"/>
      <c r="D31" s="17">
        <v>44229</v>
      </c>
      <c r="E31" s="19" t="s">
        <v>1516</v>
      </c>
      <c r="F31" s="19" t="s">
        <v>1517</v>
      </c>
      <c r="G31" s="19" t="s">
        <v>85</v>
      </c>
      <c r="H31" s="19" t="s">
        <v>1518</v>
      </c>
      <c r="I31" s="19">
        <v>3</v>
      </c>
      <c r="J31" s="115" t="s">
        <v>1519</v>
      </c>
    </row>
    <row r="32" spans="1:10" x14ac:dyDescent="0.2">
      <c r="A32" s="133" t="s">
        <v>51</v>
      </c>
      <c r="B32" s="19" t="s">
        <v>2162</v>
      </c>
      <c r="C32" s="612"/>
      <c r="D32" s="17">
        <v>44232</v>
      </c>
      <c r="E32" s="19" t="s">
        <v>1520</v>
      </c>
      <c r="F32" s="19" t="s">
        <v>1521</v>
      </c>
      <c r="G32" s="19" t="s">
        <v>1522</v>
      </c>
      <c r="H32" s="19" t="s">
        <v>1523</v>
      </c>
      <c r="I32" s="19">
        <v>2</v>
      </c>
      <c r="J32" s="115" t="s">
        <v>490</v>
      </c>
    </row>
    <row r="33" spans="1:10" x14ac:dyDescent="0.2">
      <c r="A33" s="133" t="s">
        <v>51</v>
      </c>
      <c r="B33" s="19" t="s">
        <v>481</v>
      </c>
      <c r="C33" s="612"/>
      <c r="D33" s="17">
        <v>44232</v>
      </c>
      <c r="E33" s="19" t="s">
        <v>94</v>
      </c>
      <c r="F33" s="19" t="s">
        <v>1524</v>
      </c>
      <c r="G33" s="19" t="s">
        <v>446</v>
      </c>
      <c r="H33" s="19" t="s">
        <v>1525</v>
      </c>
      <c r="I33" s="19">
        <v>8</v>
      </c>
      <c r="J33" s="115" t="s">
        <v>1519</v>
      </c>
    </row>
    <row r="34" spans="1:10" x14ac:dyDescent="0.2">
      <c r="A34" s="133" t="s">
        <v>10</v>
      </c>
      <c r="B34" s="19" t="s">
        <v>24</v>
      </c>
      <c r="C34" s="612"/>
      <c r="D34" s="17">
        <v>44235</v>
      </c>
      <c r="E34" s="19" t="s">
        <v>368</v>
      </c>
      <c r="F34" s="19" t="s">
        <v>1526</v>
      </c>
      <c r="G34" s="19" t="s">
        <v>1527</v>
      </c>
      <c r="H34" s="19" t="s">
        <v>773</v>
      </c>
      <c r="I34" s="19">
        <v>1</v>
      </c>
      <c r="J34" s="115" t="s">
        <v>1528</v>
      </c>
    </row>
    <row r="35" spans="1:10" x14ac:dyDescent="0.2">
      <c r="A35" s="133" t="s">
        <v>10</v>
      </c>
      <c r="B35" s="19" t="s">
        <v>24</v>
      </c>
      <c r="C35" s="612"/>
      <c r="D35" s="17">
        <v>44235</v>
      </c>
      <c r="E35" s="19" t="s">
        <v>37</v>
      </c>
      <c r="F35" s="19" t="s">
        <v>1529</v>
      </c>
      <c r="G35" s="19" t="s">
        <v>70</v>
      </c>
      <c r="H35" s="19" t="s">
        <v>773</v>
      </c>
      <c r="I35" s="19">
        <v>1</v>
      </c>
      <c r="J35" s="115" t="s">
        <v>1530</v>
      </c>
    </row>
    <row r="36" spans="1:10" x14ac:dyDescent="0.2">
      <c r="A36" s="133" t="s">
        <v>17</v>
      </c>
      <c r="B36" s="19" t="s">
        <v>24</v>
      </c>
      <c r="C36" s="612"/>
      <c r="D36" s="17">
        <v>44236</v>
      </c>
      <c r="E36" s="19" t="s">
        <v>57</v>
      </c>
      <c r="F36" s="19" t="s">
        <v>1531</v>
      </c>
      <c r="G36" s="19"/>
      <c r="H36" s="19" t="s">
        <v>28</v>
      </c>
      <c r="I36" s="19">
        <v>1</v>
      </c>
      <c r="J36" s="115" t="s">
        <v>1528</v>
      </c>
    </row>
    <row r="37" spans="1:10" x14ac:dyDescent="0.2">
      <c r="A37" s="133" t="s">
        <v>387</v>
      </c>
      <c r="B37" s="19" t="s">
        <v>2164</v>
      </c>
      <c r="C37" s="612"/>
      <c r="D37" s="17">
        <v>44237</v>
      </c>
      <c r="E37" s="19" t="s">
        <v>57</v>
      </c>
      <c r="F37" s="19" t="s">
        <v>1532</v>
      </c>
      <c r="G37" s="19"/>
      <c r="H37" s="19" t="s">
        <v>1533</v>
      </c>
      <c r="I37" s="19">
        <v>4</v>
      </c>
      <c r="J37" s="115" t="s">
        <v>1534</v>
      </c>
    </row>
    <row r="38" spans="1:10" x14ac:dyDescent="0.2">
      <c r="A38" s="133" t="s">
        <v>10</v>
      </c>
      <c r="B38" s="19" t="s">
        <v>2161</v>
      </c>
      <c r="C38" s="612"/>
      <c r="D38" s="17">
        <v>44238</v>
      </c>
      <c r="E38" s="19" t="s">
        <v>1535</v>
      </c>
      <c r="F38" s="19" t="s">
        <v>1536</v>
      </c>
      <c r="G38" s="19" t="s">
        <v>1027</v>
      </c>
      <c r="H38" s="19" t="s">
        <v>1537</v>
      </c>
      <c r="I38" s="19">
        <v>10</v>
      </c>
      <c r="J38" s="115" t="s">
        <v>1519</v>
      </c>
    </row>
    <row r="39" spans="1:10" x14ac:dyDescent="0.2">
      <c r="A39" s="133" t="s">
        <v>51</v>
      </c>
      <c r="B39" s="19" t="s">
        <v>481</v>
      </c>
      <c r="C39" s="612"/>
      <c r="D39" s="17">
        <v>44239</v>
      </c>
      <c r="E39" s="19" t="s">
        <v>431</v>
      </c>
      <c r="F39" s="19" t="s">
        <v>1065</v>
      </c>
      <c r="G39" s="19"/>
      <c r="H39" s="19" t="s">
        <v>1538</v>
      </c>
      <c r="I39" s="19">
        <v>4</v>
      </c>
      <c r="J39" s="115" t="s">
        <v>485</v>
      </c>
    </row>
    <row r="40" spans="1:10" x14ac:dyDescent="0.2">
      <c r="A40" s="133" t="s">
        <v>51</v>
      </c>
      <c r="B40" s="19" t="s">
        <v>52</v>
      </c>
      <c r="C40" s="612"/>
      <c r="D40" s="17">
        <v>44240</v>
      </c>
      <c r="E40" s="19" t="s">
        <v>91</v>
      </c>
      <c r="F40" s="19" t="s">
        <v>1539</v>
      </c>
      <c r="G40" s="19" t="s">
        <v>355</v>
      </c>
      <c r="H40" s="19" t="s">
        <v>1438</v>
      </c>
      <c r="I40" s="19">
        <v>7</v>
      </c>
      <c r="J40" s="115" t="s">
        <v>1519</v>
      </c>
    </row>
    <row r="41" spans="1:10" x14ac:dyDescent="0.2">
      <c r="A41" s="133" t="s">
        <v>17</v>
      </c>
      <c r="B41" s="19" t="s">
        <v>24</v>
      </c>
      <c r="C41" s="612"/>
      <c r="D41" s="17">
        <v>44243</v>
      </c>
      <c r="E41" s="19" t="s">
        <v>1540</v>
      </c>
      <c r="F41" s="19" t="s">
        <v>381</v>
      </c>
      <c r="G41" s="19"/>
      <c r="H41" s="19" t="s">
        <v>1541</v>
      </c>
      <c r="I41" s="19">
        <v>1</v>
      </c>
      <c r="J41" s="115" t="s">
        <v>544</v>
      </c>
    </row>
    <row r="42" spans="1:10" x14ac:dyDescent="0.2">
      <c r="A42" s="134" t="s">
        <v>10</v>
      </c>
      <c r="B42" s="20" t="s">
        <v>2161</v>
      </c>
      <c r="C42" s="612"/>
      <c r="D42" s="21">
        <v>44243</v>
      </c>
      <c r="E42" s="20" t="s">
        <v>1540</v>
      </c>
      <c r="F42" s="20" t="s">
        <v>274</v>
      </c>
      <c r="G42" s="20"/>
      <c r="H42" s="20" t="s">
        <v>1542</v>
      </c>
      <c r="I42" s="19">
        <v>2</v>
      </c>
      <c r="J42" s="115" t="s">
        <v>1534</v>
      </c>
    </row>
    <row r="43" spans="1:10" x14ac:dyDescent="0.2">
      <c r="A43" s="133" t="s">
        <v>10</v>
      </c>
      <c r="B43" s="19" t="s">
        <v>24</v>
      </c>
      <c r="C43" s="612"/>
      <c r="D43" s="17">
        <v>44243</v>
      </c>
      <c r="E43" s="19" t="s">
        <v>1543</v>
      </c>
      <c r="F43" s="19" t="s">
        <v>1544</v>
      </c>
      <c r="G43" s="19" t="s">
        <v>381</v>
      </c>
      <c r="H43" s="19" t="s">
        <v>773</v>
      </c>
      <c r="I43" s="19">
        <v>1</v>
      </c>
      <c r="J43" s="115" t="s">
        <v>544</v>
      </c>
    </row>
    <row r="44" spans="1:10" x14ac:dyDescent="0.2">
      <c r="A44" s="133" t="s">
        <v>35</v>
      </c>
      <c r="B44" s="19" t="s">
        <v>2164</v>
      </c>
      <c r="C44" s="612"/>
      <c r="D44" s="17">
        <v>44243</v>
      </c>
      <c r="E44" s="19" t="s">
        <v>1545</v>
      </c>
      <c r="F44" s="19" t="s">
        <v>1546</v>
      </c>
      <c r="G44" s="19" t="s">
        <v>217</v>
      </c>
      <c r="H44" s="19" t="s">
        <v>1547</v>
      </c>
      <c r="I44" s="19">
        <v>8</v>
      </c>
      <c r="J44" s="115" t="s">
        <v>1548</v>
      </c>
    </row>
    <row r="45" spans="1:10" x14ac:dyDescent="0.2">
      <c r="A45" s="133" t="s">
        <v>35</v>
      </c>
      <c r="B45" s="19" t="s">
        <v>137</v>
      </c>
      <c r="C45" s="612"/>
      <c r="D45" s="17">
        <v>44244</v>
      </c>
      <c r="E45" s="19" t="s">
        <v>1549</v>
      </c>
      <c r="F45" s="19" t="s">
        <v>1550</v>
      </c>
      <c r="G45" s="19" t="s">
        <v>173</v>
      </c>
      <c r="H45" s="19" t="s">
        <v>1551</v>
      </c>
      <c r="I45" s="19">
        <v>8</v>
      </c>
      <c r="J45" s="115" t="s">
        <v>1552</v>
      </c>
    </row>
    <row r="46" spans="1:10" x14ac:dyDescent="0.2">
      <c r="A46" s="133" t="s">
        <v>10</v>
      </c>
      <c r="B46" s="19" t="s">
        <v>2161</v>
      </c>
      <c r="C46" s="612"/>
      <c r="D46" s="17">
        <v>44244</v>
      </c>
      <c r="E46" s="19" t="s">
        <v>1553</v>
      </c>
      <c r="F46" s="19" t="s">
        <v>274</v>
      </c>
      <c r="G46" s="19" t="s">
        <v>1027</v>
      </c>
      <c r="H46" s="19" t="s">
        <v>1554</v>
      </c>
      <c r="I46" s="19">
        <v>2</v>
      </c>
      <c r="J46" s="115" t="s">
        <v>1548</v>
      </c>
    </row>
    <row r="47" spans="1:10" x14ac:dyDescent="0.2">
      <c r="A47" s="133" t="s">
        <v>35</v>
      </c>
      <c r="B47" s="19" t="s">
        <v>137</v>
      </c>
      <c r="C47" s="612"/>
      <c r="D47" s="17">
        <v>44245</v>
      </c>
      <c r="E47" s="19" t="s">
        <v>1555</v>
      </c>
      <c r="F47" s="19" t="s">
        <v>1556</v>
      </c>
      <c r="G47" s="19" t="s">
        <v>1557</v>
      </c>
      <c r="H47" s="19" t="s">
        <v>1558</v>
      </c>
      <c r="I47" s="19">
        <v>8</v>
      </c>
      <c r="J47" s="115" t="s">
        <v>1552</v>
      </c>
    </row>
    <row r="48" spans="1:10" x14ac:dyDescent="0.2">
      <c r="A48" s="133" t="s">
        <v>17</v>
      </c>
      <c r="B48" s="19" t="s">
        <v>24</v>
      </c>
      <c r="C48" s="612"/>
      <c r="D48" s="17">
        <v>44246</v>
      </c>
      <c r="E48" s="19" t="s">
        <v>1559</v>
      </c>
      <c r="F48" s="19" t="s">
        <v>381</v>
      </c>
      <c r="G48" s="19" t="s">
        <v>27</v>
      </c>
      <c r="H48" s="19" t="s">
        <v>28</v>
      </c>
      <c r="I48" s="19">
        <v>1</v>
      </c>
      <c r="J48" s="115" t="s">
        <v>1560</v>
      </c>
    </row>
    <row r="49" spans="1:10" x14ac:dyDescent="0.2">
      <c r="A49" s="133" t="s">
        <v>51</v>
      </c>
      <c r="B49" s="19" t="s">
        <v>52</v>
      </c>
      <c r="C49" s="612"/>
      <c r="D49" s="17">
        <v>44248</v>
      </c>
      <c r="E49" s="19" t="s">
        <v>94</v>
      </c>
      <c r="F49" s="19" t="s">
        <v>1561</v>
      </c>
      <c r="G49" s="19" t="s">
        <v>733</v>
      </c>
      <c r="H49" s="19" t="s">
        <v>1265</v>
      </c>
      <c r="I49" s="19">
        <v>8</v>
      </c>
      <c r="J49" s="115" t="s">
        <v>1519</v>
      </c>
    </row>
    <row r="50" spans="1:10" x14ac:dyDescent="0.2">
      <c r="A50" s="133" t="s">
        <v>17</v>
      </c>
      <c r="B50" s="19" t="s">
        <v>24</v>
      </c>
      <c r="C50" s="612"/>
      <c r="D50" s="17">
        <v>44249</v>
      </c>
      <c r="E50" s="19" t="s">
        <v>37</v>
      </c>
      <c r="F50" s="19" t="s">
        <v>1562</v>
      </c>
      <c r="G50" s="19"/>
      <c r="H50" s="19" t="s">
        <v>909</v>
      </c>
      <c r="I50" s="19">
        <v>1</v>
      </c>
      <c r="J50" s="115" t="s">
        <v>544</v>
      </c>
    </row>
    <row r="51" spans="1:10" x14ac:dyDescent="0.2">
      <c r="A51" s="133" t="s">
        <v>35</v>
      </c>
      <c r="B51" s="19" t="s">
        <v>2164</v>
      </c>
      <c r="C51" s="612"/>
      <c r="D51" s="17">
        <v>44250</v>
      </c>
      <c r="E51" s="19" t="s">
        <v>1042</v>
      </c>
      <c r="F51" s="19" t="s">
        <v>1563</v>
      </c>
      <c r="G51" s="19" t="s">
        <v>139</v>
      </c>
      <c r="H51" s="19" t="s">
        <v>1564</v>
      </c>
      <c r="I51" s="19">
        <v>16</v>
      </c>
      <c r="J51" s="115" t="s">
        <v>1565</v>
      </c>
    </row>
    <row r="52" spans="1:10" x14ac:dyDescent="0.2">
      <c r="A52" s="133" t="s">
        <v>10</v>
      </c>
      <c r="B52" s="19" t="s">
        <v>24</v>
      </c>
      <c r="C52" s="612"/>
      <c r="D52" s="17">
        <v>44252</v>
      </c>
      <c r="E52" s="19" t="s">
        <v>1566</v>
      </c>
      <c r="F52" s="19" t="s">
        <v>1567</v>
      </c>
      <c r="G52" s="19" t="s">
        <v>1568</v>
      </c>
      <c r="H52" s="19" t="s">
        <v>1569</v>
      </c>
      <c r="I52" s="19">
        <v>3</v>
      </c>
      <c r="J52" s="115" t="s">
        <v>1534</v>
      </c>
    </row>
    <row r="53" spans="1:10" x14ac:dyDescent="0.2">
      <c r="A53" s="133" t="s">
        <v>10</v>
      </c>
      <c r="B53" s="19" t="s">
        <v>188</v>
      </c>
      <c r="C53" s="612"/>
      <c r="D53" s="17">
        <v>44252</v>
      </c>
      <c r="E53" s="19" t="s">
        <v>1570</v>
      </c>
      <c r="F53" s="19" t="s">
        <v>1571</v>
      </c>
      <c r="G53" s="19" t="s">
        <v>831</v>
      </c>
      <c r="H53" s="19" t="s">
        <v>1572</v>
      </c>
      <c r="I53" s="19">
        <v>1</v>
      </c>
      <c r="J53" s="115" t="s">
        <v>1573</v>
      </c>
    </row>
    <row r="54" spans="1:10" x14ac:dyDescent="0.2">
      <c r="A54" s="133" t="s">
        <v>51</v>
      </c>
      <c r="B54" s="19" t="s">
        <v>52</v>
      </c>
      <c r="C54" s="612"/>
      <c r="D54" s="17">
        <v>44252</v>
      </c>
      <c r="E54" s="19" t="s">
        <v>1476</v>
      </c>
      <c r="F54" s="19" t="s">
        <v>1574</v>
      </c>
      <c r="G54" s="19" t="s">
        <v>128</v>
      </c>
      <c r="H54" s="19" t="s">
        <v>1575</v>
      </c>
      <c r="I54" s="19">
        <v>4</v>
      </c>
      <c r="J54" s="115" t="s">
        <v>1519</v>
      </c>
    </row>
    <row r="55" spans="1:10" x14ac:dyDescent="0.2">
      <c r="A55" s="133" t="s">
        <v>10</v>
      </c>
      <c r="B55" s="19" t="s">
        <v>324</v>
      </c>
      <c r="C55" s="612"/>
      <c r="D55" s="17">
        <v>44252</v>
      </c>
      <c r="E55" s="19" t="s">
        <v>1576</v>
      </c>
      <c r="F55" s="19" t="s">
        <v>1577</v>
      </c>
      <c r="G55" s="19" t="s">
        <v>1578</v>
      </c>
      <c r="H55" s="19" t="s">
        <v>1579</v>
      </c>
      <c r="I55" s="19">
        <v>12</v>
      </c>
      <c r="J55" s="115" t="s">
        <v>1580</v>
      </c>
    </row>
    <row r="56" spans="1:10" x14ac:dyDescent="0.2">
      <c r="A56" s="133" t="s">
        <v>10</v>
      </c>
      <c r="B56" s="19" t="s">
        <v>244</v>
      </c>
      <c r="C56" s="612"/>
      <c r="D56" s="17">
        <v>44254</v>
      </c>
      <c r="E56" s="19" t="s">
        <v>112</v>
      </c>
      <c r="F56" s="19" t="s">
        <v>1581</v>
      </c>
      <c r="G56" s="19" t="s">
        <v>1582</v>
      </c>
      <c r="H56" s="19" t="s">
        <v>1583</v>
      </c>
      <c r="I56" s="19">
        <v>3</v>
      </c>
      <c r="J56" s="115" t="s">
        <v>1519</v>
      </c>
    </row>
    <row r="57" spans="1:10" x14ac:dyDescent="0.2">
      <c r="A57" s="133" t="s">
        <v>51</v>
      </c>
      <c r="B57" s="19" t="s">
        <v>244</v>
      </c>
      <c r="C57" s="612"/>
      <c r="D57" s="17">
        <v>44254</v>
      </c>
      <c r="E57" s="19" t="s">
        <v>112</v>
      </c>
      <c r="F57" s="19" t="s">
        <v>1584</v>
      </c>
      <c r="G57" s="19" t="s">
        <v>1585</v>
      </c>
      <c r="H57" s="19" t="s">
        <v>1586</v>
      </c>
      <c r="I57" s="19">
        <v>4</v>
      </c>
      <c r="J57" s="115" t="s">
        <v>1587</v>
      </c>
    </row>
    <row r="58" spans="1:10" x14ac:dyDescent="0.2">
      <c r="A58" s="133" t="s">
        <v>35</v>
      </c>
      <c r="B58" s="19" t="s">
        <v>2161</v>
      </c>
      <c r="C58" s="612"/>
      <c r="D58" s="17">
        <v>44255</v>
      </c>
      <c r="E58" s="19" t="s">
        <v>1588</v>
      </c>
      <c r="F58" s="19" t="s">
        <v>1589</v>
      </c>
      <c r="G58" s="19" t="s">
        <v>1590</v>
      </c>
      <c r="H58" s="19" t="s">
        <v>1591</v>
      </c>
      <c r="I58" s="19">
        <v>11</v>
      </c>
      <c r="J58" s="115" t="s">
        <v>1592</v>
      </c>
    </row>
    <row r="59" spans="1:10" x14ac:dyDescent="0.2">
      <c r="A59" s="135" t="s">
        <v>17</v>
      </c>
      <c r="B59" s="22" t="s">
        <v>24</v>
      </c>
      <c r="C59" s="612"/>
      <c r="D59" s="23">
        <v>44229</v>
      </c>
      <c r="E59" s="22" t="s">
        <v>1512</v>
      </c>
      <c r="F59" s="22" t="s">
        <v>281</v>
      </c>
      <c r="G59" s="22"/>
      <c r="H59" s="22" t="s">
        <v>1513</v>
      </c>
      <c r="I59" s="22">
        <v>1</v>
      </c>
      <c r="J59" s="126" t="s">
        <v>544</v>
      </c>
    </row>
    <row r="60" spans="1:10" x14ac:dyDescent="0.2">
      <c r="A60" s="135" t="s">
        <v>51</v>
      </c>
      <c r="B60" s="22" t="s">
        <v>481</v>
      </c>
      <c r="C60" s="612"/>
      <c r="D60" s="23">
        <v>44239</v>
      </c>
      <c r="E60" s="22" t="s">
        <v>431</v>
      </c>
      <c r="F60" s="22" t="s">
        <v>1065</v>
      </c>
      <c r="G60" s="22"/>
      <c r="H60" s="22" t="s">
        <v>1538</v>
      </c>
      <c r="I60" s="22">
        <v>4</v>
      </c>
      <c r="J60" s="126" t="s">
        <v>485</v>
      </c>
    </row>
    <row r="61" spans="1:10" x14ac:dyDescent="0.2">
      <c r="A61" s="135" t="s">
        <v>51</v>
      </c>
      <c r="B61" s="22" t="s">
        <v>52</v>
      </c>
      <c r="C61" s="612"/>
      <c r="D61" s="23">
        <v>44240</v>
      </c>
      <c r="E61" s="22" t="s">
        <v>37</v>
      </c>
      <c r="F61" s="22" t="s">
        <v>1594</v>
      </c>
      <c r="G61" s="22" t="s">
        <v>355</v>
      </c>
      <c r="H61" s="22" t="s">
        <v>1595</v>
      </c>
      <c r="I61" s="22">
        <v>9</v>
      </c>
      <c r="J61" s="126" t="s">
        <v>487</v>
      </c>
    </row>
    <row r="62" spans="1:10" x14ac:dyDescent="0.2">
      <c r="A62" s="135" t="s">
        <v>17</v>
      </c>
      <c r="B62" s="22" t="s">
        <v>24</v>
      </c>
      <c r="C62" s="612"/>
      <c r="D62" s="23">
        <v>44243</v>
      </c>
      <c r="E62" s="22" t="s">
        <v>1540</v>
      </c>
      <c r="F62" s="22" t="s">
        <v>381</v>
      </c>
      <c r="G62" s="22"/>
      <c r="H62" s="22" t="s">
        <v>1541</v>
      </c>
      <c r="I62" s="22">
        <v>1</v>
      </c>
      <c r="J62" s="126" t="s">
        <v>544</v>
      </c>
    </row>
    <row r="63" spans="1:10" x14ac:dyDescent="0.2">
      <c r="A63" s="135" t="s">
        <v>159</v>
      </c>
      <c r="B63" s="22" t="s">
        <v>152</v>
      </c>
      <c r="C63" s="612"/>
      <c r="D63" s="23">
        <v>44243</v>
      </c>
      <c r="E63" s="22" t="s">
        <v>1596</v>
      </c>
      <c r="F63" s="22" t="s">
        <v>674</v>
      </c>
      <c r="G63" s="22" t="s">
        <v>1597</v>
      </c>
      <c r="H63" s="22" t="s">
        <v>1598</v>
      </c>
      <c r="I63" s="22">
        <v>8</v>
      </c>
      <c r="J63" s="126" t="s">
        <v>487</v>
      </c>
    </row>
    <row r="64" spans="1:10" x14ac:dyDescent="0.2">
      <c r="A64" s="135" t="s">
        <v>17</v>
      </c>
      <c r="B64" s="22" t="s">
        <v>24</v>
      </c>
      <c r="C64" s="612"/>
      <c r="D64" s="23">
        <v>44249</v>
      </c>
      <c r="E64" s="22" t="s">
        <v>37</v>
      </c>
      <c r="F64" s="22" t="s">
        <v>1562</v>
      </c>
      <c r="G64" s="22"/>
      <c r="H64" s="22" t="s">
        <v>909</v>
      </c>
      <c r="I64" s="22">
        <v>1</v>
      </c>
      <c r="J64" s="126" t="s">
        <v>544</v>
      </c>
    </row>
    <row r="65" spans="1:10" x14ac:dyDescent="0.2">
      <c r="A65" s="133" t="s">
        <v>10</v>
      </c>
      <c r="B65" s="19" t="s">
        <v>2161</v>
      </c>
      <c r="C65" s="613"/>
      <c r="D65" s="17">
        <v>44243</v>
      </c>
      <c r="E65" s="19" t="s">
        <v>1540</v>
      </c>
      <c r="F65" s="19" t="s">
        <v>274</v>
      </c>
      <c r="G65" s="19"/>
      <c r="H65" s="19" t="s">
        <v>1542</v>
      </c>
      <c r="I65" s="19">
        <v>3</v>
      </c>
      <c r="J65" s="115" t="s">
        <v>525</v>
      </c>
    </row>
    <row r="66" spans="1:10" ht="13.6" x14ac:dyDescent="0.2">
      <c r="A66" s="118" t="s">
        <v>321</v>
      </c>
      <c r="B66" s="27"/>
      <c r="C66" s="27"/>
      <c r="D66" s="28"/>
      <c r="E66" s="27"/>
      <c r="F66" s="27"/>
      <c r="G66" s="27"/>
      <c r="H66" s="27"/>
      <c r="I66" s="27"/>
      <c r="J66" s="119"/>
    </row>
    <row r="67" spans="1:10" x14ac:dyDescent="0.2">
      <c r="A67" s="133" t="s">
        <v>17</v>
      </c>
      <c r="B67" s="19" t="s">
        <v>24</v>
      </c>
      <c r="C67" s="611">
        <f>COUNTIF(B67:B95,C2)</f>
        <v>0</v>
      </c>
      <c r="D67" s="17">
        <v>44256</v>
      </c>
      <c r="E67" s="19" t="s">
        <v>1593</v>
      </c>
      <c r="F67" s="19" t="s">
        <v>281</v>
      </c>
      <c r="G67" s="19"/>
      <c r="H67" s="19" t="s">
        <v>909</v>
      </c>
      <c r="I67" s="19">
        <v>1</v>
      </c>
      <c r="J67" s="115" t="s">
        <v>1528</v>
      </c>
    </row>
    <row r="68" spans="1:10" x14ac:dyDescent="0.2">
      <c r="A68" s="135" t="s">
        <v>10</v>
      </c>
      <c r="B68" s="22" t="s">
        <v>188</v>
      </c>
      <c r="C68" s="612"/>
      <c r="D68" s="23">
        <v>44257</v>
      </c>
      <c r="E68" s="22" t="s">
        <v>1599</v>
      </c>
      <c r="F68" s="22" t="s">
        <v>1600</v>
      </c>
      <c r="G68" s="22"/>
      <c r="H68" s="22" t="s">
        <v>1601</v>
      </c>
      <c r="I68" s="22">
        <v>2</v>
      </c>
      <c r="J68" s="126" t="s">
        <v>485</v>
      </c>
    </row>
    <row r="69" spans="1:10" x14ac:dyDescent="0.2">
      <c r="A69" s="133" t="s">
        <v>17</v>
      </c>
      <c r="B69" s="19" t="s">
        <v>24</v>
      </c>
      <c r="C69" s="612"/>
      <c r="D69" s="17">
        <v>44260</v>
      </c>
      <c r="E69" s="19" t="s">
        <v>72</v>
      </c>
      <c r="F69" s="19" t="s">
        <v>1602</v>
      </c>
      <c r="G69" s="19"/>
      <c r="H69" s="19" t="s">
        <v>28</v>
      </c>
      <c r="I69" s="19">
        <v>1</v>
      </c>
      <c r="J69" s="115" t="s">
        <v>544</v>
      </c>
    </row>
    <row r="70" spans="1:10" x14ac:dyDescent="0.2">
      <c r="A70" s="133" t="s">
        <v>17</v>
      </c>
      <c r="B70" s="19" t="s">
        <v>24</v>
      </c>
      <c r="C70" s="612"/>
      <c r="D70" s="17">
        <v>44260</v>
      </c>
      <c r="E70" s="19" t="s">
        <v>72</v>
      </c>
      <c r="F70" s="19" t="s">
        <v>790</v>
      </c>
      <c r="G70" s="19"/>
      <c r="H70" s="19" t="s">
        <v>28</v>
      </c>
      <c r="I70" s="19">
        <v>1</v>
      </c>
      <c r="J70" s="115" t="s">
        <v>544</v>
      </c>
    </row>
    <row r="71" spans="1:10" x14ac:dyDescent="0.2">
      <c r="A71" s="133" t="s">
        <v>10</v>
      </c>
      <c r="B71" s="19" t="s">
        <v>29</v>
      </c>
      <c r="C71" s="612"/>
      <c r="D71" s="17">
        <v>44260</v>
      </c>
      <c r="E71" s="19" t="s">
        <v>1603</v>
      </c>
      <c r="F71" s="19" t="s">
        <v>1604</v>
      </c>
      <c r="G71" s="19"/>
      <c r="H71" s="19" t="s">
        <v>1605</v>
      </c>
      <c r="I71" s="19">
        <v>3</v>
      </c>
      <c r="J71" s="115" t="s">
        <v>599</v>
      </c>
    </row>
    <row r="72" spans="1:10" x14ac:dyDescent="0.2">
      <c r="A72" s="133" t="s">
        <v>10</v>
      </c>
      <c r="B72" s="19" t="s">
        <v>11</v>
      </c>
      <c r="C72" s="612"/>
      <c r="D72" s="17">
        <v>44260</v>
      </c>
      <c r="E72" s="19" t="s">
        <v>37</v>
      </c>
      <c r="F72" s="19" t="s">
        <v>1606</v>
      </c>
      <c r="G72" s="19"/>
      <c r="H72" s="19" t="s">
        <v>1607</v>
      </c>
      <c r="I72" s="19">
        <v>3</v>
      </c>
      <c r="J72" s="115" t="s">
        <v>490</v>
      </c>
    </row>
    <row r="73" spans="1:10" x14ac:dyDescent="0.2">
      <c r="A73" s="133" t="s">
        <v>10</v>
      </c>
      <c r="B73" s="19" t="s">
        <v>324</v>
      </c>
      <c r="C73" s="612"/>
      <c r="D73" s="17">
        <v>44260</v>
      </c>
      <c r="E73" s="19" t="s">
        <v>1608</v>
      </c>
      <c r="F73" s="19" t="s">
        <v>1609</v>
      </c>
      <c r="G73" s="19" t="s">
        <v>1610</v>
      </c>
      <c r="H73" s="19" t="s">
        <v>1611</v>
      </c>
      <c r="I73" s="19">
        <v>9</v>
      </c>
      <c r="J73" s="115" t="s">
        <v>487</v>
      </c>
    </row>
    <row r="74" spans="1:10" x14ac:dyDescent="0.2">
      <c r="A74" s="133" t="s">
        <v>51</v>
      </c>
      <c r="B74" s="19" t="s">
        <v>397</v>
      </c>
      <c r="C74" s="612"/>
      <c r="D74" s="17">
        <v>44263</v>
      </c>
      <c r="E74" s="19" t="s">
        <v>1612</v>
      </c>
      <c r="F74" s="19" t="s">
        <v>1613</v>
      </c>
      <c r="G74" s="19" t="s">
        <v>1614</v>
      </c>
      <c r="H74" s="19" t="s">
        <v>1615</v>
      </c>
      <c r="I74" s="19">
        <v>3</v>
      </c>
      <c r="J74" s="115" t="s">
        <v>485</v>
      </c>
    </row>
    <row r="75" spans="1:10" x14ac:dyDescent="0.2">
      <c r="A75" s="133" t="s">
        <v>17</v>
      </c>
      <c r="B75" s="19" t="s">
        <v>24</v>
      </c>
      <c r="C75" s="612"/>
      <c r="D75" s="17">
        <v>44264</v>
      </c>
      <c r="E75" s="19" t="s">
        <v>1616</v>
      </c>
      <c r="F75" s="19" t="s">
        <v>1617</v>
      </c>
      <c r="G75" s="19" t="s">
        <v>1618</v>
      </c>
      <c r="H75" s="19" t="s">
        <v>1619</v>
      </c>
      <c r="I75" s="19">
        <v>1</v>
      </c>
      <c r="J75" s="115" t="s">
        <v>544</v>
      </c>
    </row>
    <row r="76" spans="1:10" x14ac:dyDescent="0.2">
      <c r="A76" s="133" t="s">
        <v>10</v>
      </c>
      <c r="B76" s="19" t="s">
        <v>244</v>
      </c>
      <c r="C76" s="612"/>
      <c r="D76" s="17">
        <v>44265</v>
      </c>
      <c r="E76" s="19" t="s">
        <v>1620</v>
      </c>
      <c r="F76" s="19" t="s">
        <v>674</v>
      </c>
      <c r="G76" s="19" t="s">
        <v>1027</v>
      </c>
      <c r="H76" s="19" t="s">
        <v>1621</v>
      </c>
      <c r="I76" s="19">
        <v>2</v>
      </c>
      <c r="J76" s="115" t="s">
        <v>490</v>
      </c>
    </row>
    <row r="77" spans="1:10" x14ac:dyDescent="0.2">
      <c r="A77" s="133" t="s">
        <v>51</v>
      </c>
      <c r="B77" s="19" t="s">
        <v>397</v>
      </c>
      <c r="C77" s="612"/>
      <c r="D77" s="17">
        <v>44269</v>
      </c>
      <c r="E77" s="19" t="s">
        <v>91</v>
      </c>
      <c r="F77" s="19" t="s">
        <v>1622</v>
      </c>
      <c r="G77" s="19" t="s">
        <v>27</v>
      </c>
      <c r="H77" s="19" t="s">
        <v>1623</v>
      </c>
      <c r="I77" s="19">
        <v>3</v>
      </c>
      <c r="J77" s="115" t="s">
        <v>490</v>
      </c>
    </row>
    <row r="78" spans="1:10" x14ac:dyDescent="0.2">
      <c r="A78" s="133" t="s">
        <v>10</v>
      </c>
      <c r="B78" s="19" t="s">
        <v>2162</v>
      </c>
      <c r="C78" s="612"/>
      <c r="D78" s="17">
        <v>44270</v>
      </c>
      <c r="E78" s="19" t="s">
        <v>1624</v>
      </c>
      <c r="F78" s="19" t="s">
        <v>987</v>
      </c>
      <c r="G78" s="19"/>
      <c r="H78" s="19" t="s">
        <v>1625</v>
      </c>
      <c r="I78" s="19">
        <v>2</v>
      </c>
      <c r="J78" s="115" t="s">
        <v>525</v>
      </c>
    </row>
    <row r="79" spans="1:10" x14ac:dyDescent="0.2">
      <c r="A79" s="133" t="s">
        <v>10</v>
      </c>
      <c r="B79" s="19" t="s">
        <v>2162</v>
      </c>
      <c r="C79" s="612"/>
      <c r="D79" s="17">
        <v>44270</v>
      </c>
      <c r="E79" s="19" t="s">
        <v>1566</v>
      </c>
      <c r="F79" s="19" t="s">
        <v>1626</v>
      </c>
      <c r="G79" s="19"/>
      <c r="H79" s="19" t="s">
        <v>1627</v>
      </c>
      <c r="I79" s="19">
        <v>2</v>
      </c>
      <c r="J79" s="115" t="s">
        <v>525</v>
      </c>
    </row>
    <row r="80" spans="1:10" x14ac:dyDescent="0.2">
      <c r="A80" s="133" t="s">
        <v>10</v>
      </c>
      <c r="B80" s="19" t="s">
        <v>2162</v>
      </c>
      <c r="C80" s="612"/>
      <c r="D80" s="17">
        <v>44272</v>
      </c>
      <c r="E80" s="19" t="s">
        <v>1131</v>
      </c>
      <c r="F80" s="19" t="s">
        <v>1628</v>
      </c>
      <c r="G80" s="19"/>
      <c r="H80" s="19" t="s">
        <v>1629</v>
      </c>
      <c r="I80" s="19">
        <v>2</v>
      </c>
      <c r="J80" s="115" t="s">
        <v>508</v>
      </c>
    </row>
    <row r="81" spans="1:10" x14ac:dyDescent="0.2">
      <c r="A81" s="133" t="s">
        <v>35</v>
      </c>
      <c r="B81" s="19" t="s">
        <v>2164</v>
      </c>
      <c r="C81" s="612"/>
      <c r="D81" s="17">
        <v>44276</v>
      </c>
      <c r="E81" s="19" t="s">
        <v>57</v>
      </c>
      <c r="F81" s="19" t="s">
        <v>1630</v>
      </c>
      <c r="G81" s="19" t="s">
        <v>1195</v>
      </c>
      <c r="H81" s="19" t="s">
        <v>1631</v>
      </c>
      <c r="I81" s="19">
        <v>6</v>
      </c>
      <c r="J81" s="115" t="s">
        <v>487</v>
      </c>
    </row>
    <row r="82" spans="1:10" x14ac:dyDescent="0.2">
      <c r="A82" s="133" t="s">
        <v>35</v>
      </c>
      <c r="B82" s="19" t="s">
        <v>2164</v>
      </c>
      <c r="C82" s="612"/>
      <c r="D82" s="17">
        <v>44277</v>
      </c>
      <c r="E82" s="19" t="s">
        <v>37</v>
      </c>
      <c r="F82" s="19" t="s">
        <v>1632</v>
      </c>
      <c r="G82" s="19" t="s">
        <v>1633</v>
      </c>
      <c r="H82" s="19" t="s">
        <v>1634</v>
      </c>
      <c r="I82" s="19">
        <v>4</v>
      </c>
      <c r="J82" s="115" t="s">
        <v>525</v>
      </c>
    </row>
    <row r="83" spans="1:10" x14ac:dyDescent="0.2">
      <c r="A83" s="133" t="s">
        <v>51</v>
      </c>
      <c r="B83" s="19" t="s">
        <v>244</v>
      </c>
      <c r="C83" s="612"/>
      <c r="D83" s="17">
        <v>44278</v>
      </c>
      <c r="E83" s="19" t="s">
        <v>37</v>
      </c>
      <c r="F83" s="19" t="s">
        <v>1635</v>
      </c>
      <c r="G83" s="19" t="s">
        <v>1636</v>
      </c>
      <c r="H83" s="19" t="s">
        <v>1637</v>
      </c>
      <c r="I83" s="19">
        <v>5</v>
      </c>
      <c r="J83" s="115" t="s">
        <v>490</v>
      </c>
    </row>
    <row r="84" spans="1:10" x14ac:dyDescent="0.2">
      <c r="A84" s="133" t="s">
        <v>10</v>
      </c>
      <c r="B84" s="19" t="s">
        <v>2162</v>
      </c>
      <c r="C84" s="612"/>
      <c r="D84" s="17">
        <v>44279</v>
      </c>
      <c r="E84" s="19" t="s">
        <v>884</v>
      </c>
      <c r="F84" s="19" t="s">
        <v>627</v>
      </c>
      <c r="G84" s="19" t="s">
        <v>274</v>
      </c>
      <c r="H84" s="19" t="s">
        <v>1638</v>
      </c>
      <c r="I84" s="19">
        <v>3</v>
      </c>
      <c r="J84" s="115" t="s">
        <v>508</v>
      </c>
    </row>
    <row r="85" spans="1:10" x14ac:dyDescent="0.2">
      <c r="A85" s="133" t="s">
        <v>17</v>
      </c>
      <c r="B85" s="19" t="s">
        <v>24</v>
      </c>
      <c r="C85" s="612"/>
      <c r="D85" s="17">
        <v>44256</v>
      </c>
      <c r="E85" s="19" t="s">
        <v>1639</v>
      </c>
      <c r="F85" s="19" t="s">
        <v>381</v>
      </c>
      <c r="G85" s="19" t="s">
        <v>355</v>
      </c>
      <c r="H85" s="19" t="s">
        <v>1640</v>
      </c>
      <c r="I85" s="19">
        <v>1</v>
      </c>
      <c r="J85" s="115" t="s">
        <v>544</v>
      </c>
    </row>
    <row r="86" spans="1:10" x14ac:dyDescent="0.2">
      <c r="A86" s="133" t="s">
        <v>51</v>
      </c>
      <c r="B86" s="19" t="s">
        <v>244</v>
      </c>
      <c r="C86" s="612"/>
      <c r="D86" s="17">
        <v>44256</v>
      </c>
      <c r="E86" s="19" t="s">
        <v>1641</v>
      </c>
      <c r="F86" s="19" t="s">
        <v>1642</v>
      </c>
      <c r="G86" s="19" t="s">
        <v>1027</v>
      </c>
      <c r="H86" s="19" t="s">
        <v>1643</v>
      </c>
      <c r="I86" s="19">
        <v>3</v>
      </c>
      <c r="J86" s="115" t="s">
        <v>490</v>
      </c>
    </row>
    <row r="87" spans="1:10" x14ac:dyDescent="0.2">
      <c r="A87" s="133" t="s">
        <v>10</v>
      </c>
      <c r="B87" s="19" t="s">
        <v>29</v>
      </c>
      <c r="C87" s="612"/>
      <c r="D87" s="17">
        <v>44263</v>
      </c>
      <c r="E87" s="19" t="s">
        <v>1644</v>
      </c>
      <c r="F87" s="19" t="s">
        <v>332</v>
      </c>
      <c r="G87" s="19" t="s">
        <v>1645</v>
      </c>
      <c r="H87" s="19" t="s">
        <v>1646</v>
      </c>
      <c r="I87" s="19">
        <v>3</v>
      </c>
      <c r="J87" s="115" t="s">
        <v>525</v>
      </c>
    </row>
    <row r="88" spans="1:10" x14ac:dyDescent="0.2">
      <c r="A88" s="133" t="s">
        <v>10</v>
      </c>
      <c r="B88" s="19" t="s">
        <v>451</v>
      </c>
      <c r="C88" s="612"/>
      <c r="D88" s="17">
        <v>44265</v>
      </c>
      <c r="E88" s="19" t="s">
        <v>1647</v>
      </c>
      <c r="F88" s="19" t="s">
        <v>674</v>
      </c>
      <c r="G88" s="19" t="s">
        <v>1648</v>
      </c>
      <c r="H88" s="19" t="s">
        <v>1649</v>
      </c>
      <c r="I88" s="19">
        <v>2</v>
      </c>
      <c r="J88" s="115" t="s">
        <v>490</v>
      </c>
    </row>
    <row r="89" spans="1:10" x14ac:dyDescent="0.2">
      <c r="A89" s="133" t="s">
        <v>17</v>
      </c>
      <c r="B89" s="19" t="s">
        <v>24</v>
      </c>
      <c r="C89" s="612"/>
      <c r="D89" s="17">
        <v>44273</v>
      </c>
      <c r="E89" s="19" t="s">
        <v>1650</v>
      </c>
      <c r="F89" s="19" t="s">
        <v>1651</v>
      </c>
      <c r="G89" s="19"/>
      <c r="H89" s="19" t="s">
        <v>909</v>
      </c>
      <c r="I89" s="19">
        <v>1</v>
      </c>
      <c r="J89" s="115" t="s">
        <v>544</v>
      </c>
    </row>
    <row r="90" spans="1:10" x14ac:dyDescent="0.2">
      <c r="A90" s="133" t="s">
        <v>10</v>
      </c>
      <c r="B90" s="19" t="s">
        <v>2162</v>
      </c>
      <c r="C90" s="612"/>
      <c r="D90" s="17">
        <v>44274</v>
      </c>
      <c r="E90" s="19" t="s">
        <v>37</v>
      </c>
      <c r="F90" s="19" t="s">
        <v>555</v>
      </c>
      <c r="G90" s="19"/>
      <c r="H90" s="19" t="s">
        <v>1652</v>
      </c>
      <c r="I90" s="19">
        <v>2</v>
      </c>
      <c r="J90" s="115" t="s">
        <v>490</v>
      </c>
    </row>
    <row r="91" spans="1:10" x14ac:dyDescent="0.2">
      <c r="A91" s="133" t="s">
        <v>10</v>
      </c>
      <c r="B91" s="19" t="s">
        <v>2164</v>
      </c>
      <c r="C91" s="612"/>
      <c r="D91" s="17">
        <v>44277</v>
      </c>
      <c r="E91" s="19" t="s">
        <v>425</v>
      </c>
      <c r="F91" s="19" t="s">
        <v>1653</v>
      </c>
      <c r="G91" s="19" t="s">
        <v>1654</v>
      </c>
      <c r="H91" s="19" t="s">
        <v>1655</v>
      </c>
      <c r="I91" s="19">
        <v>4</v>
      </c>
      <c r="J91" s="115" t="s">
        <v>525</v>
      </c>
    </row>
    <row r="92" spans="1:10" x14ac:dyDescent="0.2">
      <c r="A92" s="133" t="s">
        <v>10</v>
      </c>
      <c r="B92" s="19" t="s">
        <v>24</v>
      </c>
      <c r="C92" s="612"/>
      <c r="D92" s="17">
        <v>44285</v>
      </c>
      <c r="E92" s="19" t="s">
        <v>1656</v>
      </c>
      <c r="F92" s="19" t="s">
        <v>1657</v>
      </c>
      <c r="G92" s="19" t="s">
        <v>281</v>
      </c>
      <c r="H92" s="19" t="s">
        <v>1658</v>
      </c>
      <c r="I92" s="19">
        <v>1</v>
      </c>
      <c r="J92" s="115" t="s">
        <v>544</v>
      </c>
    </row>
    <row r="93" spans="1:10" x14ac:dyDescent="0.2">
      <c r="A93" s="133" t="s">
        <v>35</v>
      </c>
      <c r="B93" s="19" t="s">
        <v>137</v>
      </c>
      <c r="C93" s="612"/>
      <c r="D93" s="17">
        <v>44286</v>
      </c>
      <c r="E93" s="19" t="s">
        <v>884</v>
      </c>
      <c r="F93" s="19" t="s">
        <v>1659</v>
      </c>
      <c r="G93" s="19"/>
      <c r="H93" s="19" t="s">
        <v>1660</v>
      </c>
      <c r="I93" s="19">
        <v>4</v>
      </c>
      <c r="J93" s="115" t="s">
        <v>490</v>
      </c>
    </row>
    <row r="94" spans="1:10" x14ac:dyDescent="0.2">
      <c r="A94" s="133" t="s">
        <v>10</v>
      </c>
      <c r="B94" s="19" t="s">
        <v>24</v>
      </c>
      <c r="C94" s="612"/>
      <c r="D94" s="17">
        <v>44285</v>
      </c>
      <c r="E94" s="19" t="s">
        <v>164</v>
      </c>
      <c r="F94" s="19" t="s">
        <v>1661</v>
      </c>
      <c r="G94" s="19" t="s">
        <v>27</v>
      </c>
      <c r="H94" s="19">
        <v>3</v>
      </c>
      <c r="I94" s="19">
        <v>1</v>
      </c>
      <c r="J94" s="115" t="s">
        <v>544</v>
      </c>
    </row>
    <row r="95" spans="1:10" x14ac:dyDescent="0.2">
      <c r="A95" s="133" t="s">
        <v>10</v>
      </c>
      <c r="B95" s="19" t="s">
        <v>24</v>
      </c>
      <c r="C95" s="613"/>
      <c r="D95" s="17">
        <v>44286</v>
      </c>
      <c r="E95" s="19" t="s">
        <v>1662</v>
      </c>
      <c r="F95" s="19" t="s">
        <v>1663</v>
      </c>
      <c r="G95" s="19" t="s">
        <v>27</v>
      </c>
      <c r="H95" s="19" t="s">
        <v>1664</v>
      </c>
      <c r="I95" s="19">
        <v>1</v>
      </c>
      <c r="J95" s="115" t="s">
        <v>544</v>
      </c>
    </row>
    <row r="96" spans="1:10" ht="13.6" x14ac:dyDescent="0.2">
      <c r="A96" s="116" t="s">
        <v>403</v>
      </c>
      <c r="B96" s="92"/>
      <c r="C96" s="92"/>
      <c r="D96" s="26"/>
      <c r="E96" s="92"/>
      <c r="F96" s="92"/>
      <c r="G96" s="92"/>
      <c r="H96" s="92"/>
      <c r="I96" s="92"/>
      <c r="J96" s="117"/>
    </row>
    <row r="97" spans="1:10" x14ac:dyDescent="0.2">
      <c r="A97" s="133" t="s">
        <v>10</v>
      </c>
      <c r="B97" s="19" t="s">
        <v>2161</v>
      </c>
      <c r="C97" s="611">
        <f>COUNTIF(B97:B114,C2)</f>
        <v>0</v>
      </c>
      <c r="D97" s="17">
        <v>44289</v>
      </c>
      <c r="E97" s="24" t="s">
        <v>1665</v>
      </c>
      <c r="F97" s="19" t="s">
        <v>1666</v>
      </c>
      <c r="G97" s="19" t="s">
        <v>150</v>
      </c>
      <c r="H97" s="19" t="s">
        <v>1667</v>
      </c>
      <c r="I97" s="19">
        <v>7</v>
      </c>
      <c r="J97" s="115" t="s">
        <v>540</v>
      </c>
    </row>
    <row r="98" spans="1:10" x14ac:dyDescent="0.2">
      <c r="A98" s="133" t="s">
        <v>35</v>
      </c>
      <c r="B98" s="19" t="s">
        <v>2164</v>
      </c>
      <c r="C98" s="612"/>
      <c r="D98" s="17">
        <v>44291</v>
      </c>
      <c r="E98" s="19" t="s">
        <v>1593</v>
      </c>
      <c r="F98" s="19" t="s">
        <v>1668</v>
      </c>
      <c r="G98" s="19"/>
      <c r="H98" s="19" t="s">
        <v>1669</v>
      </c>
      <c r="I98" s="19">
        <v>11</v>
      </c>
      <c r="J98" s="115" t="s">
        <v>1670</v>
      </c>
    </row>
    <row r="99" spans="1:10" x14ac:dyDescent="0.2">
      <c r="A99" s="133" t="s">
        <v>10</v>
      </c>
      <c r="B99" s="19" t="s">
        <v>324</v>
      </c>
      <c r="C99" s="612"/>
      <c r="D99" s="17">
        <v>44292</v>
      </c>
      <c r="E99" s="19" t="s">
        <v>305</v>
      </c>
      <c r="F99" s="19" t="s">
        <v>1671</v>
      </c>
      <c r="G99" s="19" t="s">
        <v>1672</v>
      </c>
      <c r="H99" s="19" t="s">
        <v>1673</v>
      </c>
      <c r="I99" s="19">
        <v>4</v>
      </c>
      <c r="J99" s="115" t="s">
        <v>490</v>
      </c>
    </row>
    <row r="100" spans="1:10" x14ac:dyDescent="0.2">
      <c r="A100" s="133" t="s">
        <v>10</v>
      </c>
      <c r="B100" s="19" t="s">
        <v>324</v>
      </c>
      <c r="C100" s="612"/>
      <c r="D100" s="17">
        <v>44292</v>
      </c>
      <c r="E100" s="19" t="s">
        <v>1674</v>
      </c>
      <c r="F100" s="19" t="s">
        <v>1393</v>
      </c>
      <c r="G100" s="19" t="s">
        <v>21</v>
      </c>
      <c r="H100" s="19" t="s">
        <v>1675</v>
      </c>
      <c r="I100" s="19">
        <v>4</v>
      </c>
      <c r="J100" s="115" t="s">
        <v>490</v>
      </c>
    </row>
    <row r="101" spans="1:10" x14ac:dyDescent="0.2">
      <c r="A101" s="133" t="s">
        <v>146</v>
      </c>
      <c r="B101" s="19" t="s">
        <v>2163</v>
      </c>
      <c r="C101" s="612"/>
      <c r="D101" s="17">
        <v>44292</v>
      </c>
      <c r="E101" s="19" t="s">
        <v>94</v>
      </c>
      <c r="F101" s="19" t="s">
        <v>1676</v>
      </c>
      <c r="G101" s="19" t="s">
        <v>27</v>
      </c>
      <c r="H101" s="19" t="s">
        <v>1677</v>
      </c>
      <c r="I101" s="19">
        <v>4</v>
      </c>
      <c r="J101" s="115" t="s">
        <v>490</v>
      </c>
    </row>
    <row r="102" spans="1:10" x14ac:dyDescent="0.2">
      <c r="A102" s="133" t="s">
        <v>10</v>
      </c>
      <c r="B102" s="19" t="s">
        <v>29</v>
      </c>
      <c r="C102" s="612"/>
      <c r="D102" s="17">
        <v>44293</v>
      </c>
      <c r="E102" s="19" t="s">
        <v>19</v>
      </c>
      <c r="F102" s="19" t="s">
        <v>1678</v>
      </c>
      <c r="G102" s="19" t="s">
        <v>1195</v>
      </c>
      <c r="H102" s="19" t="s">
        <v>1679</v>
      </c>
      <c r="I102" s="19">
        <v>4</v>
      </c>
      <c r="J102" s="115" t="s">
        <v>508</v>
      </c>
    </row>
    <row r="103" spans="1:10" x14ac:dyDescent="0.2">
      <c r="A103" s="133" t="s">
        <v>10</v>
      </c>
      <c r="B103" s="19" t="s">
        <v>312</v>
      </c>
      <c r="C103" s="612"/>
      <c r="D103" s="17">
        <v>44294</v>
      </c>
      <c r="E103" s="19" t="s">
        <v>72</v>
      </c>
      <c r="F103" s="19" t="s">
        <v>1137</v>
      </c>
      <c r="G103" s="19" t="s">
        <v>27</v>
      </c>
      <c r="H103" s="19" t="s">
        <v>1680</v>
      </c>
      <c r="I103" s="19">
        <v>1</v>
      </c>
      <c r="J103" s="115" t="s">
        <v>525</v>
      </c>
    </row>
    <row r="104" spans="1:10" x14ac:dyDescent="0.2">
      <c r="A104" s="133" t="s">
        <v>51</v>
      </c>
      <c r="B104" s="19" t="s">
        <v>397</v>
      </c>
      <c r="C104" s="612"/>
      <c r="D104" s="17">
        <v>44296</v>
      </c>
      <c r="E104" s="19" t="s">
        <v>94</v>
      </c>
      <c r="F104" s="19" t="s">
        <v>1681</v>
      </c>
      <c r="G104" s="19" t="s">
        <v>1682</v>
      </c>
      <c r="H104" s="19" t="s">
        <v>1683</v>
      </c>
      <c r="I104" s="19">
        <v>6</v>
      </c>
      <c r="J104" s="115" t="s">
        <v>490</v>
      </c>
    </row>
    <row r="105" spans="1:10" x14ac:dyDescent="0.2">
      <c r="A105" s="133" t="s">
        <v>10</v>
      </c>
      <c r="B105" s="19" t="s">
        <v>2161</v>
      </c>
      <c r="C105" s="612"/>
      <c r="D105" s="17">
        <v>44298</v>
      </c>
      <c r="E105" s="19" t="s">
        <v>72</v>
      </c>
      <c r="F105" s="19" t="s">
        <v>1684</v>
      </c>
      <c r="G105" s="19" t="s">
        <v>1685</v>
      </c>
      <c r="H105" s="19" t="s">
        <v>1686</v>
      </c>
      <c r="I105" s="19">
        <v>8</v>
      </c>
      <c r="J105" s="115" t="s">
        <v>599</v>
      </c>
    </row>
    <row r="106" spans="1:10" x14ac:dyDescent="0.2">
      <c r="A106" s="133" t="s">
        <v>146</v>
      </c>
      <c r="B106" s="19" t="s">
        <v>147</v>
      </c>
      <c r="C106" s="612"/>
      <c r="D106" s="17">
        <v>44300</v>
      </c>
      <c r="E106" s="19" t="s">
        <v>1687</v>
      </c>
      <c r="F106" s="19" t="s">
        <v>1688</v>
      </c>
      <c r="G106" s="19" t="s">
        <v>1689</v>
      </c>
      <c r="H106" s="19" t="s">
        <v>1690</v>
      </c>
      <c r="I106" s="19">
        <v>1</v>
      </c>
      <c r="J106" s="115" t="s">
        <v>525</v>
      </c>
    </row>
    <row r="107" spans="1:10" x14ac:dyDescent="0.2">
      <c r="A107" s="133" t="s">
        <v>146</v>
      </c>
      <c r="B107" s="19" t="s">
        <v>11</v>
      </c>
      <c r="C107" s="612"/>
      <c r="D107" s="17">
        <v>44302</v>
      </c>
      <c r="E107" s="24" t="s">
        <v>767</v>
      </c>
      <c r="F107" s="19" t="s">
        <v>1691</v>
      </c>
      <c r="G107" s="19" t="s">
        <v>284</v>
      </c>
      <c r="H107" s="19" t="s">
        <v>1692</v>
      </c>
      <c r="I107" s="19">
        <v>4</v>
      </c>
      <c r="J107" s="115" t="s">
        <v>490</v>
      </c>
    </row>
    <row r="108" spans="1:10" x14ac:dyDescent="0.2">
      <c r="A108" s="133" t="s">
        <v>10</v>
      </c>
      <c r="B108" s="19" t="s">
        <v>2161</v>
      </c>
      <c r="C108" s="612"/>
      <c r="D108" s="17">
        <v>44304</v>
      </c>
      <c r="E108" s="19" t="s">
        <v>57</v>
      </c>
      <c r="F108" s="19" t="s">
        <v>1693</v>
      </c>
      <c r="G108" s="19" t="s">
        <v>1694</v>
      </c>
      <c r="H108" s="19" t="s">
        <v>1695</v>
      </c>
      <c r="I108" s="19">
        <v>2</v>
      </c>
      <c r="J108" s="115" t="s">
        <v>525</v>
      </c>
    </row>
    <row r="109" spans="1:10" x14ac:dyDescent="0.2">
      <c r="A109" s="133" t="s">
        <v>35</v>
      </c>
      <c r="B109" s="19" t="s">
        <v>137</v>
      </c>
      <c r="C109" s="612"/>
      <c r="D109" s="17">
        <v>44306</v>
      </c>
      <c r="E109" s="19" t="s">
        <v>343</v>
      </c>
      <c r="F109" s="19" t="s">
        <v>1696</v>
      </c>
      <c r="G109" s="19" t="s">
        <v>189</v>
      </c>
      <c r="H109" s="19" t="s">
        <v>1697</v>
      </c>
      <c r="I109" s="19">
        <v>6</v>
      </c>
      <c r="J109" s="115" t="s">
        <v>490</v>
      </c>
    </row>
    <row r="110" spans="1:10" x14ac:dyDescent="0.2">
      <c r="A110" s="133" t="s">
        <v>35</v>
      </c>
      <c r="B110" s="19" t="s">
        <v>137</v>
      </c>
      <c r="C110" s="612"/>
      <c r="D110" s="17">
        <v>44287</v>
      </c>
      <c r="E110" s="19" t="s">
        <v>72</v>
      </c>
      <c r="F110" s="19" t="s">
        <v>189</v>
      </c>
      <c r="G110" s="19" t="s">
        <v>189</v>
      </c>
      <c r="H110" s="19" t="s">
        <v>1698</v>
      </c>
      <c r="I110" s="19">
        <v>3</v>
      </c>
      <c r="J110" s="115" t="s">
        <v>490</v>
      </c>
    </row>
    <row r="111" spans="1:10" x14ac:dyDescent="0.2">
      <c r="A111" s="133" t="s">
        <v>17</v>
      </c>
      <c r="B111" s="19" t="s">
        <v>24</v>
      </c>
      <c r="C111" s="612"/>
      <c r="D111" s="17">
        <v>44287</v>
      </c>
      <c r="E111" s="19" t="s">
        <v>519</v>
      </c>
      <c r="F111" s="19" t="s">
        <v>27</v>
      </c>
      <c r="G111" s="19" t="s">
        <v>27</v>
      </c>
      <c r="H111" s="19" t="s">
        <v>1699</v>
      </c>
      <c r="I111" s="19">
        <v>1</v>
      </c>
      <c r="J111" s="115" t="s">
        <v>544</v>
      </c>
    </row>
    <row r="112" spans="1:10" x14ac:dyDescent="0.2">
      <c r="A112" s="133" t="s">
        <v>17</v>
      </c>
      <c r="B112" s="19" t="s">
        <v>24</v>
      </c>
      <c r="C112" s="612"/>
      <c r="D112" s="17">
        <v>44292</v>
      </c>
      <c r="E112" s="19" t="s">
        <v>1700</v>
      </c>
      <c r="F112" s="19" t="s">
        <v>27</v>
      </c>
      <c r="G112" s="19" t="s">
        <v>27</v>
      </c>
      <c r="H112" s="19" t="s">
        <v>1701</v>
      </c>
      <c r="I112" s="19">
        <v>1</v>
      </c>
      <c r="J112" s="115" t="s">
        <v>544</v>
      </c>
    </row>
    <row r="113" spans="1:10" x14ac:dyDescent="0.2">
      <c r="A113" s="133" t="s">
        <v>10</v>
      </c>
      <c r="B113" s="19" t="s">
        <v>2161</v>
      </c>
      <c r="C113" s="612"/>
      <c r="D113" s="17">
        <v>44315</v>
      </c>
      <c r="E113" s="19" t="s">
        <v>1702</v>
      </c>
      <c r="F113" s="19" t="s">
        <v>1703</v>
      </c>
      <c r="G113" s="19" t="s">
        <v>95</v>
      </c>
      <c r="H113" s="19" t="s">
        <v>1704</v>
      </c>
      <c r="I113" s="19">
        <v>3</v>
      </c>
      <c r="J113" s="115" t="s">
        <v>508</v>
      </c>
    </row>
    <row r="114" spans="1:10" x14ac:dyDescent="0.2">
      <c r="A114" s="133" t="s">
        <v>17</v>
      </c>
      <c r="B114" s="19" t="s">
        <v>24</v>
      </c>
      <c r="C114" s="613"/>
      <c r="D114" s="17">
        <v>44316</v>
      </c>
      <c r="E114" s="19" t="s">
        <v>1705</v>
      </c>
      <c r="F114" s="19" t="s">
        <v>355</v>
      </c>
      <c r="G114" s="19" t="s">
        <v>355</v>
      </c>
      <c r="H114" s="19" t="s">
        <v>1706</v>
      </c>
      <c r="I114" s="19">
        <v>1</v>
      </c>
      <c r="J114" s="115" t="s">
        <v>544</v>
      </c>
    </row>
    <row r="115" spans="1:10" ht="13.6" x14ac:dyDescent="0.2">
      <c r="A115" s="116" t="s">
        <v>2145</v>
      </c>
      <c r="B115" s="92"/>
      <c r="C115" s="92"/>
      <c r="D115" s="26"/>
      <c r="E115" s="92"/>
      <c r="F115" s="92"/>
      <c r="G115" s="92"/>
      <c r="H115" s="92"/>
      <c r="I115" s="92"/>
      <c r="J115" s="117"/>
    </row>
    <row r="116" spans="1:10" x14ac:dyDescent="0.2">
      <c r="A116" s="133" t="s">
        <v>17</v>
      </c>
      <c r="B116" s="19" t="s">
        <v>24</v>
      </c>
      <c r="C116" s="611">
        <f>COUNTIF(B116:B138,C2)</f>
        <v>1</v>
      </c>
      <c r="D116" s="17">
        <v>44319</v>
      </c>
      <c r="E116" s="19" t="s">
        <v>72</v>
      </c>
      <c r="F116" s="19" t="s">
        <v>1707</v>
      </c>
      <c r="G116" s="19" t="s">
        <v>76</v>
      </c>
      <c r="H116" s="19" t="s">
        <v>1708</v>
      </c>
      <c r="I116" s="19">
        <v>1</v>
      </c>
      <c r="J116" s="115" t="s">
        <v>544</v>
      </c>
    </row>
    <row r="117" spans="1:10" x14ac:dyDescent="0.2">
      <c r="A117" s="133" t="s">
        <v>17</v>
      </c>
      <c r="B117" s="19" t="s">
        <v>24</v>
      </c>
      <c r="C117" s="612"/>
      <c r="D117" s="17">
        <v>44319</v>
      </c>
      <c r="E117" s="19" t="s">
        <v>305</v>
      </c>
      <c r="F117" s="19" t="s">
        <v>1709</v>
      </c>
      <c r="G117" s="19" t="s">
        <v>76</v>
      </c>
      <c r="H117" s="19" t="s">
        <v>1475</v>
      </c>
      <c r="I117" s="19">
        <v>1</v>
      </c>
      <c r="J117" s="115" t="s">
        <v>544</v>
      </c>
    </row>
    <row r="118" spans="1:10" x14ac:dyDescent="0.2">
      <c r="A118" s="133" t="s">
        <v>17</v>
      </c>
      <c r="B118" s="19" t="s">
        <v>24</v>
      </c>
      <c r="C118" s="612"/>
      <c r="D118" s="17">
        <v>44320</v>
      </c>
      <c r="E118" s="19" t="s">
        <v>72</v>
      </c>
      <c r="F118" s="19" t="s">
        <v>1710</v>
      </c>
      <c r="G118" s="19"/>
      <c r="H118" s="19" t="s">
        <v>1711</v>
      </c>
      <c r="I118" s="19">
        <v>1</v>
      </c>
      <c r="J118" s="115" t="s">
        <v>544</v>
      </c>
    </row>
    <row r="119" spans="1:10" x14ac:dyDescent="0.2">
      <c r="A119" s="133" t="s">
        <v>17</v>
      </c>
      <c r="B119" s="19" t="s">
        <v>24</v>
      </c>
      <c r="C119" s="612"/>
      <c r="D119" s="17">
        <v>44321</v>
      </c>
      <c r="E119" s="19" t="s">
        <v>305</v>
      </c>
      <c r="F119" s="19" t="s">
        <v>381</v>
      </c>
      <c r="G119" s="19"/>
      <c r="H119" s="19" t="s">
        <v>773</v>
      </c>
      <c r="I119" s="19">
        <v>1</v>
      </c>
      <c r="J119" s="115" t="s">
        <v>544</v>
      </c>
    </row>
    <row r="120" spans="1:10" x14ac:dyDescent="0.2">
      <c r="A120" s="133" t="s">
        <v>10</v>
      </c>
      <c r="B120" s="19" t="s">
        <v>324</v>
      </c>
      <c r="C120" s="612"/>
      <c r="D120" s="17">
        <v>44321</v>
      </c>
      <c r="E120" s="19" t="s">
        <v>1712</v>
      </c>
      <c r="F120" s="19" t="s">
        <v>1713</v>
      </c>
      <c r="G120" s="19" t="s">
        <v>1714</v>
      </c>
      <c r="H120" s="19" t="s">
        <v>1715</v>
      </c>
      <c r="I120" s="19">
        <v>5</v>
      </c>
      <c r="J120" s="115" t="s">
        <v>599</v>
      </c>
    </row>
    <row r="121" spans="1:10" x14ac:dyDescent="0.2">
      <c r="A121" s="133" t="s">
        <v>10</v>
      </c>
      <c r="B121" s="19" t="s">
        <v>324</v>
      </c>
      <c r="C121" s="612"/>
      <c r="D121" s="17">
        <v>44321</v>
      </c>
      <c r="E121" s="19" t="s">
        <v>337</v>
      </c>
      <c r="F121" s="19" t="s">
        <v>1716</v>
      </c>
      <c r="G121" s="19" t="s">
        <v>1206</v>
      </c>
      <c r="H121" s="19" t="s">
        <v>1717</v>
      </c>
      <c r="I121" s="19">
        <v>3</v>
      </c>
      <c r="J121" s="115" t="s">
        <v>525</v>
      </c>
    </row>
    <row r="122" spans="1:10" x14ac:dyDescent="0.2">
      <c r="A122" s="133" t="s">
        <v>10</v>
      </c>
      <c r="B122" s="19" t="s">
        <v>324</v>
      </c>
      <c r="C122" s="612"/>
      <c r="D122" s="17">
        <v>44321</v>
      </c>
      <c r="E122" s="19" t="s">
        <v>1718</v>
      </c>
      <c r="F122" s="19" t="s">
        <v>1719</v>
      </c>
      <c r="G122" s="19" t="s">
        <v>1672</v>
      </c>
      <c r="H122" s="19" t="s">
        <v>1720</v>
      </c>
      <c r="I122" s="19">
        <v>5</v>
      </c>
      <c r="J122" s="115" t="s">
        <v>599</v>
      </c>
    </row>
    <row r="123" spans="1:10" x14ac:dyDescent="0.2">
      <c r="A123" s="133" t="s">
        <v>10</v>
      </c>
      <c r="B123" s="19" t="s">
        <v>324</v>
      </c>
      <c r="C123" s="612"/>
      <c r="D123" s="17">
        <v>44321</v>
      </c>
      <c r="E123" s="19" t="s">
        <v>1650</v>
      </c>
      <c r="F123" s="19" t="s">
        <v>1721</v>
      </c>
      <c r="G123" s="19" t="s">
        <v>1722</v>
      </c>
      <c r="H123" s="19" t="s">
        <v>1723</v>
      </c>
      <c r="I123" s="19">
        <v>3</v>
      </c>
      <c r="J123" s="115" t="s">
        <v>525</v>
      </c>
    </row>
    <row r="124" spans="1:10" x14ac:dyDescent="0.2">
      <c r="A124" s="133" t="s">
        <v>10</v>
      </c>
      <c r="B124" s="19" t="s">
        <v>2161</v>
      </c>
      <c r="C124" s="612"/>
      <c r="D124" s="17">
        <v>44324</v>
      </c>
      <c r="E124" s="19" t="s">
        <v>1724</v>
      </c>
      <c r="F124" s="19" t="s">
        <v>1725</v>
      </c>
      <c r="G124" s="19" t="s">
        <v>1726</v>
      </c>
      <c r="H124" s="19" t="s">
        <v>1727</v>
      </c>
      <c r="I124" s="19">
        <v>2</v>
      </c>
      <c r="J124" s="115" t="s">
        <v>508</v>
      </c>
    </row>
    <row r="125" spans="1:10" x14ac:dyDescent="0.2">
      <c r="A125" s="133" t="s">
        <v>10</v>
      </c>
      <c r="B125" s="19" t="s">
        <v>64</v>
      </c>
      <c r="C125" s="612"/>
      <c r="D125" s="17">
        <v>44326</v>
      </c>
      <c r="E125" s="19" t="s">
        <v>1728</v>
      </c>
      <c r="F125" s="19" t="s">
        <v>1729</v>
      </c>
      <c r="G125" s="19" t="s">
        <v>76</v>
      </c>
      <c r="H125" s="19" t="s">
        <v>1730</v>
      </c>
      <c r="I125" s="19">
        <v>1</v>
      </c>
      <c r="J125" s="115" t="s">
        <v>508</v>
      </c>
    </row>
    <row r="126" spans="1:10" x14ac:dyDescent="0.2">
      <c r="A126" s="133" t="s">
        <v>51</v>
      </c>
      <c r="B126" s="19" t="s">
        <v>52</v>
      </c>
      <c r="C126" s="612"/>
      <c r="D126" s="17">
        <v>44327</v>
      </c>
      <c r="E126" s="19" t="s">
        <v>932</v>
      </c>
      <c r="F126" s="19" t="s">
        <v>630</v>
      </c>
      <c r="G126" s="19" t="s">
        <v>801</v>
      </c>
      <c r="H126" s="19" t="s">
        <v>1731</v>
      </c>
      <c r="I126" s="19">
        <v>5</v>
      </c>
      <c r="J126" s="115" t="s">
        <v>525</v>
      </c>
    </row>
    <row r="127" spans="1:10" x14ac:dyDescent="0.2">
      <c r="A127" s="133" t="s">
        <v>10</v>
      </c>
      <c r="B127" s="19" t="s">
        <v>2162</v>
      </c>
      <c r="C127" s="612"/>
      <c r="D127" s="17">
        <v>44328</v>
      </c>
      <c r="E127" s="19" t="s">
        <v>57</v>
      </c>
      <c r="F127" s="19" t="s">
        <v>1732</v>
      </c>
      <c r="G127" s="19" t="s">
        <v>76</v>
      </c>
      <c r="H127" s="19" t="s">
        <v>1733</v>
      </c>
      <c r="I127" s="19">
        <v>5</v>
      </c>
      <c r="J127" s="115" t="s">
        <v>490</v>
      </c>
    </row>
    <row r="128" spans="1:10" x14ac:dyDescent="0.2">
      <c r="A128" s="133" t="s">
        <v>17</v>
      </c>
      <c r="B128" s="19" t="s">
        <v>24</v>
      </c>
      <c r="C128" s="612"/>
      <c r="D128" s="17">
        <v>44335</v>
      </c>
      <c r="E128" s="19" t="s">
        <v>1734</v>
      </c>
      <c r="F128" s="19" t="s">
        <v>1735</v>
      </c>
      <c r="G128" s="19" t="s">
        <v>110</v>
      </c>
      <c r="H128" s="19" t="s">
        <v>1736</v>
      </c>
      <c r="I128" s="19">
        <v>1</v>
      </c>
      <c r="J128" s="115" t="s">
        <v>544</v>
      </c>
    </row>
    <row r="129" spans="1:10" x14ac:dyDescent="0.2">
      <c r="A129" s="133" t="s">
        <v>10</v>
      </c>
      <c r="B129" s="19" t="s">
        <v>2161</v>
      </c>
      <c r="C129" s="612"/>
      <c r="D129" s="17">
        <v>44336</v>
      </c>
      <c r="E129" s="19" t="s">
        <v>1042</v>
      </c>
      <c r="F129" s="19" t="s">
        <v>313</v>
      </c>
      <c r="G129" s="19"/>
      <c r="H129" s="19" t="s">
        <v>1737</v>
      </c>
      <c r="I129" s="19">
        <v>2</v>
      </c>
      <c r="J129" s="115" t="s">
        <v>508</v>
      </c>
    </row>
    <row r="130" spans="1:10" x14ac:dyDescent="0.2">
      <c r="A130" s="133" t="s">
        <v>159</v>
      </c>
      <c r="B130" s="19" t="s">
        <v>137</v>
      </c>
      <c r="C130" s="612"/>
      <c r="D130" s="17">
        <v>44336</v>
      </c>
      <c r="E130" s="19" t="s">
        <v>164</v>
      </c>
      <c r="F130" s="19" t="s">
        <v>1738</v>
      </c>
      <c r="G130" s="19"/>
      <c r="H130" s="19" t="s">
        <v>1172</v>
      </c>
      <c r="I130" s="19">
        <v>6</v>
      </c>
      <c r="J130" s="115" t="s">
        <v>490</v>
      </c>
    </row>
    <row r="131" spans="1:10" x14ac:dyDescent="0.2">
      <c r="A131" s="133" t="s">
        <v>35</v>
      </c>
      <c r="B131" s="19" t="s">
        <v>137</v>
      </c>
      <c r="C131" s="612"/>
      <c r="D131" s="17">
        <v>44337</v>
      </c>
      <c r="E131" s="19" t="s">
        <v>1739</v>
      </c>
      <c r="F131" s="19" t="s">
        <v>1740</v>
      </c>
      <c r="G131" s="19" t="s">
        <v>21</v>
      </c>
      <c r="H131" s="19" t="s">
        <v>1741</v>
      </c>
      <c r="I131" s="19">
        <v>5</v>
      </c>
      <c r="J131" s="115" t="s">
        <v>490</v>
      </c>
    </row>
    <row r="132" spans="1:10" x14ac:dyDescent="0.2">
      <c r="A132" s="133" t="s">
        <v>51</v>
      </c>
      <c r="B132" s="19" t="s">
        <v>2162</v>
      </c>
      <c r="C132" s="612"/>
      <c r="D132" s="17">
        <v>44338</v>
      </c>
      <c r="E132" s="19" t="s">
        <v>1742</v>
      </c>
      <c r="F132" s="19" t="s">
        <v>1743</v>
      </c>
      <c r="G132" s="19" t="s">
        <v>27</v>
      </c>
      <c r="H132" s="19" t="s">
        <v>1744</v>
      </c>
      <c r="I132" s="19">
        <v>2</v>
      </c>
      <c r="J132" s="115" t="s">
        <v>490</v>
      </c>
    </row>
    <row r="133" spans="1:10" x14ac:dyDescent="0.2">
      <c r="A133" s="133" t="s">
        <v>17</v>
      </c>
      <c r="B133" s="19" t="s">
        <v>24</v>
      </c>
      <c r="C133" s="612"/>
      <c r="D133" s="17">
        <v>44340</v>
      </c>
      <c r="E133" s="19" t="s">
        <v>57</v>
      </c>
      <c r="F133" s="19" t="s">
        <v>1745</v>
      </c>
      <c r="G133" s="19" t="s">
        <v>85</v>
      </c>
      <c r="H133" s="19" t="s">
        <v>28</v>
      </c>
      <c r="I133" s="19">
        <v>1</v>
      </c>
      <c r="J133" s="115" t="s">
        <v>544</v>
      </c>
    </row>
    <row r="134" spans="1:10" x14ac:dyDescent="0.2">
      <c r="A134" s="133" t="s">
        <v>10</v>
      </c>
      <c r="B134" s="19" t="s">
        <v>11</v>
      </c>
      <c r="C134" s="612"/>
      <c r="D134" s="17">
        <v>44341</v>
      </c>
      <c r="E134" s="19" t="s">
        <v>1746</v>
      </c>
      <c r="F134" s="19" t="s">
        <v>1747</v>
      </c>
      <c r="G134" s="19" t="s">
        <v>242</v>
      </c>
      <c r="H134" s="19" t="s">
        <v>1748</v>
      </c>
      <c r="I134" s="19">
        <v>7</v>
      </c>
      <c r="J134" s="115" t="s">
        <v>490</v>
      </c>
    </row>
    <row r="135" spans="1:10" x14ac:dyDescent="0.2">
      <c r="A135" s="133" t="s">
        <v>35</v>
      </c>
      <c r="B135" s="19" t="s">
        <v>137</v>
      </c>
      <c r="C135" s="612"/>
      <c r="D135" s="17">
        <v>44343</v>
      </c>
      <c r="E135" s="19" t="s">
        <v>57</v>
      </c>
      <c r="F135" s="19" t="s">
        <v>1749</v>
      </c>
      <c r="G135" s="19" t="s">
        <v>85</v>
      </c>
      <c r="H135" s="19" t="s">
        <v>1750</v>
      </c>
      <c r="I135" s="19">
        <v>9</v>
      </c>
      <c r="J135" s="115" t="s">
        <v>487</v>
      </c>
    </row>
    <row r="136" spans="1:10" x14ac:dyDescent="0.2">
      <c r="A136" s="133" t="s">
        <v>10</v>
      </c>
      <c r="B136" s="19" t="s">
        <v>2162</v>
      </c>
      <c r="C136" s="612"/>
      <c r="D136" s="17">
        <v>44343</v>
      </c>
      <c r="E136" s="19" t="s">
        <v>1751</v>
      </c>
      <c r="F136" s="19" t="s">
        <v>1337</v>
      </c>
      <c r="G136" s="19" t="s">
        <v>1752</v>
      </c>
      <c r="H136" s="19" t="s">
        <v>1753</v>
      </c>
      <c r="I136" s="19">
        <v>4</v>
      </c>
      <c r="J136" s="115" t="s">
        <v>10</v>
      </c>
    </row>
    <row r="137" spans="1:10" x14ac:dyDescent="0.2">
      <c r="A137" s="133" t="s">
        <v>10</v>
      </c>
      <c r="B137" s="19" t="s">
        <v>152</v>
      </c>
      <c r="C137" s="612"/>
      <c r="D137" s="17">
        <v>44343</v>
      </c>
      <c r="E137" s="19" t="s">
        <v>428</v>
      </c>
      <c r="F137" s="19" t="s">
        <v>1754</v>
      </c>
      <c r="G137" s="19" t="s">
        <v>1755</v>
      </c>
      <c r="H137" s="19" t="s">
        <v>1756</v>
      </c>
      <c r="I137" s="19">
        <v>4</v>
      </c>
      <c r="J137" s="115" t="s">
        <v>167</v>
      </c>
    </row>
    <row r="138" spans="1:10" x14ac:dyDescent="0.2">
      <c r="A138" s="133" t="s">
        <v>17</v>
      </c>
      <c r="B138" s="19" t="s">
        <v>24</v>
      </c>
      <c r="C138" s="613"/>
      <c r="D138" s="17">
        <v>44344</v>
      </c>
      <c r="E138" s="19" t="s">
        <v>72</v>
      </c>
      <c r="F138" s="19" t="s">
        <v>1757</v>
      </c>
      <c r="G138" s="19" t="s">
        <v>85</v>
      </c>
      <c r="H138" s="19" t="s">
        <v>1758</v>
      </c>
      <c r="I138" s="19">
        <v>1</v>
      </c>
      <c r="J138" s="115" t="s">
        <v>544</v>
      </c>
    </row>
    <row r="139" spans="1:10" ht="13.6" x14ac:dyDescent="0.2">
      <c r="A139" s="127" t="s">
        <v>835</v>
      </c>
      <c r="B139" s="93"/>
      <c r="C139" s="93"/>
      <c r="D139" s="29"/>
      <c r="E139" s="93"/>
      <c r="F139" s="93"/>
      <c r="G139" s="93"/>
      <c r="H139" s="93"/>
      <c r="I139" s="93"/>
      <c r="J139" s="121"/>
    </row>
    <row r="140" spans="1:10" x14ac:dyDescent="0.2">
      <c r="A140" s="133" t="s">
        <v>51</v>
      </c>
      <c r="B140" s="19" t="s">
        <v>481</v>
      </c>
      <c r="C140" s="611">
        <f>COUNTIF(B140:B158,C2)</f>
        <v>1</v>
      </c>
      <c r="D140" s="17">
        <v>44348</v>
      </c>
      <c r="E140" s="19" t="s">
        <v>57</v>
      </c>
      <c r="F140" s="19" t="s">
        <v>1759</v>
      </c>
      <c r="G140" s="19" t="s">
        <v>355</v>
      </c>
      <c r="H140" s="19" t="s">
        <v>1760</v>
      </c>
      <c r="I140" s="19">
        <v>7</v>
      </c>
      <c r="J140" s="115" t="s">
        <v>490</v>
      </c>
    </row>
    <row r="141" spans="1:10" x14ac:dyDescent="0.2">
      <c r="A141" s="133" t="s">
        <v>51</v>
      </c>
      <c r="B141" s="19" t="s">
        <v>451</v>
      </c>
      <c r="C141" s="612"/>
      <c r="D141" s="17">
        <v>44351</v>
      </c>
      <c r="E141" s="19" t="s">
        <v>522</v>
      </c>
      <c r="F141" s="19" t="s">
        <v>1761</v>
      </c>
      <c r="G141" s="19" t="s">
        <v>1762</v>
      </c>
      <c r="H141" s="19" t="s">
        <v>1763</v>
      </c>
      <c r="I141" s="19">
        <v>3</v>
      </c>
      <c r="J141" s="115" t="s">
        <v>490</v>
      </c>
    </row>
    <row r="142" spans="1:10" x14ac:dyDescent="0.2">
      <c r="A142" s="133" t="s">
        <v>387</v>
      </c>
      <c r="B142" s="19" t="s">
        <v>29</v>
      </c>
      <c r="C142" s="612"/>
      <c r="D142" s="17">
        <v>44355</v>
      </c>
      <c r="E142" s="19" t="s">
        <v>901</v>
      </c>
      <c r="F142" s="19" t="s">
        <v>1764</v>
      </c>
      <c r="G142" s="19" t="s">
        <v>85</v>
      </c>
      <c r="H142" s="19" t="s">
        <v>1765</v>
      </c>
      <c r="I142" s="19">
        <v>3</v>
      </c>
      <c r="J142" s="115" t="s">
        <v>525</v>
      </c>
    </row>
    <row r="143" spans="1:10" x14ac:dyDescent="0.2">
      <c r="A143" s="133" t="s">
        <v>146</v>
      </c>
      <c r="B143" s="19" t="s">
        <v>2163</v>
      </c>
      <c r="C143" s="612"/>
      <c r="D143" s="17">
        <v>44356</v>
      </c>
      <c r="E143" s="19" t="s">
        <v>1766</v>
      </c>
      <c r="F143" s="19" t="s">
        <v>1767</v>
      </c>
      <c r="G143" s="19" t="s">
        <v>1768</v>
      </c>
      <c r="H143" s="19" t="s">
        <v>1769</v>
      </c>
      <c r="I143" s="19">
        <v>6</v>
      </c>
      <c r="J143" s="115" t="s">
        <v>1770</v>
      </c>
    </row>
    <row r="144" spans="1:10" x14ac:dyDescent="0.2">
      <c r="A144" s="133" t="s">
        <v>35</v>
      </c>
      <c r="B144" s="19" t="s">
        <v>137</v>
      </c>
      <c r="C144" s="612"/>
      <c r="D144" s="17">
        <v>44357</v>
      </c>
      <c r="E144" s="19" t="s">
        <v>57</v>
      </c>
      <c r="F144" s="19" t="s">
        <v>1771</v>
      </c>
      <c r="G144" s="19" t="s">
        <v>1772</v>
      </c>
      <c r="H144" s="19" t="s">
        <v>1773</v>
      </c>
      <c r="I144" s="19">
        <v>2</v>
      </c>
      <c r="J144" s="115" t="s">
        <v>525</v>
      </c>
    </row>
    <row r="145" spans="1:10" x14ac:dyDescent="0.2">
      <c r="A145" s="133" t="s">
        <v>17</v>
      </c>
      <c r="B145" s="19" t="s">
        <v>24</v>
      </c>
      <c r="C145" s="612"/>
      <c r="D145" s="17">
        <v>44363</v>
      </c>
      <c r="E145" s="19" t="s">
        <v>57</v>
      </c>
      <c r="F145" s="19" t="s">
        <v>1774</v>
      </c>
      <c r="G145" s="19" t="s">
        <v>1163</v>
      </c>
      <c r="H145" s="19" t="s">
        <v>1775</v>
      </c>
      <c r="I145" s="19">
        <v>1</v>
      </c>
      <c r="J145" s="115" t="s">
        <v>544</v>
      </c>
    </row>
    <row r="146" spans="1:10" x14ac:dyDescent="0.2">
      <c r="A146" s="133" t="s">
        <v>51</v>
      </c>
      <c r="B146" s="19" t="s">
        <v>52</v>
      </c>
      <c r="C146" s="612"/>
      <c r="D146" s="17">
        <v>44364</v>
      </c>
      <c r="E146" s="19" t="s">
        <v>57</v>
      </c>
      <c r="F146" s="19" t="s">
        <v>1776</v>
      </c>
      <c r="G146" s="19" t="s">
        <v>1777</v>
      </c>
      <c r="H146" s="19" t="s">
        <v>1778</v>
      </c>
      <c r="I146" s="19">
        <v>10</v>
      </c>
      <c r="J146" s="115" t="s">
        <v>490</v>
      </c>
    </row>
    <row r="147" spans="1:10" x14ac:dyDescent="0.2">
      <c r="A147" s="133" t="s">
        <v>10</v>
      </c>
      <c r="B147" s="19" t="s">
        <v>2161</v>
      </c>
      <c r="C147" s="612"/>
      <c r="D147" s="17">
        <v>44364</v>
      </c>
      <c r="E147" s="19" t="s">
        <v>1779</v>
      </c>
      <c r="F147" s="19" t="s">
        <v>1780</v>
      </c>
      <c r="G147" s="19" t="s">
        <v>274</v>
      </c>
      <c r="H147" s="19" t="s">
        <v>1781</v>
      </c>
      <c r="I147" s="19">
        <v>5</v>
      </c>
      <c r="J147" s="115" t="s">
        <v>599</v>
      </c>
    </row>
    <row r="148" spans="1:10" x14ac:dyDescent="0.2">
      <c r="A148" s="133" t="s">
        <v>17</v>
      </c>
      <c r="B148" s="19" t="s">
        <v>24</v>
      </c>
      <c r="C148" s="612"/>
      <c r="D148" s="17">
        <v>44365</v>
      </c>
      <c r="E148" s="19" t="s">
        <v>72</v>
      </c>
      <c r="F148" s="19" t="s">
        <v>1782</v>
      </c>
      <c r="G148" s="19"/>
      <c r="H148" s="19" t="s">
        <v>28</v>
      </c>
      <c r="I148" s="19">
        <v>1</v>
      </c>
      <c r="J148" s="115" t="s">
        <v>544</v>
      </c>
    </row>
    <row r="149" spans="1:10" x14ac:dyDescent="0.2">
      <c r="A149" s="133" t="s">
        <v>10</v>
      </c>
      <c r="B149" s="19" t="s">
        <v>2162</v>
      </c>
      <c r="C149" s="612"/>
      <c r="D149" s="17">
        <v>44365</v>
      </c>
      <c r="E149" s="19" t="s">
        <v>37</v>
      </c>
      <c r="F149" s="19" t="s">
        <v>1783</v>
      </c>
      <c r="G149" s="19" t="s">
        <v>1189</v>
      </c>
      <c r="H149" s="19" t="s">
        <v>1784</v>
      </c>
      <c r="I149" s="19">
        <v>2</v>
      </c>
      <c r="J149" s="115" t="s">
        <v>525</v>
      </c>
    </row>
    <row r="150" spans="1:10" x14ac:dyDescent="0.2">
      <c r="A150" s="133" t="s">
        <v>17</v>
      </c>
      <c r="B150" s="19" t="s">
        <v>24</v>
      </c>
      <c r="C150" s="612"/>
      <c r="D150" s="17">
        <v>44372</v>
      </c>
      <c r="E150" s="19" t="s">
        <v>1785</v>
      </c>
      <c r="F150" s="19" t="s">
        <v>1786</v>
      </c>
      <c r="G150" s="19" t="s">
        <v>27</v>
      </c>
      <c r="H150" s="19" t="s">
        <v>1787</v>
      </c>
      <c r="I150" s="19">
        <v>1</v>
      </c>
      <c r="J150" s="115" t="s">
        <v>544</v>
      </c>
    </row>
    <row r="151" spans="1:10" x14ac:dyDescent="0.2">
      <c r="A151" s="133" t="s">
        <v>17</v>
      </c>
      <c r="B151" s="19" t="s">
        <v>24</v>
      </c>
      <c r="C151" s="612"/>
      <c r="D151" s="17">
        <v>44372</v>
      </c>
      <c r="E151" s="19" t="s">
        <v>37</v>
      </c>
      <c r="F151" s="19" t="s">
        <v>1788</v>
      </c>
      <c r="G151" s="19" t="s">
        <v>27</v>
      </c>
      <c r="H151" s="19" t="s">
        <v>1787</v>
      </c>
      <c r="I151" s="19">
        <v>1</v>
      </c>
      <c r="J151" s="115" t="s">
        <v>544</v>
      </c>
    </row>
    <row r="152" spans="1:10" x14ac:dyDescent="0.2">
      <c r="A152" s="133" t="s">
        <v>159</v>
      </c>
      <c r="B152" s="19" t="s">
        <v>2164</v>
      </c>
      <c r="C152" s="612"/>
      <c r="D152" s="17">
        <v>44374</v>
      </c>
      <c r="E152" s="19" t="s">
        <v>57</v>
      </c>
      <c r="F152" s="19" t="s">
        <v>1789</v>
      </c>
      <c r="G152" s="19" t="s">
        <v>139</v>
      </c>
      <c r="H152" s="19" t="s">
        <v>1790</v>
      </c>
      <c r="I152" s="19">
        <v>3</v>
      </c>
      <c r="J152" s="115" t="s">
        <v>525</v>
      </c>
    </row>
    <row r="153" spans="1:10" x14ac:dyDescent="0.2">
      <c r="A153" s="133" t="s">
        <v>10</v>
      </c>
      <c r="B153" s="19" t="s">
        <v>2161</v>
      </c>
      <c r="C153" s="612"/>
      <c r="D153" s="17">
        <v>44375</v>
      </c>
      <c r="E153" s="19" t="s">
        <v>1791</v>
      </c>
      <c r="F153" s="19" t="s">
        <v>1792</v>
      </c>
      <c r="G153" s="19" t="s">
        <v>366</v>
      </c>
      <c r="H153" s="19" t="s">
        <v>1793</v>
      </c>
      <c r="I153" s="19">
        <v>2</v>
      </c>
      <c r="J153" s="115" t="s">
        <v>490</v>
      </c>
    </row>
    <row r="154" spans="1:10" x14ac:dyDescent="0.2">
      <c r="A154" s="133" t="s">
        <v>35</v>
      </c>
      <c r="B154" s="19" t="s">
        <v>137</v>
      </c>
      <c r="C154" s="612"/>
      <c r="D154" s="17">
        <v>44356</v>
      </c>
      <c r="E154" s="19" t="s">
        <v>1794</v>
      </c>
      <c r="F154" s="19" t="s">
        <v>1795</v>
      </c>
      <c r="G154" s="19" t="s">
        <v>1772</v>
      </c>
      <c r="H154" s="19" t="s">
        <v>1796</v>
      </c>
      <c r="I154" s="19">
        <v>3</v>
      </c>
      <c r="J154" s="115" t="s">
        <v>490</v>
      </c>
    </row>
    <row r="155" spans="1:10" x14ac:dyDescent="0.2">
      <c r="A155" s="133" t="s">
        <v>35</v>
      </c>
      <c r="B155" s="19" t="s">
        <v>2164</v>
      </c>
      <c r="C155" s="612"/>
      <c r="D155" s="17">
        <v>44358</v>
      </c>
      <c r="E155" s="19" t="s">
        <v>1797</v>
      </c>
      <c r="F155" s="19" t="s">
        <v>1798</v>
      </c>
      <c r="G155" s="19" t="s">
        <v>1799</v>
      </c>
      <c r="H155" s="19" t="s">
        <v>1800</v>
      </c>
      <c r="I155" s="19">
        <v>15</v>
      </c>
      <c r="J155" s="115" t="s">
        <v>490</v>
      </c>
    </row>
    <row r="156" spans="1:10" x14ac:dyDescent="0.2">
      <c r="A156" s="133" t="s">
        <v>10</v>
      </c>
      <c r="B156" s="19" t="s">
        <v>2162</v>
      </c>
      <c r="C156" s="612"/>
      <c r="D156" s="17">
        <v>44361</v>
      </c>
      <c r="E156" s="19" t="s">
        <v>1801</v>
      </c>
      <c r="F156" s="19" t="s">
        <v>1802</v>
      </c>
      <c r="G156" s="19" t="s">
        <v>1803</v>
      </c>
      <c r="H156" s="19" t="s">
        <v>1804</v>
      </c>
      <c r="I156" s="19">
        <v>6</v>
      </c>
      <c r="J156" s="115" t="s">
        <v>599</v>
      </c>
    </row>
    <row r="157" spans="1:10" x14ac:dyDescent="0.2">
      <c r="A157" s="133" t="s">
        <v>17</v>
      </c>
      <c r="B157" s="19" t="s">
        <v>24</v>
      </c>
      <c r="C157" s="612"/>
      <c r="D157" s="17">
        <v>44368</v>
      </c>
      <c r="E157" s="19" t="s">
        <v>57</v>
      </c>
      <c r="F157" s="19" t="s">
        <v>1805</v>
      </c>
      <c r="G157" s="19"/>
      <c r="H157" s="19" t="s">
        <v>1806</v>
      </c>
      <c r="I157" s="19">
        <v>1</v>
      </c>
      <c r="J157" s="115" t="s">
        <v>544</v>
      </c>
    </row>
    <row r="158" spans="1:10" x14ac:dyDescent="0.2">
      <c r="A158" s="133" t="s">
        <v>17</v>
      </c>
      <c r="B158" s="19" t="s">
        <v>24</v>
      </c>
      <c r="C158" s="613"/>
      <c r="D158" s="17">
        <v>44369</v>
      </c>
      <c r="E158" s="19" t="s">
        <v>1807</v>
      </c>
      <c r="F158" s="19" t="s">
        <v>1808</v>
      </c>
      <c r="G158" s="19"/>
      <c r="H158" s="19" t="s">
        <v>1809</v>
      </c>
      <c r="I158" s="19">
        <v>1</v>
      </c>
      <c r="J158" s="115" t="s">
        <v>544</v>
      </c>
    </row>
    <row r="159" spans="1:10" ht="13.6" x14ac:dyDescent="0.2">
      <c r="A159" s="116" t="s">
        <v>2146</v>
      </c>
      <c r="B159" s="92"/>
      <c r="C159" s="92"/>
      <c r="D159" s="26"/>
      <c r="E159" s="92"/>
      <c r="F159" s="92"/>
      <c r="G159" s="92"/>
      <c r="H159" s="92"/>
      <c r="I159" s="92"/>
      <c r="J159" s="117"/>
    </row>
    <row r="160" spans="1:10" x14ac:dyDescent="0.2">
      <c r="A160" s="133" t="s">
        <v>17</v>
      </c>
      <c r="B160" s="19" t="s">
        <v>24</v>
      </c>
      <c r="C160" s="611">
        <f>COUNTIF(B160:B190,C2)</f>
        <v>2</v>
      </c>
      <c r="D160" s="17">
        <v>44379</v>
      </c>
      <c r="E160" s="19" t="s">
        <v>1810</v>
      </c>
      <c r="F160" s="19" t="s">
        <v>1811</v>
      </c>
      <c r="G160" s="19" t="s">
        <v>1812</v>
      </c>
      <c r="H160" s="19" t="s">
        <v>1813</v>
      </c>
      <c r="I160" s="19">
        <v>1</v>
      </c>
      <c r="J160" s="115" t="s">
        <v>544</v>
      </c>
    </row>
    <row r="161" spans="1:10" x14ac:dyDescent="0.2">
      <c r="A161" s="133" t="s">
        <v>51</v>
      </c>
      <c r="B161" s="19" t="s">
        <v>481</v>
      </c>
      <c r="C161" s="612"/>
      <c r="D161" s="17">
        <v>44380</v>
      </c>
      <c r="E161" s="24" t="s">
        <v>1814</v>
      </c>
      <c r="F161" s="19" t="s">
        <v>1815</v>
      </c>
      <c r="G161" s="19" t="s">
        <v>1816</v>
      </c>
      <c r="H161" s="19" t="s">
        <v>1817</v>
      </c>
      <c r="I161" s="19">
        <v>12</v>
      </c>
      <c r="J161" s="115" t="s">
        <v>1670</v>
      </c>
    </row>
    <row r="162" spans="1:10" x14ac:dyDescent="0.2">
      <c r="A162" s="133" t="s">
        <v>51</v>
      </c>
      <c r="B162" s="19" t="s">
        <v>52</v>
      </c>
      <c r="C162" s="612"/>
      <c r="D162" s="17">
        <v>44383</v>
      </c>
      <c r="E162" s="19" t="s">
        <v>1620</v>
      </c>
      <c r="F162" s="19" t="s">
        <v>1818</v>
      </c>
      <c r="G162" s="19" t="s">
        <v>1819</v>
      </c>
      <c r="H162" s="19" t="s">
        <v>1820</v>
      </c>
      <c r="I162" s="19">
        <v>11</v>
      </c>
      <c r="J162" s="115" t="s">
        <v>487</v>
      </c>
    </row>
    <row r="163" spans="1:10" x14ac:dyDescent="0.2">
      <c r="A163" s="133" t="s">
        <v>159</v>
      </c>
      <c r="B163" s="19" t="s">
        <v>137</v>
      </c>
      <c r="C163" s="612"/>
      <c r="D163" s="17">
        <v>44386</v>
      </c>
      <c r="E163" s="19" t="s">
        <v>1821</v>
      </c>
      <c r="F163" s="19" t="s">
        <v>1822</v>
      </c>
      <c r="G163" s="19" t="s">
        <v>1823</v>
      </c>
      <c r="H163" s="19" t="s">
        <v>1824</v>
      </c>
      <c r="I163" s="19">
        <v>3</v>
      </c>
      <c r="J163" s="115" t="s">
        <v>490</v>
      </c>
    </row>
    <row r="164" spans="1:10" x14ac:dyDescent="0.2">
      <c r="A164" s="133" t="s">
        <v>35</v>
      </c>
      <c r="B164" s="19" t="s">
        <v>137</v>
      </c>
      <c r="C164" s="612"/>
      <c r="D164" s="17">
        <v>44388</v>
      </c>
      <c r="E164" s="19" t="s">
        <v>1825</v>
      </c>
      <c r="F164" s="19" t="s">
        <v>1826</v>
      </c>
      <c r="G164" s="19" t="s">
        <v>1189</v>
      </c>
      <c r="H164" s="19" t="s">
        <v>1827</v>
      </c>
      <c r="I164" s="19">
        <v>2</v>
      </c>
      <c r="J164" s="115" t="s">
        <v>490</v>
      </c>
    </row>
    <row r="165" spans="1:10" x14ac:dyDescent="0.2">
      <c r="A165" s="133" t="s">
        <v>35</v>
      </c>
      <c r="B165" s="19" t="s">
        <v>137</v>
      </c>
      <c r="C165" s="612"/>
      <c r="D165" s="17">
        <v>44388</v>
      </c>
      <c r="E165" s="19" t="s">
        <v>1828</v>
      </c>
      <c r="F165" s="19" t="s">
        <v>1829</v>
      </c>
      <c r="G165" s="19"/>
      <c r="H165" s="19" t="s">
        <v>1830</v>
      </c>
      <c r="I165" s="19">
        <v>5</v>
      </c>
      <c r="J165" s="115" t="s">
        <v>490</v>
      </c>
    </row>
    <row r="166" spans="1:10" x14ac:dyDescent="0.2">
      <c r="A166" s="133" t="s">
        <v>17</v>
      </c>
      <c r="B166" s="19" t="s">
        <v>24</v>
      </c>
      <c r="C166" s="612"/>
      <c r="D166" s="17">
        <v>44389</v>
      </c>
      <c r="E166" s="19" t="s">
        <v>493</v>
      </c>
      <c r="F166" s="19" t="s">
        <v>1831</v>
      </c>
      <c r="G166" s="19" t="s">
        <v>1832</v>
      </c>
      <c r="H166" s="19" t="s">
        <v>1833</v>
      </c>
      <c r="I166" s="19">
        <v>1</v>
      </c>
      <c r="J166" s="115" t="s">
        <v>544</v>
      </c>
    </row>
    <row r="167" spans="1:10" x14ac:dyDescent="0.2">
      <c r="A167" s="133" t="s">
        <v>10</v>
      </c>
      <c r="B167" s="19" t="s">
        <v>2161</v>
      </c>
      <c r="C167" s="612"/>
      <c r="D167" s="17">
        <v>44390</v>
      </c>
      <c r="E167" s="19" t="s">
        <v>966</v>
      </c>
      <c r="F167" s="19" t="s">
        <v>401</v>
      </c>
      <c r="G167" s="19" t="s">
        <v>366</v>
      </c>
      <c r="H167" s="19" t="s">
        <v>1834</v>
      </c>
      <c r="I167" s="19">
        <v>4</v>
      </c>
      <c r="J167" s="115" t="s">
        <v>599</v>
      </c>
    </row>
    <row r="168" spans="1:10" x14ac:dyDescent="0.2">
      <c r="A168" s="133" t="s">
        <v>17</v>
      </c>
      <c r="B168" s="19" t="s">
        <v>24</v>
      </c>
      <c r="C168" s="612"/>
      <c r="D168" s="17">
        <v>44389</v>
      </c>
      <c r="E168" s="19" t="s">
        <v>493</v>
      </c>
      <c r="F168" s="19" t="s">
        <v>1835</v>
      </c>
      <c r="G168" s="19"/>
      <c r="H168" s="19" t="s">
        <v>1833</v>
      </c>
      <c r="I168" s="19">
        <v>1</v>
      </c>
      <c r="J168" s="115" t="s">
        <v>544</v>
      </c>
    </row>
    <row r="169" spans="1:10" x14ac:dyDescent="0.2">
      <c r="A169" s="133" t="s">
        <v>10</v>
      </c>
      <c r="B169" s="19" t="s">
        <v>2161</v>
      </c>
      <c r="C169" s="612"/>
      <c r="D169" s="17">
        <v>44390</v>
      </c>
      <c r="E169" s="19" t="s">
        <v>1836</v>
      </c>
      <c r="F169" s="19" t="s">
        <v>1837</v>
      </c>
      <c r="G169" s="19" t="s">
        <v>366</v>
      </c>
      <c r="H169" s="19" t="s">
        <v>1838</v>
      </c>
      <c r="I169" s="19">
        <v>6</v>
      </c>
      <c r="J169" s="115" t="s">
        <v>599</v>
      </c>
    </row>
    <row r="170" spans="1:10" x14ac:dyDescent="0.2">
      <c r="A170" s="133" t="s">
        <v>10</v>
      </c>
      <c r="B170" s="19" t="s">
        <v>2161</v>
      </c>
      <c r="C170" s="612"/>
      <c r="D170" s="17">
        <v>44390</v>
      </c>
      <c r="E170" s="19" t="s">
        <v>1839</v>
      </c>
      <c r="F170" s="19" t="s">
        <v>1840</v>
      </c>
      <c r="G170" s="19" t="s">
        <v>1417</v>
      </c>
      <c r="H170" s="19" t="s">
        <v>1841</v>
      </c>
      <c r="I170" s="19">
        <v>6</v>
      </c>
      <c r="J170" s="115" t="s">
        <v>544</v>
      </c>
    </row>
    <row r="171" spans="1:10" x14ac:dyDescent="0.2">
      <c r="A171" s="133" t="s">
        <v>10</v>
      </c>
      <c r="B171" s="19" t="s">
        <v>29</v>
      </c>
      <c r="C171" s="612"/>
      <c r="D171" s="17">
        <v>44390</v>
      </c>
      <c r="E171" s="19" t="s">
        <v>1842</v>
      </c>
      <c r="F171" s="19" t="s">
        <v>1343</v>
      </c>
      <c r="G171" s="19" t="s">
        <v>1843</v>
      </c>
      <c r="H171" s="19" t="s">
        <v>1844</v>
      </c>
      <c r="I171" s="19">
        <v>6</v>
      </c>
      <c r="J171" s="115" t="s">
        <v>599</v>
      </c>
    </row>
    <row r="172" spans="1:10" x14ac:dyDescent="0.2">
      <c r="A172" s="133" t="s">
        <v>10</v>
      </c>
      <c r="B172" s="19" t="s">
        <v>2161</v>
      </c>
      <c r="C172" s="612"/>
      <c r="D172" s="17">
        <v>44391</v>
      </c>
      <c r="E172" s="19" t="s">
        <v>1845</v>
      </c>
      <c r="F172" s="19" t="s">
        <v>1846</v>
      </c>
      <c r="G172" s="19" t="s">
        <v>366</v>
      </c>
      <c r="H172" s="19" t="s">
        <v>1847</v>
      </c>
      <c r="I172" s="19">
        <v>3</v>
      </c>
      <c r="J172" s="115" t="s">
        <v>599</v>
      </c>
    </row>
    <row r="173" spans="1:10" x14ac:dyDescent="0.2">
      <c r="A173" s="133" t="s">
        <v>10</v>
      </c>
      <c r="B173" s="19" t="s">
        <v>29</v>
      </c>
      <c r="C173" s="612"/>
      <c r="D173" s="17">
        <v>44391</v>
      </c>
      <c r="E173" s="19" t="s">
        <v>1848</v>
      </c>
      <c r="F173" s="19" t="s">
        <v>1849</v>
      </c>
      <c r="G173" s="19" t="s">
        <v>1343</v>
      </c>
      <c r="H173" s="19" t="s">
        <v>1850</v>
      </c>
      <c r="I173" s="19">
        <v>3</v>
      </c>
      <c r="J173" s="115" t="s">
        <v>525</v>
      </c>
    </row>
    <row r="174" spans="1:10" x14ac:dyDescent="0.2">
      <c r="A174" s="133" t="s">
        <v>35</v>
      </c>
      <c r="B174" s="19" t="s">
        <v>137</v>
      </c>
      <c r="C174" s="612"/>
      <c r="D174" s="17">
        <v>44394</v>
      </c>
      <c r="E174" s="19" t="s">
        <v>1620</v>
      </c>
      <c r="F174" s="19" t="s">
        <v>1851</v>
      </c>
      <c r="G174" s="19" t="s">
        <v>1852</v>
      </c>
      <c r="H174" s="19" t="s">
        <v>1853</v>
      </c>
      <c r="I174" s="19">
        <v>4</v>
      </c>
      <c r="J174" s="115" t="s">
        <v>490</v>
      </c>
    </row>
    <row r="175" spans="1:10" x14ac:dyDescent="0.2">
      <c r="A175" s="133" t="s">
        <v>51</v>
      </c>
      <c r="B175" s="19" t="s">
        <v>52</v>
      </c>
      <c r="C175" s="612"/>
      <c r="D175" s="17">
        <v>44395</v>
      </c>
      <c r="E175" s="19" t="s">
        <v>91</v>
      </c>
      <c r="F175" s="19" t="s">
        <v>1854</v>
      </c>
      <c r="G175" s="19"/>
      <c r="H175" s="19" t="s">
        <v>1855</v>
      </c>
      <c r="I175" s="19">
        <v>6</v>
      </c>
      <c r="J175" s="115" t="s">
        <v>490</v>
      </c>
    </row>
    <row r="176" spans="1:10" x14ac:dyDescent="0.2">
      <c r="A176" s="133" t="s">
        <v>10</v>
      </c>
      <c r="B176" s="19" t="s">
        <v>152</v>
      </c>
      <c r="C176" s="612"/>
      <c r="D176" s="17">
        <v>44397</v>
      </c>
      <c r="E176" s="19" t="s">
        <v>493</v>
      </c>
      <c r="F176" s="19" t="s">
        <v>1856</v>
      </c>
      <c r="G176" s="19" t="s">
        <v>1777</v>
      </c>
      <c r="H176" s="19" t="s">
        <v>1857</v>
      </c>
      <c r="I176" s="19">
        <v>4</v>
      </c>
      <c r="J176" s="115" t="s">
        <v>508</v>
      </c>
    </row>
    <row r="177" spans="1:10" x14ac:dyDescent="0.2">
      <c r="A177" s="133" t="s">
        <v>17</v>
      </c>
      <c r="B177" s="19" t="s">
        <v>24</v>
      </c>
      <c r="C177" s="612"/>
      <c r="D177" s="17">
        <v>44399</v>
      </c>
      <c r="E177" s="19" t="s">
        <v>493</v>
      </c>
      <c r="F177" s="19" t="s">
        <v>1858</v>
      </c>
      <c r="G177" s="19" t="s">
        <v>85</v>
      </c>
      <c r="H177" s="19" t="s">
        <v>1859</v>
      </c>
      <c r="I177" s="19">
        <v>1</v>
      </c>
      <c r="J177" s="115" t="s">
        <v>544</v>
      </c>
    </row>
    <row r="178" spans="1:10" x14ac:dyDescent="0.2">
      <c r="A178" s="133" t="s">
        <v>10</v>
      </c>
      <c r="B178" s="19" t="s">
        <v>137</v>
      </c>
      <c r="C178" s="612"/>
      <c r="D178" s="17">
        <v>44400</v>
      </c>
      <c r="E178" s="19" t="s">
        <v>534</v>
      </c>
      <c r="F178" s="19" t="s">
        <v>1860</v>
      </c>
      <c r="G178" s="19" t="s">
        <v>1163</v>
      </c>
      <c r="H178" s="19" t="s">
        <v>1861</v>
      </c>
      <c r="I178" s="19">
        <v>6</v>
      </c>
      <c r="J178" s="115" t="s">
        <v>490</v>
      </c>
    </row>
    <row r="179" spans="1:10" x14ac:dyDescent="0.2">
      <c r="A179" s="133" t="s">
        <v>10</v>
      </c>
      <c r="B179" s="19" t="s">
        <v>2161</v>
      </c>
      <c r="C179" s="612"/>
      <c r="D179" s="17">
        <v>44402</v>
      </c>
      <c r="E179" s="19" t="s">
        <v>1862</v>
      </c>
      <c r="F179" s="19" t="s">
        <v>1863</v>
      </c>
      <c r="G179" s="19"/>
      <c r="H179" s="19" t="s">
        <v>1864</v>
      </c>
      <c r="I179" s="19">
        <v>6</v>
      </c>
      <c r="J179" s="115" t="s">
        <v>490</v>
      </c>
    </row>
    <row r="180" spans="1:10" x14ac:dyDescent="0.2">
      <c r="A180" s="133" t="s">
        <v>10</v>
      </c>
      <c r="B180" s="19" t="s">
        <v>2161</v>
      </c>
      <c r="C180" s="612"/>
      <c r="D180" s="17">
        <v>44402</v>
      </c>
      <c r="E180" s="19" t="s">
        <v>1865</v>
      </c>
      <c r="F180" s="19" t="s">
        <v>1866</v>
      </c>
      <c r="G180" s="19"/>
      <c r="H180" s="19" t="s">
        <v>1867</v>
      </c>
      <c r="I180" s="19">
        <v>3</v>
      </c>
      <c r="J180" s="115" t="s">
        <v>525</v>
      </c>
    </row>
    <row r="181" spans="1:10" x14ac:dyDescent="0.2">
      <c r="A181" s="133" t="s">
        <v>17</v>
      </c>
      <c r="B181" s="19" t="s">
        <v>24</v>
      </c>
      <c r="C181" s="612"/>
      <c r="D181" s="17">
        <v>44403</v>
      </c>
      <c r="E181" s="19" t="s">
        <v>72</v>
      </c>
      <c r="F181" s="19" t="s">
        <v>1868</v>
      </c>
      <c r="G181" s="19" t="s">
        <v>21</v>
      </c>
      <c r="H181" s="19" t="s">
        <v>28</v>
      </c>
      <c r="I181" s="19">
        <v>1</v>
      </c>
      <c r="J181" s="115" t="s">
        <v>508</v>
      </c>
    </row>
    <row r="182" spans="1:10" x14ac:dyDescent="0.2">
      <c r="A182" s="133" t="s">
        <v>17</v>
      </c>
      <c r="B182" s="19" t="s">
        <v>24</v>
      </c>
      <c r="C182" s="612"/>
      <c r="D182" s="17">
        <v>44403</v>
      </c>
      <c r="E182" s="19" t="s">
        <v>72</v>
      </c>
      <c r="F182" s="19" t="s">
        <v>1869</v>
      </c>
      <c r="G182" s="19" t="s">
        <v>85</v>
      </c>
      <c r="H182" s="19" t="s">
        <v>28</v>
      </c>
      <c r="I182" s="19">
        <v>1</v>
      </c>
      <c r="J182" s="115" t="s">
        <v>508</v>
      </c>
    </row>
    <row r="183" spans="1:10" x14ac:dyDescent="0.2">
      <c r="A183" s="133" t="s">
        <v>17</v>
      </c>
      <c r="B183" s="19" t="s">
        <v>24</v>
      </c>
      <c r="C183" s="612"/>
      <c r="D183" s="17">
        <v>44403</v>
      </c>
      <c r="E183" s="19" t="s">
        <v>368</v>
      </c>
      <c r="F183" s="19" t="s">
        <v>1870</v>
      </c>
      <c r="G183" s="19" t="s">
        <v>381</v>
      </c>
      <c r="H183" s="19" t="s">
        <v>1871</v>
      </c>
      <c r="I183" s="19">
        <v>1</v>
      </c>
      <c r="J183" s="115" t="s">
        <v>544</v>
      </c>
    </row>
    <row r="184" spans="1:10" x14ac:dyDescent="0.2">
      <c r="A184" s="133" t="s">
        <v>10</v>
      </c>
      <c r="B184" s="19" t="s">
        <v>29</v>
      </c>
      <c r="C184" s="612"/>
      <c r="D184" s="17">
        <v>44406</v>
      </c>
      <c r="E184" s="19" t="s">
        <v>57</v>
      </c>
      <c r="F184" s="19" t="s">
        <v>1872</v>
      </c>
      <c r="G184" s="19"/>
      <c r="H184" s="19" t="s">
        <v>1873</v>
      </c>
      <c r="I184" s="19">
        <v>1</v>
      </c>
      <c r="J184" s="115" t="s">
        <v>10</v>
      </c>
    </row>
    <row r="185" spans="1:10" x14ac:dyDescent="0.2">
      <c r="A185" s="133" t="s">
        <v>51</v>
      </c>
      <c r="B185" s="19" t="s">
        <v>397</v>
      </c>
      <c r="C185" s="612"/>
      <c r="D185" s="17">
        <v>44408</v>
      </c>
      <c r="E185" s="19" t="s">
        <v>1874</v>
      </c>
      <c r="F185" s="19" t="s">
        <v>1875</v>
      </c>
      <c r="G185" s="19" t="s">
        <v>1876</v>
      </c>
      <c r="H185" s="19" t="s">
        <v>1877</v>
      </c>
      <c r="I185" s="19">
        <v>5</v>
      </c>
      <c r="J185" s="115" t="s">
        <v>490</v>
      </c>
    </row>
    <row r="186" spans="1:10" x14ac:dyDescent="0.2">
      <c r="A186" s="133" t="s">
        <v>17</v>
      </c>
      <c r="B186" s="19" t="s">
        <v>24</v>
      </c>
      <c r="C186" s="612"/>
      <c r="D186" s="17">
        <v>44410</v>
      </c>
      <c r="E186" s="19" t="s">
        <v>1878</v>
      </c>
      <c r="F186" s="19" t="s">
        <v>1374</v>
      </c>
      <c r="G186" s="19"/>
      <c r="H186" s="19" t="s">
        <v>1879</v>
      </c>
      <c r="I186" s="19">
        <v>1</v>
      </c>
      <c r="J186" s="115" t="s">
        <v>544</v>
      </c>
    </row>
    <row r="187" spans="1:10" x14ac:dyDescent="0.2">
      <c r="A187" s="133" t="s">
        <v>10</v>
      </c>
      <c r="B187" s="19" t="s">
        <v>152</v>
      </c>
      <c r="C187" s="612"/>
      <c r="D187" s="17">
        <v>44378</v>
      </c>
      <c r="E187" s="19" t="s">
        <v>901</v>
      </c>
      <c r="F187" s="19" t="s">
        <v>1880</v>
      </c>
      <c r="G187" s="19" t="s">
        <v>76</v>
      </c>
      <c r="H187" s="19" t="s">
        <v>1881</v>
      </c>
      <c r="I187" s="19">
        <v>1</v>
      </c>
      <c r="J187" s="115" t="s">
        <v>525</v>
      </c>
    </row>
    <row r="188" spans="1:10" x14ac:dyDescent="0.2">
      <c r="A188" s="133" t="s">
        <v>10</v>
      </c>
      <c r="B188" s="19" t="s">
        <v>152</v>
      </c>
      <c r="C188" s="612"/>
      <c r="D188" s="17">
        <v>44396</v>
      </c>
      <c r="E188" s="19" t="s">
        <v>901</v>
      </c>
      <c r="F188" s="19" t="s">
        <v>1882</v>
      </c>
      <c r="G188" s="19"/>
      <c r="H188" s="19" t="s">
        <v>1883</v>
      </c>
      <c r="I188" s="19">
        <v>1</v>
      </c>
      <c r="J188" s="115" t="s">
        <v>167</v>
      </c>
    </row>
    <row r="189" spans="1:10" x14ac:dyDescent="0.2">
      <c r="A189" s="133" t="s">
        <v>17</v>
      </c>
      <c r="B189" s="19" t="s">
        <v>24</v>
      </c>
      <c r="C189" s="612"/>
      <c r="D189" s="17">
        <v>44405</v>
      </c>
      <c r="E189" s="19" t="s">
        <v>493</v>
      </c>
      <c r="F189" s="19" t="s">
        <v>1884</v>
      </c>
      <c r="G189" s="19"/>
      <c r="H189" s="19" t="s">
        <v>1885</v>
      </c>
      <c r="I189" s="19">
        <v>1</v>
      </c>
      <c r="J189" s="115" t="s">
        <v>544</v>
      </c>
    </row>
    <row r="190" spans="1:10" x14ac:dyDescent="0.2">
      <c r="A190" s="133" t="s">
        <v>10</v>
      </c>
      <c r="B190" s="19" t="s">
        <v>2162</v>
      </c>
      <c r="C190" s="613"/>
      <c r="D190" s="17">
        <v>44408</v>
      </c>
      <c r="E190" s="19" t="s">
        <v>1886</v>
      </c>
      <c r="F190" s="19" t="s">
        <v>1887</v>
      </c>
      <c r="G190" s="19"/>
      <c r="H190" s="19" t="s">
        <v>1888</v>
      </c>
      <c r="I190" s="19">
        <v>5</v>
      </c>
      <c r="J190" s="115" t="s">
        <v>525</v>
      </c>
    </row>
    <row r="191" spans="1:10" ht="13.6" x14ac:dyDescent="0.2">
      <c r="A191" s="116" t="s">
        <v>2147</v>
      </c>
      <c r="B191" s="92"/>
      <c r="C191" s="92"/>
      <c r="D191" s="26"/>
      <c r="E191" s="92"/>
      <c r="F191" s="92"/>
      <c r="G191" s="92"/>
      <c r="H191" s="92"/>
      <c r="I191" s="92"/>
      <c r="J191" s="117"/>
    </row>
    <row r="192" spans="1:10" x14ac:dyDescent="0.2">
      <c r="A192" s="133" t="s">
        <v>17</v>
      </c>
      <c r="B192" s="19" t="s">
        <v>24</v>
      </c>
      <c r="C192" s="611">
        <f>COUNTIF(B192:B236,C2)</f>
        <v>0</v>
      </c>
      <c r="D192" s="17">
        <v>44410</v>
      </c>
      <c r="E192" s="19" t="s">
        <v>1878</v>
      </c>
      <c r="F192" s="19" t="s">
        <v>1374</v>
      </c>
      <c r="G192" s="19"/>
      <c r="H192" s="19" t="s">
        <v>1889</v>
      </c>
      <c r="I192" s="19">
        <v>1</v>
      </c>
      <c r="J192" s="115" t="s">
        <v>544</v>
      </c>
    </row>
    <row r="193" spans="1:10" x14ac:dyDescent="0.2">
      <c r="A193" s="133" t="s">
        <v>17</v>
      </c>
      <c r="B193" s="19" t="s">
        <v>24</v>
      </c>
      <c r="C193" s="612"/>
      <c r="D193" s="17">
        <v>44411</v>
      </c>
      <c r="E193" s="19" t="s">
        <v>549</v>
      </c>
      <c r="F193" s="19" t="s">
        <v>1890</v>
      </c>
      <c r="G193" s="19"/>
      <c r="H193" s="19" t="s">
        <v>1891</v>
      </c>
      <c r="I193" s="19">
        <v>1</v>
      </c>
      <c r="J193" s="115" t="s">
        <v>544</v>
      </c>
    </row>
    <row r="194" spans="1:10" x14ac:dyDescent="0.2">
      <c r="A194" s="133" t="s">
        <v>17</v>
      </c>
      <c r="B194" s="19" t="s">
        <v>24</v>
      </c>
      <c r="C194" s="612"/>
      <c r="D194" s="17">
        <v>44411</v>
      </c>
      <c r="E194" s="19" t="s">
        <v>549</v>
      </c>
      <c r="F194" s="19" t="s">
        <v>1892</v>
      </c>
      <c r="G194" s="19"/>
      <c r="H194" s="19" t="s">
        <v>1893</v>
      </c>
      <c r="I194" s="19">
        <v>1</v>
      </c>
      <c r="J194" s="115" t="s">
        <v>544</v>
      </c>
    </row>
    <row r="195" spans="1:10" x14ac:dyDescent="0.2">
      <c r="A195" s="133" t="s">
        <v>17</v>
      </c>
      <c r="B195" s="19" t="s">
        <v>24</v>
      </c>
      <c r="C195" s="612"/>
      <c r="D195" s="17">
        <v>44413</v>
      </c>
      <c r="E195" s="19" t="s">
        <v>133</v>
      </c>
      <c r="F195" s="19" t="s">
        <v>1894</v>
      </c>
      <c r="G195" s="19" t="s">
        <v>1895</v>
      </c>
      <c r="H195" s="19" t="s">
        <v>1896</v>
      </c>
      <c r="I195" s="19">
        <v>1</v>
      </c>
      <c r="J195" s="115" t="s">
        <v>544</v>
      </c>
    </row>
    <row r="196" spans="1:10" x14ac:dyDescent="0.2">
      <c r="A196" s="133" t="s">
        <v>17</v>
      </c>
      <c r="B196" s="19" t="s">
        <v>24</v>
      </c>
      <c r="C196" s="612"/>
      <c r="D196" s="17">
        <v>44413</v>
      </c>
      <c r="E196" s="19" t="s">
        <v>1897</v>
      </c>
      <c r="F196" s="19" t="s">
        <v>1898</v>
      </c>
      <c r="G196" s="19"/>
      <c r="H196" s="19" t="s">
        <v>1899</v>
      </c>
      <c r="I196" s="19">
        <v>1</v>
      </c>
      <c r="J196" s="115" t="s">
        <v>544</v>
      </c>
    </row>
    <row r="197" spans="1:10" x14ac:dyDescent="0.2">
      <c r="A197" s="133" t="s">
        <v>35</v>
      </c>
      <c r="B197" s="19" t="s">
        <v>137</v>
      </c>
      <c r="C197" s="612"/>
      <c r="D197" s="17">
        <v>44413</v>
      </c>
      <c r="E197" s="19" t="s">
        <v>1900</v>
      </c>
      <c r="F197" s="19" t="s">
        <v>606</v>
      </c>
      <c r="G197" s="19"/>
      <c r="H197" s="19" t="s">
        <v>1901</v>
      </c>
      <c r="I197" s="19">
        <v>8</v>
      </c>
      <c r="J197" s="115" t="s">
        <v>599</v>
      </c>
    </row>
    <row r="198" spans="1:10" x14ac:dyDescent="0.2">
      <c r="A198" s="133" t="s">
        <v>10</v>
      </c>
      <c r="B198" s="19" t="s">
        <v>244</v>
      </c>
      <c r="C198" s="612"/>
      <c r="D198" s="17">
        <v>44414</v>
      </c>
      <c r="E198" s="19" t="s">
        <v>1902</v>
      </c>
      <c r="F198" s="19" t="s">
        <v>1903</v>
      </c>
      <c r="G198" s="19" t="s">
        <v>355</v>
      </c>
      <c r="H198" s="19" t="s">
        <v>1904</v>
      </c>
      <c r="I198" s="19">
        <v>4</v>
      </c>
      <c r="J198" s="115" t="s">
        <v>490</v>
      </c>
    </row>
    <row r="199" spans="1:10" x14ac:dyDescent="0.2">
      <c r="A199" s="133" t="s">
        <v>10</v>
      </c>
      <c r="B199" s="19" t="s">
        <v>29</v>
      </c>
      <c r="C199" s="612"/>
      <c r="D199" s="17">
        <v>44417</v>
      </c>
      <c r="E199" s="19" t="s">
        <v>1905</v>
      </c>
      <c r="F199" s="19" t="s">
        <v>1906</v>
      </c>
      <c r="G199" s="19"/>
      <c r="H199" s="19" t="s">
        <v>1907</v>
      </c>
      <c r="I199" s="19">
        <v>2</v>
      </c>
      <c r="J199" s="115" t="s">
        <v>508</v>
      </c>
    </row>
    <row r="200" spans="1:10" x14ac:dyDescent="0.2">
      <c r="A200" s="133" t="s">
        <v>17</v>
      </c>
      <c r="B200" s="19" t="s">
        <v>24</v>
      </c>
      <c r="C200" s="612"/>
      <c r="D200" s="17">
        <v>44417</v>
      </c>
      <c r="E200" s="19" t="s">
        <v>493</v>
      </c>
      <c r="F200" s="19" t="s">
        <v>1908</v>
      </c>
      <c r="G200" s="19"/>
      <c r="H200" s="19" t="s">
        <v>28</v>
      </c>
      <c r="I200" s="19">
        <v>1</v>
      </c>
      <c r="J200" s="115" t="s">
        <v>544</v>
      </c>
    </row>
    <row r="201" spans="1:10" x14ac:dyDescent="0.2">
      <c r="A201" s="133" t="s">
        <v>17</v>
      </c>
      <c r="B201" s="19" t="s">
        <v>24</v>
      </c>
      <c r="C201" s="612"/>
      <c r="D201" s="17">
        <v>44418</v>
      </c>
      <c r="E201" s="19" t="s">
        <v>1909</v>
      </c>
      <c r="F201" s="19" t="s">
        <v>1910</v>
      </c>
      <c r="G201" s="19" t="s">
        <v>1911</v>
      </c>
      <c r="H201" s="19" t="s">
        <v>1912</v>
      </c>
      <c r="I201" s="19">
        <v>1</v>
      </c>
      <c r="J201" s="115" t="s">
        <v>544</v>
      </c>
    </row>
    <row r="202" spans="1:10" x14ac:dyDescent="0.2">
      <c r="A202" s="133" t="s">
        <v>17</v>
      </c>
      <c r="B202" s="19" t="s">
        <v>24</v>
      </c>
      <c r="C202" s="612"/>
      <c r="D202" s="17">
        <v>44418</v>
      </c>
      <c r="E202" s="19" t="s">
        <v>1909</v>
      </c>
      <c r="F202" s="19" t="s">
        <v>1913</v>
      </c>
      <c r="G202" s="19"/>
      <c r="H202" s="19" t="s">
        <v>1914</v>
      </c>
      <c r="I202" s="19">
        <v>1</v>
      </c>
      <c r="J202" s="115" t="s">
        <v>544</v>
      </c>
    </row>
    <row r="203" spans="1:10" x14ac:dyDescent="0.2">
      <c r="A203" s="133" t="s">
        <v>10</v>
      </c>
      <c r="B203" s="19" t="s">
        <v>324</v>
      </c>
      <c r="C203" s="612"/>
      <c r="D203" s="17">
        <v>44418</v>
      </c>
      <c r="E203" s="19" t="s">
        <v>72</v>
      </c>
      <c r="F203" s="19" t="s">
        <v>1915</v>
      </c>
      <c r="G203" s="19" t="s">
        <v>1916</v>
      </c>
      <c r="H203" s="19" t="s">
        <v>1917</v>
      </c>
      <c r="I203" s="19">
        <v>3</v>
      </c>
      <c r="J203" s="115" t="s">
        <v>490</v>
      </c>
    </row>
    <row r="204" spans="1:10" x14ac:dyDescent="0.2">
      <c r="A204" s="133" t="s">
        <v>10</v>
      </c>
      <c r="B204" s="19" t="s">
        <v>324</v>
      </c>
      <c r="C204" s="612"/>
      <c r="D204" s="17">
        <v>44418</v>
      </c>
      <c r="E204" s="19" t="s">
        <v>72</v>
      </c>
      <c r="F204" s="19" t="s">
        <v>1918</v>
      </c>
      <c r="G204" s="19" t="s">
        <v>110</v>
      </c>
      <c r="H204" s="19" t="s">
        <v>1919</v>
      </c>
      <c r="I204" s="19">
        <v>3</v>
      </c>
      <c r="J204" s="115" t="s">
        <v>525</v>
      </c>
    </row>
    <row r="205" spans="1:10" x14ac:dyDescent="0.2">
      <c r="A205" s="133" t="s">
        <v>10</v>
      </c>
      <c r="B205" s="19" t="s">
        <v>324</v>
      </c>
      <c r="C205" s="612"/>
      <c r="D205" s="17">
        <v>44418</v>
      </c>
      <c r="E205" s="19" t="s">
        <v>72</v>
      </c>
      <c r="F205" s="19" t="s">
        <v>1920</v>
      </c>
      <c r="G205" s="19" t="s">
        <v>1777</v>
      </c>
      <c r="H205" s="19" t="s">
        <v>1919</v>
      </c>
      <c r="I205" s="19">
        <v>4</v>
      </c>
      <c r="J205" s="115" t="s">
        <v>599</v>
      </c>
    </row>
    <row r="206" spans="1:10" x14ac:dyDescent="0.2">
      <c r="A206" s="133" t="s">
        <v>10</v>
      </c>
      <c r="B206" s="19" t="s">
        <v>324</v>
      </c>
      <c r="C206" s="612"/>
      <c r="D206" s="17">
        <v>44418</v>
      </c>
      <c r="E206" s="19" t="s">
        <v>72</v>
      </c>
      <c r="F206" s="19" t="s">
        <v>1921</v>
      </c>
      <c r="G206" s="19" t="s">
        <v>1343</v>
      </c>
      <c r="H206" s="19" t="s">
        <v>1919</v>
      </c>
      <c r="I206" s="19">
        <v>3</v>
      </c>
      <c r="J206" s="115" t="s">
        <v>490</v>
      </c>
    </row>
    <row r="207" spans="1:10" x14ac:dyDescent="0.2">
      <c r="A207" s="133" t="s">
        <v>10</v>
      </c>
      <c r="B207" s="19" t="s">
        <v>324</v>
      </c>
      <c r="C207" s="612"/>
      <c r="D207" s="17">
        <v>44418</v>
      </c>
      <c r="E207" s="19" t="s">
        <v>72</v>
      </c>
      <c r="F207" s="19" t="s">
        <v>1922</v>
      </c>
      <c r="G207" s="19" t="s">
        <v>95</v>
      </c>
      <c r="H207" s="19" t="s">
        <v>1919</v>
      </c>
      <c r="I207" s="19">
        <v>3</v>
      </c>
      <c r="J207" s="115" t="s">
        <v>490</v>
      </c>
    </row>
    <row r="208" spans="1:10" x14ac:dyDescent="0.2">
      <c r="A208" s="133" t="s">
        <v>10</v>
      </c>
      <c r="B208" s="19" t="s">
        <v>324</v>
      </c>
      <c r="C208" s="612"/>
      <c r="D208" s="17">
        <v>44418</v>
      </c>
      <c r="E208" s="19" t="s">
        <v>72</v>
      </c>
      <c r="F208" s="19" t="s">
        <v>1923</v>
      </c>
      <c r="G208" s="19" t="s">
        <v>95</v>
      </c>
      <c r="H208" s="19" t="s">
        <v>1919</v>
      </c>
      <c r="I208" s="19">
        <v>3</v>
      </c>
      <c r="J208" s="115" t="s">
        <v>490</v>
      </c>
    </row>
    <row r="209" spans="1:10" x14ac:dyDescent="0.2">
      <c r="A209" s="133" t="s">
        <v>10</v>
      </c>
      <c r="B209" s="19" t="s">
        <v>324</v>
      </c>
      <c r="C209" s="612"/>
      <c r="D209" s="17">
        <v>44418</v>
      </c>
      <c r="E209" s="19" t="s">
        <v>72</v>
      </c>
      <c r="F209" s="19" t="s">
        <v>1924</v>
      </c>
      <c r="G209" s="19"/>
      <c r="H209" s="19" t="s">
        <v>1919</v>
      </c>
      <c r="I209" s="19">
        <v>4</v>
      </c>
      <c r="J209" s="115" t="s">
        <v>508</v>
      </c>
    </row>
    <row r="210" spans="1:10" x14ac:dyDescent="0.2">
      <c r="A210" s="133" t="s">
        <v>10</v>
      </c>
      <c r="B210" s="19" t="s">
        <v>324</v>
      </c>
      <c r="C210" s="612"/>
      <c r="D210" s="17">
        <v>44418</v>
      </c>
      <c r="E210" s="19" t="s">
        <v>72</v>
      </c>
      <c r="F210" s="19" t="s">
        <v>1925</v>
      </c>
      <c r="G210" s="19" t="s">
        <v>95</v>
      </c>
      <c r="H210" s="19" t="s">
        <v>1919</v>
      </c>
      <c r="I210" s="19">
        <v>3</v>
      </c>
      <c r="J210" s="115" t="s">
        <v>490</v>
      </c>
    </row>
    <row r="211" spans="1:10" x14ac:dyDescent="0.2">
      <c r="A211" s="133" t="s">
        <v>10</v>
      </c>
      <c r="B211" s="19" t="s">
        <v>324</v>
      </c>
      <c r="C211" s="612"/>
      <c r="D211" s="17">
        <v>44418</v>
      </c>
      <c r="E211" s="19" t="s">
        <v>72</v>
      </c>
      <c r="F211" s="19" t="s">
        <v>1926</v>
      </c>
      <c r="G211" s="19" t="s">
        <v>1927</v>
      </c>
      <c r="H211" s="19" t="s">
        <v>1919</v>
      </c>
      <c r="I211" s="19">
        <v>4</v>
      </c>
      <c r="J211" s="115" t="s">
        <v>508</v>
      </c>
    </row>
    <row r="212" spans="1:10" x14ac:dyDescent="0.2">
      <c r="A212" s="133" t="s">
        <v>10</v>
      </c>
      <c r="B212" s="19" t="s">
        <v>324</v>
      </c>
      <c r="C212" s="612"/>
      <c r="D212" s="17">
        <v>44418</v>
      </c>
      <c r="E212" s="19" t="s">
        <v>72</v>
      </c>
      <c r="F212" s="19" t="s">
        <v>1928</v>
      </c>
      <c r="G212" s="19" t="s">
        <v>110</v>
      </c>
      <c r="H212" s="19" t="s">
        <v>1919</v>
      </c>
      <c r="I212" s="19">
        <v>3</v>
      </c>
      <c r="J212" s="115" t="s">
        <v>525</v>
      </c>
    </row>
    <row r="213" spans="1:10" x14ac:dyDescent="0.2">
      <c r="A213" s="133" t="s">
        <v>10</v>
      </c>
      <c r="B213" s="19" t="s">
        <v>2161</v>
      </c>
      <c r="C213" s="612"/>
      <c r="D213" s="17">
        <v>44418</v>
      </c>
      <c r="E213" s="19" t="s">
        <v>57</v>
      </c>
      <c r="F213" s="19" t="s">
        <v>1929</v>
      </c>
      <c r="G213" s="19"/>
      <c r="H213" s="19" t="s">
        <v>1930</v>
      </c>
      <c r="I213" s="19">
        <v>5</v>
      </c>
      <c r="J213" s="115" t="s">
        <v>525</v>
      </c>
    </row>
    <row r="214" spans="1:10" x14ac:dyDescent="0.2">
      <c r="A214" s="133" t="s">
        <v>10</v>
      </c>
      <c r="B214" s="19" t="s">
        <v>2161</v>
      </c>
      <c r="C214" s="612"/>
      <c r="D214" s="17">
        <v>44419</v>
      </c>
      <c r="E214" s="19" t="s">
        <v>549</v>
      </c>
      <c r="F214" s="19" t="s">
        <v>1931</v>
      </c>
      <c r="G214" s="19"/>
      <c r="H214" s="19" t="s">
        <v>1932</v>
      </c>
      <c r="I214" s="19">
        <v>4</v>
      </c>
      <c r="J214" s="115" t="s">
        <v>599</v>
      </c>
    </row>
    <row r="215" spans="1:10" x14ac:dyDescent="0.2">
      <c r="A215" s="133" t="s">
        <v>10</v>
      </c>
      <c r="B215" s="19" t="s">
        <v>2161</v>
      </c>
      <c r="C215" s="612"/>
      <c r="D215" s="17">
        <v>44451</v>
      </c>
      <c r="E215" s="19" t="s">
        <v>1933</v>
      </c>
      <c r="F215" s="19" t="s">
        <v>139</v>
      </c>
      <c r="G215" s="19"/>
      <c r="H215" s="19" t="s">
        <v>1934</v>
      </c>
      <c r="I215" s="19">
        <v>2</v>
      </c>
      <c r="J215" s="115" t="s">
        <v>599</v>
      </c>
    </row>
    <row r="216" spans="1:10" x14ac:dyDescent="0.2">
      <c r="A216" s="133" t="s">
        <v>10</v>
      </c>
      <c r="B216" s="19" t="s">
        <v>29</v>
      </c>
      <c r="C216" s="612"/>
      <c r="D216" s="17">
        <v>44420</v>
      </c>
      <c r="E216" s="19" t="s">
        <v>537</v>
      </c>
      <c r="F216" s="19" t="s">
        <v>1935</v>
      </c>
      <c r="G216" s="19" t="s">
        <v>39</v>
      </c>
      <c r="H216" s="19" t="s">
        <v>1936</v>
      </c>
      <c r="I216" s="19">
        <v>5</v>
      </c>
      <c r="J216" s="115" t="s">
        <v>599</v>
      </c>
    </row>
    <row r="217" spans="1:10" x14ac:dyDescent="0.2">
      <c r="A217" s="133" t="s">
        <v>51</v>
      </c>
      <c r="B217" s="19" t="s">
        <v>481</v>
      </c>
      <c r="C217" s="612"/>
      <c r="D217" s="17">
        <v>44421</v>
      </c>
      <c r="E217" s="19" t="s">
        <v>1937</v>
      </c>
      <c r="F217" s="19" t="s">
        <v>1938</v>
      </c>
      <c r="G217" s="19" t="s">
        <v>95</v>
      </c>
      <c r="H217" s="19" t="s">
        <v>1939</v>
      </c>
      <c r="I217" s="19">
        <v>10</v>
      </c>
      <c r="J217" s="115" t="s">
        <v>540</v>
      </c>
    </row>
    <row r="218" spans="1:10" x14ac:dyDescent="0.2">
      <c r="A218" s="133" t="s">
        <v>10</v>
      </c>
      <c r="B218" s="19" t="s">
        <v>888</v>
      </c>
      <c r="C218" s="612"/>
      <c r="D218" s="17">
        <v>44423</v>
      </c>
      <c r="E218" s="19" t="s">
        <v>37</v>
      </c>
      <c r="F218" s="19" t="s">
        <v>1940</v>
      </c>
      <c r="G218" s="19" t="s">
        <v>1160</v>
      </c>
      <c r="H218" s="19" t="s">
        <v>1941</v>
      </c>
      <c r="I218" s="19">
        <v>3</v>
      </c>
      <c r="J218" s="115" t="s">
        <v>525</v>
      </c>
    </row>
    <row r="219" spans="1:10" x14ac:dyDescent="0.2">
      <c r="A219" s="133" t="s">
        <v>17</v>
      </c>
      <c r="B219" s="19" t="s">
        <v>24</v>
      </c>
      <c r="C219" s="612"/>
      <c r="D219" s="17">
        <v>44425</v>
      </c>
      <c r="E219" s="19" t="s">
        <v>493</v>
      </c>
      <c r="F219" s="19" t="s">
        <v>1942</v>
      </c>
      <c r="G219" s="19" t="s">
        <v>1943</v>
      </c>
      <c r="H219" s="19" t="s">
        <v>1944</v>
      </c>
      <c r="I219" s="19">
        <v>1</v>
      </c>
      <c r="J219" s="115" t="s">
        <v>544</v>
      </c>
    </row>
    <row r="220" spans="1:10" x14ac:dyDescent="0.2">
      <c r="A220" s="133" t="s">
        <v>17</v>
      </c>
      <c r="B220" s="19" t="s">
        <v>24</v>
      </c>
      <c r="C220" s="612"/>
      <c r="D220" s="17">
        <v>44426</v>
      </c>
      <c r="E220" s="19" t="s">
        <v>1945</v>
      </c>
      <c r="F220" s="19" t="s">
        <v>1946</v>
      </c>
      <c r="G220" s="19"/>
      <c r="H220" s="19" t="s">
        <v>1947</v>
      </c>
      <c r="I220" s="19">
        <v>1</v>
      </c>
      <c r="J220" s="115" t="s">
        <v>544</v>
      </c>
    </row>
    <row r="221" spans="1:10" x14ac:dyDescent="0.2">
      <c r="A221" s="133" t="s">
        <v>17</v>
      </c>
      <c r="B221" s="19" t="s">
        <v>24</v>
      </c>
      <c r="C221" s="612"/>
      <c r="D221" s="17">
        <v>44426</v>
      </c>
      <c r="E221" s="19" t="s">
        <v>1948</v>
      </c>
      <c r="F221" s="19" t="s">
        <v>1949</v>
      </c>
      <c r="G221" s="19" t="s">
        <v>281</v>
      </c>
      <c r="H221" s="19" t="s">
        <v>28</v>
      </c>
      <c r="I221" s="19">
        <v>1</v>
      </c>
      <c r="J221" s="115" t="s">
        <v>544</v>
      </c>
    </row>
    <row r="222" spans="1:10" x14ac:dyDescent="0.2">
      <c r="A222" s="133" t="s">
        <v>10</v>
      </c>
      <c r="B222" s="19" t="s">
        <v>29</v>
      </c>
      <c r="C222" s="612"/>
      <c r="D222" s="17">
        <v>44427</v>
      </c>
      <c r="E222" s="19" t="s">
        <v>486</v>
      </c>
      <c r="F222" s="19" t="s">
        <v>1906</v>
      </c>
      <c r="G222" s="19"/>
      <c r="H222" s="19" t="s">
        <v>1950</v>
      </c>
      <c r="I222" s="19">
        <v>4</v>
      </c>
      <c r="J222" s="115" t="s">
        <v>599</v>
      </c>
    </row>
    <row r="223" spans="1:10" x14ac:dyDescent="0.2">
      <c r="A223" s="133" t="s">
        <v>10</v>
      </c>
      <c r="B223" s="19" t="s">
        <v>2161</v>
      </c>
      <c r="C223" s="612"/>
      <c r="D223" s="17">
        <v>44427</v>
      </c>
      <c r="E223" s="19" t="s">
        <v>1951</v>
      </c>
      <c r="F223" s="19" t="s">
        <v>1952</v>
      </c>
      <c r="G223" s="19"/>
      <c r="H223" s="19" t="s">
        <v>1953</v>
      </c>
      <c r="I223" s="19">
        <v>7</v>
      </c>
      <c r="J223" s="115" t="s">
        <v>1670</v>
      </c>
    </row>
    <row r="224" spans="1:10" x14ac:dyDescent="0.2">
      <c r="A224" s="133" t="s">
        <v>17</v>
      </c>
      <c r="B224" s="19" t="s">
        <v>24</v>
      </c>
      <c r="C224" s="612"/>
      <c r="D224" s="17">
        <v>44428</v>
      </c>
      <c r="E224" s="19" t="s">
        <v>549</v>
      </c>
      <c r="F224" s="19" t="s">
        <v>292</v>
      </c>
      <c r="G224" s="19"/>
      <c r="H224" s="19" t="s">
        <v>28</v>
      </c>
      <c r="I224" s="19">
        <v>1</v>
      </c>
      <c r="J224" s="115" t="s">
        <v>544</v>
      </c>
    </row>
    <row r="225" spans="1:10" x14ac:dyDescent="0.2">
      <c r="A225" s="133" t="s">
        <v>51</v>
      </c>
      <c r="B225" s="19" t="s">
        <v>397</v>
      </c>
      <c r="C225" s="612"/>
      <c r="D225" s="17">
        <v>44430</v>
      </c>
      <c r="E225" s="19" t="s">
        <v>671</v>
      </c>
      <c r="F225" s="19" t="s">
        <v>274</v>
      </c>
      <c r="G225" s="19"/>
      <c r="H225" s="19" t="s">
        <v>1954</v>
      </c>
      <c r="I225" s="19">
        <v>6</v>
      </c>
      <c r="J225" s="115" t="s">
        <v>490</v>
      </c>
    </row>
    <row r="226" spans="1:10" x14ac:dyDescent="0.2">
      <c r="A226" s="133" t="s">
        <v>10</v>
      </c>
      <c r="B226" s="19" t="s">
        <v>2162</v>
      </c>
      <c r="C226" s="612"/>
      <c r="D226" s="17">
        <v>44430</v>
      </c>
      <c r="E226" s="19" t="s">
        <v>901</v>
      </c>
      <c r="F226" s="19" t="s">
        <v>1955</v>
      </c>
      <c r="G226" s="19"/>
      <c r="H226" s="19" t="s">
        <v>1956</v>
      </c>
      <c r="I226" s="19">
        <v>4</v>
      </c>
      <c r="J226" s="115" t="s">
        <v>599</v>
      </c>
    </row>
    <row r="227" spans="1:10" x14ac:dyDescent="0.2">
      <c r="A227" s="133" t="s">
        <v>17</v>
      </c>
      <c r="B227" s="19" t="s">
        <v>2162</v>
      </c>
      <c r="C227" s="612"/>
      <c r="D227" s="17">
        <v>44432</v>
      </c>
      <c r="E227" s="19" t="s">
        <v>1957</v>
      </c>
      <c r="F227" s="19" t="s">
        <v>1958</v>
      </c>
      <c r="G227" s="19" t="s">
        <v>1959</v>
      </c>
      <c r="H227" s="19" t="s">
        <v>1960</v>
      </c>
      <c r="I227" s="19">
        <v>2</v>
      </c>
      <c r="J227" s="115" t="s">
        <v>525</v>
      </c>
    </row>
    <row r="228" spans="1:10" x14ac:dyDescent="0.2">
      <c r="A228" s="133" t="s">
        <v>17</v>
      </c>
      <c r="B228" s="19" t="s">
        <v>24</v>
      </c>
      <c r="C228" s="612"/>
      <c r="D228" s="17">
        <v>44434</v>
      </c>
      <c r="E228" s="19" t="s">
        <v>368</v>
      </c>
      <c r="F228" s="19" t="s">
        <v>1961</v>
      </c>
      <c r="G228" s="19" t="s">
        <v>27</v>
      </c>
      <c r="H228" s="19" t="s">
        <v>1962</v>
      </c>
      <c r="I228" s="19">
        <v>1</v>
      </c>
      <c r="J228" s="115" t="s">
        <v>544</v>
      </c>
    </row>
    <row r="229" spans="1:10" x14ac:dyDescent="0.2">
      <c r="A229" s="133" t="s">
        <v>17</v>
      </c>
      <c r="B229" s="19" t="s">
        <v>24</v>
      </c>
      <c r="C229" s="612"/>
      <c r="D229" s="17">
        <v>44434</v>
      </c>
      <c r="E229" s="19" t="s">
        <v>37</v>
      </c>
      <c r="F229" s="19" t="s">
        <v>1963</v>
      </c>
      <c r="G229" s="19" t="s">
        <v>27</v>
      </c>
      <c r="H229" s="19" t="s">
        <v>773</v>
      </c>
      <c r="I229" s="19">
        <v>1</v>
      </c>
      <c r="J229" s="115" t="s">
        <v>544</v>
      </c>
    </row>
    <row r="230" spans="1:10" x14ac:dyDescent="0.2">
      <c r="A230" s="133" t="s">
        <v>10</v>
      </c>
      <c r="B230" s="19" t="s">
        <v>29</v>
      </c>
      <c r="C230" s="612"/>
      <c r="D230" s="17">
        <v>44434</v>
      </c>
      <c r="E230" s="19" t="s">
        <v>549</v>
      </c>
      <c r="F230" s="19" t="s">
        <v>1964</v>
      </c>
      <c r="G230" s="19"/>
      <c r="H230" s="19" t="s">
        <v>1965</v>
      </c>
      <c r="I230" s="19">
        <v>1</v>
      </c>
      <c r="J230" s="115" t="s">
        <v>544</v>
      </c>
    </row>
    <row r="231" spans="1:10" x14ac:dyDescent="0.2">
      <c r="A231" s="133" t="s">
        <v>17</v>
      </c>
      <c r="B231" s="19" t="s">
        <v>24</v>
      </c>
      <c r="C231" s="612"/>
      <c r="D231" s="17">
        <v>44434</v>
      </c>
      <c r="E231" s="19" t="s">
        <v>486</v>
      </c>
      <c r="F231" s="19" t="s">
        <v>1966</v>
      </c>
      <c r="G231" s="19"/>
      <c r="H231" s="19" t="s">
        <v>1944</v>
      </c>
      <c r="I231" s="19">
        <v>1</v>
      </c>
      <c r="J231" s="115" t="s">
        <v>544</v>
      </c>
    </row>
    <row r="232" spans="1:10" x14ac:dyDescent="0.2">
      <c r="A232" s="133" t="s">
        <v>17</v>
      </c>
      <c r="B232" s="19" t="s">
        <v>24</v>
      </c>
      <c r="C232" s="612"/>
      <c r="D232" s="17">
        <v>44435</v>
      </c>
      <c r="E232" s="19" t="s">
        <v>1937</v>
      </c>
      <c r="F232" s="19" t="s">
        <v>1967</v>
      </c>
      <c r="G232" s="19"/>
      <c r="H232" s="19" t="s">
        <v>28</v>
      </c>
      <c r="I232" s="19">
        <v>1</v>
      </c>
      <c r="J232" s="115" t="s">
        <v>544</v>
      </c>
    </row>
    <row r="233" spans="1:10" x14ac:dyDescent="0.2">
      <c r="A233" s="133" t="s">
        <v>10</v>
      </c>
      <c r="B233" s="19" t="s">
        <v>2162</v>
      </c>
      <c r="C233" s="612"/>
      <c r="D233" s="17">
        <v>44468</v>
      </c>
      <c r="E233" s="19" t="s">
        <v>1968</v>
      </c>
      <c r="F233" s="19" t="s">
        <v>1969</v>
      </c>
      <c r="G233" s="19"/>
      <c r="H233" s="19" t="s">
        <v>1970</v>
      </c>
      <c r="I233" s="19">
        <v>3</v>
      </c>
      <c r="J233" s="115" t="s">
        <v>525</v>
      </c>
    </row>
    <row r="234" spans="1:10" x14ac:dyDescent="0.2">
      <c r="A234" s="133" t="s">
        <v>10</v>
      </c>
      <c r="B234" s="19" t="s">
        <v>2162</v>
      </c>
      <c r="C234" s="612"/>
      <c r="D234" s="17">
        <v>44438</v>
      </c>
      <c r="E234" s="19" t="s">
        <v>486</v>
      </c>
      <c r="F234" s="19" t="s">
        <v>1971</v>
      </c>
      <c r="G234" s="19"/>
      <c r="H234" s="19" t="s">
        <v>1972</v>
      </c>
      <c r="I234" s="19">
        <v>2</v>
      </c>
      <c r="J234" s="115" t="s">
        <v>490</v>
      </c>
    </row>
    <row r="235" spans="1:10" x14ac:dyDescent="0.2">
      <c r="A235" s="133" t="s">
        <v>10</v>
      </c>
      <c r="B235" s="19" t="s">
        <v>11</v>
      </c>
      <c r="C235" s="612"/>
      <c r="D235" s="17">
        <v>44439</v>
      </c>
      <c r="E235" s="19" t="s">
        <v>91</v>
      </c>
      <c r="F235" s="19" t="s">
        <v>1973</v>
      </c>
      <c r="G235" s="19" t="s">
        <v>355</v>
      </c>
      <c r="H235" s="19" t="s">
        <v>844</v>
      </c>
      <c r="I235" s="19">
        <v>4</v>
      </c>
      <c r="J235" s="115" t="s">
        <v>599</v>
      </c>
    </row>
    <row r="236" spans="1:10" x14ac:dyDescent="0.2">
      <c r="A236" s="133" t="s">
        <v>10</v>
      </c>
      <c r="B236" s="19" t="s">
        <v>11</v>
      </c>
      <c r="C236" s="613"/>
      <c r="D236" s="17">
        <v>44439</v>
      </c>
      <c r="E236" s="19" t="s">
        <v>57</v>
      </c>
      <c r="F236" s="19" t="s">
        <v>1974</v>
      </c>
      <c r="G236" s="19" t="s">
        <v>1975</v>
      </c>
      <c r="H236" s="19" t="s">
        <v>844</v>
      </c>
      <c r="I236" s="19">
        <v>6</v>
      </c>
      <c r="J236" s="115" t="s">
        <v>490</v>
      </c>
    </row>
    <row r="237" spans="1:10" ht="13.6" x14ac:dyDescent="0.2">
      <c r="A237" s="116" t="s">
        <v>2148</v>
      </c>
      <c r="B237" s="92"/>
      <c r="C237" s="92"/>
      <c r="D237" s="26"/>
      <c r="E237" s="92"/>
      <c r="F237" s="92"/>
      <c r="G237" s="92"/>
      <c r="H237" s="92"/>
      <c r="I237" s="92"/>
      <c r="J237" s="117"/>
    </row>
    <row r="238" spans="1:10" x14ac:dyDescent="0.2">
      <c r="A238" s="133" t="s">
        <v>51</v>
      </c>
      <c r="B238" s="19" t="s">
        <v>397</v>
      </c>
      <c r="C238" s="611">
        <f>COUNTIF(B238:B267,C2)</f>
        <v>0</v>
      </c>
      <c r="D238" s="17">
        <v>44444</v>
      </c>
      <c r="E238" s="19" t="s">
        <v>1976</v>
      </c>
      <c r="F238" s="19" t="s">
        <v>1977</v>
      </c>
      <c r="G238" s="19" t="s">
        <v>1978</v>
      </c>
      <c r="H238" s="19" t="s">
        <v>1979</v>
      </c>
      <c r="I238" s="19">
        <v>10</v>
      </c>
      <c r="J238" s="115" t="s">
        <v>1670</v>
      </c>
    </row>
    <row r="239" spans="1:10" x14ac:dyDescent="0.2">
      <c r="A239" s="133" t="s">
        <v>10</v>
      </c>
      <c r="B239" s="19" t="s">
        <v>888</v>
      </c>
      <c r="C239" s="612"/>
      <c r="D239" s="17">
        <v>44444</v>
      </c>
      <c r="E239" s="19" t="s">
        <v>493</v>
      </c>
      <c r="F239" s="19" t="s">
        <v>1334</v>
      </c>
      <c r="G239" s="19"/>
      <c r="H239" s="19" t="s">
        <v>1980</v>
      </c>
      <c r="I239" s="19">
        <v>7</v>
      </c>
      <c r="J239" s="115" t="s">
        <v>490</v>
      </c>
    </row>
    <row r="240" spans="1:10" x14ac:dyDescent="0.2">
      <c r="A240" s="133" t="s">
        <v>17</v>
      </c>
      <c r="B240" s="19" t="s">
        <v>24</v>
      </c>
      <c r="C240" s="612"/>
      <c r="D240" s="17">
        <v>44445</v>
      </c>
      <c r="E240" s="19" t="s">
        <v>1981</v>
      </c>
      <c r="F240" s="19" t="s">
        <v>1982</v>
      </c>
      <c r="G240" s="19"/>
      <c r="H240" s="19" t="s">
        <v>1809</v>
      </c>
      <c r="I240" s="19">
        <v>1</v>
      </c>
      <c r="J240" s="115" t="s">
        <v>544</v>
      </c>
    </row>
    <row r="241" spans="1:10" x14ac:dyDescent="0.2">
      <c r="A241" s="133" t="s">
        <v>35</v>
      </c>
      <c r="B241" s="19" t="s">
        <v>137</v>
      </c>
      <c r="C241" s="612"/>
      <c r="D241" s="17">
        <v>44447</v>
      </c>
      <c r="E241" s="19" t="s">
        <v>45</v>
      </c>
      <c r="F241" s="19" t="s">
        <v>1983</v>
      </c>
      <c r="G241" s="19" t="s">
        <v>95</v>
      </c>
      <c r="H241" s="19" t="s">
        <v>1984</v>
      </c>
      <c r="I241" s="19">
        <v>3</v>
      </c>
      <c r="J241" s="115" t="s">
        <v>525</v>
      </c>
    </row>
    <row r="242" spans="1:10" x14ac:dyDescent="0.2">
      <c r="A242" s="133" t="s">
        <v>10</v>
      </c>
      <c r="B242" s="19" t="s">
        <v>29</v>
      </c>
      <c r="C242" s="612"/>
      <c r="D242" s="17">
        <v>44447</v>
      </c>
      <c r="E242" s="19" t="s">
        <v>1639</v>
      </c>
      <c r="F242" s="19" t="s">
        <v>1985</v>
      </c>
      <c r="G242" s="19" t="s">
        <v>1986</v>
      </c>
      <c r="H242" s="19" t="s">
        <v>1987</v>
      </c>
      <c r="I242" s="19">
        <v>3</v>
      </c>
      <c r="J242" s="115" t="s">
        <v>525</v>
      </c>
    </row>
    <row r="243" spans="1:10" x14ac:dyDescent="0.2">
      <c r="A243" s="133" t="s">
        <v>10</v>
      </c>
      <c r="B243" s="19" t="s">
        <v>2161</v>
      </c>
      <c r="C243" s="612"/>
      <c r="D243" s="17">
        <v>44448</v>
      </c>
      <c r="E243" s="19" t="s">
        <v>500</v>
      </c>
      <c r="F243" s="19" t="s">
        <v>139</v>
      </c>
      <c r="G243" s="19"/>
      <c r="H243" s="19" t="s">
        <v>1988</v>
      </c>
      <c r="I243" s="19">
        <v>2</v>
      </c>
      <c r="J243" s="115" t="s">
        <v>525</v>
      </c>
    </row>
    <row r="244" spans="1:10" x14ac:dyDescent="0.2">
      <c r="A244" s="133" t="s">
        <v>35</v>
      </c>
      <c r="B244" s="19" t="s">
        <v>137</v>
      </c>
      <c r="C244" s="612"/>
      <c r="D244" s="17">
        <v>44449</v>
      </c>
      <c r="E244" s="19" t="s">
        <v>1981</v>
      </c>
      <c r="F244" s="19" t="s">
        <v>1989</v>
      </c>
      <c r="G244" s="19"/>
      <c r="H244" s="19" t="s">
        <v>1990</v>
      </c>
      <c r="I244" s="19">
        <v>3</v>
      </c>
      <c r="J244" s="115" t="s">
        <v>490</v>
      </c>
    </row>
    <row r="245" spans="1:10" x14ac:dyDescent="0.2">
      <c r="A245" s="133" t="s">
        <v>10</v>
      </c>
      <c r="B245" s="19" t="s">
        <v>29</v>
      </c>
      <c r="C245" s="612"/>
      <c r="D245" s="17">
        <v>44449</v>
      </c>
      <c r="E245" s="19" t="s">
        <v>486</v>
      </c>
      <c r="F245" s="19" t="s">
        <v>1991</v>
      </c>
      <c r="G245" s="19"/>
      <c r="H245" s="19" t="s">
        <v>29</v>
      </c>
      <c r="I245" s="19">
        <v>4</v>
      </c>
      <c r="J245" s="115" t="s">
        <v>599</v>
      </c>
    </row>
    <row r="246" spans="1:10" x14ac:dyDescent="0.2">
      <c r="A246" s="133" t="s">
        <v>10</v>
      </c>
      <c r="B246" s="19" t="s">
        <v>29</v>
      </c>
      <c r="C246" s="612"/>
      <c r="D246" s="17" t="s">
        <v>1992</v>
      </c>
      <c r="E246" s="19">
        <v>2.4</v>
      </c>
      <c r="F246" s="19" t="s">
        <v>1993</v>
      </c>
      <c r="G246" s="19" t="s">
        <v>85</v>
      </c>
      <c r="H246" s="19" t="s">
        <v>1994</v>
      </c>
      <c r="I246" s="19">
        <v>4</v>
      </c>
      <c r="J246" s="115" t="s">
        <v>599</v>
      </c>
    </row>
    <row r="247" spans="1:10" x14ac:dyDescent="0.2">
      <c r="A247" s="133" t="s">
        <v>35</v>
      </c>
      <c r="B247" s="19" t="s">
        <v>137</v>
      </c>
      <c r="C247" s="612"/>
      <c r="D247" s="17">
        <v>44450</v>
      </c>
      <c r="E247" s="19" t="s">
        <v>343</v>
      </c>
      <c r="F247" s="19" t="s">
        <v>1995</v>
      </c>
      <c r="G247" s="19" t="s">
        <v>1996</v>
      </c>
      <c r="H247" s="19" t="s">
        <v>1997</v>
      </c>
      <c r="I247" s="19">
        <v>3</v>
      </c>
      <c r="J247" s="115" t="s">
        <v>490</v>
      </c>
    </row>
    <row r="248" spans="1:10" x14ac:dyDescent="0.2">
      <c r="A248" s="133" t="s">
        <v>10</v>
      </c>
      <c r="B248" s="19" t="s">
        <v>11</v>
      </c>
      <c r="C248" s="612"/>
      <c r="D248" s="17">
        <v>44453</v>
      </c>
      <c r="E248" s="19" t="s">
        <v>493</v>
      </c>
      <c r="F248" s="19" t="s">
        <v>1998</v>
      </c>
      <c r="G248" s="19" t="s">
        <v>1999</v>
      </c>
      <c r="H248" s="19" t="s">
        <v>2000</v>
      </c>
      <c r="I248" s="19">
        <v>5</v>
      </c>
      <c r="J248" s="115" t="s">
        <v>490</v>
      </c>
    </row>
    <row r="249" spans="1:10" x14ac:dyDescent="0.2">
      <c r="A249" s="133" t="s">
        <v>10</v>
      </c>
      <c r="B249" s="19" t="s">
        <v>11</v>
      </c>
      <c r="C249" s="612"/>
      <c r="D249" s="17">
        <v>44454</v>
      </c>
      <c r="E249" s="19" t="s">
        <v>2001</v>
      </c>
      <c r="F249" s="19" t="s">
        <v>2002</v>
      </c>
      <c r="G249" s="19" t="s">
        <v>1876</v>
      </c>
      <c r="H249" s="19" t="s">
        <v>2003</v>
      </c>
      <c r="I249" s="19">
        <v>5</v>
      </c>
      <c r="J249" s="115" t="s">
        <v>490</v>
      </c>
    </row>
    <row r="250" spans="1:10" x14ac:dyDescent="0.2">
      <c r="A250" s="133" t="s">
        <v>10</v>
      </c>
      <c r="B250" s="19" t="s">
        <v>324</v>
      </c>
      <c r="C250" s="612"/>
      <c r="D250" s="17">
        <v>44454</v>
      </c>
      <c r="E250" s="19" t="s">
        <v>671</v>
      </c>
      <c r="F250" s="19" t="s">
        <v>2004</v>
      </c>
      <c r="G250" s="19" t="s">
        <v>1417</v>
      </c>
      <c r="H250" s="19" t="s">
        <v>2005</v>
      </c>
      <c r="I250" s="19">
        <v>4</v>
      </c>
      <c r="J250" s="115" t="s">
        <v>490</v>
      </c>
    </row>
    <row r="251" spans="1:10" x14ac:dyDescent="0.2">
      <c r="A251" s="133" t="s">
        <v>10</v>
      </c>
      <c r="B251" s="19" t="s">
        <v>2162</v>
      </c>
      <c r="C251" s="612"/>
      <c r="D251" s="17">
        <v>44454</v>
      </c>
      <c r="E251" s="19" t="s">
        <v>534</v>
      </c>
      <c r="F251" s="19" t="s">
        <v>2006</v>
      </c>
      <c r="G251" s="19" t="s">
        <v>2007</v>
      </c>
      <c r="H251" s="19" t="s">
        <v>2008</v>
      </c>
      <c r="I251" s="19">
        <v>8</v>
      </c>
      <c r="J251" s="115" t="s">
        <v>487</v>
      </c>
    </row>
    <row r="252" spans="1:10" x14ac:dyDescent="0.2">
      <c r="A252" s="133" t="s">
        <v>17</v>
      </c>
      <c r="B252" s="19" t="s">
        <v>24</v>
      </c>
      <c r="C252" s="612"/>
      <c r="D252" s="17">
        <v>44455</v>
      </c>
      <c r="E252" s="19" t="s">
        <v>1639</v>
      </c>
      <c r="F252" s="19" t="s">
        <v>2009</v>
      </c>
      <c r="G252" s="19" t="s">
        <v>381</v>
      </c>
      <c r="H252" s="19" t="s">
        <v>28</v>
      </c>
      <c r="I252" s="19">
        <v>1</v>
      </c>
      <c r="J252" s="115" t="s">
        <v>544</v>
      </c>
    </row>
    <row r="253" spans="1:10" x14ac:dyDescent="0.2">
      <c r="A253" s="133" t="s">
        <v>17</v>
      </c>
      <c r="B253" s="19" t="s">
        <v>24</v>
      </c>
      <c r="C253" s="612"/>
      <c r="D253" s="17">
        <v>44455</v>
      </c>
      <c r="E253" s="19" t="s">
        <v>2010</v>
      </c>
      <c r="F253" s="19" t="s">
        <v>2011</v>
      </c>
      <c r="G253" s="19"/>
      <c r="H253" s="19" t="s">
        <v>28</v>
      </c>
      <c r="I253" s="19">
        <v>1</v>
      </c>
      <c r="J253" s="115" t="s">
        <v>544</v>
      </c>
    </row>
    <row r="254" spans="1:10" x14ac:dyDescent="0.2">
      <c r="A254" s="133" t="s">
        <v>17</v>
      </c>
      <c r="B254" s="19" t="s">
        <v>24</v>
      </c>
      <c r="C254" s="612"/>
      <c r="D254" s="17">
        <v>44460</v>
      </c>
      <c r="E254" s="19" t="s">
        <v>549</v>
      </c>
      <c r="F254" s="19" t="s">
        <v>2012</v>
      </c>
      <c r="G254" s="19"/>
      <c r="H254" s="19" t="s">
        <v>28</v>
      </c>
      <c r="I254" s="19">
        <v>1</v>
      </c>
      <c r="J254" s="115" t="s">
        <v>544</v>
      </c>
    </row>
    <row r="255" spans="1:10" x14ac:dyDescent="0.2">
      <c r="A255" s="133" t="s">
        <v>10</v>
      </c>
      <c r="B255" s="19" t="s">
        <v>2162</v>
      </c>
      <c r="C255" s="612"/>
      <c r="D255" s="17">
        <v>44460</v>
      </c>
      <c r="E255" s="19" t="s">
        <v>1968</v>
      </c>
      <c r="F255" s="19" t="s">
        <v>2013</v>
      </c>
      <c r="G255" s="19"/>
      <c r="H255" s="19" t="s">
        <v>2014</v>
      </c>
      <c r="I255" s="19">
        <v>2</v>
      </c>
      <c r="J255" s="115" t="s">
        <v>490</v>
      </c>
    </row>
    <row r="256" spans="1:10" x14ac:dyDescent="0.2">
      <c r="A256" s="133" t="s">
        <v>17</v>
      </c>
      <c r="B256" s="19" t="s">
        <v>24</v>
      </c>
      <c r="C256" s="612"/>
      <c r="D256" s="17">
        <v>44462</v>
      </c>
      <c r="E256" s="19" t="s">
        <v>493</v>
      </c>
      <c r="F256" s="19" t="s">
        <v>2015</v>
      </c>
      <c r="G256" s="19"/>
      <c r="H256" s="19" t="s">
        <v>28</v>
      </c>
      <c r="I256" s="19">
        <v>1</v>
      </c>
      <c r="J256" s="115" t="s">
        <v>544</v>
      </c>
    </row>
    <row r="257" spans="1:10" x14ac:dyDescent="0.2">
      <c r="A257" s="133" t="s">
        <v>10</v>
      </c>
      <c r="B257" s="19" t="s">
        <v>29</v>
      </c>
      <c r="C257" s="612"/>
      <c r="D257" s="17">
        <v>44462</v>
      </c>
      <c r="E257" s="19" t="s">
        <v>671</v>
      </c>
      <c r="F257" s="19" t="s">
        <v>2016</v>
      </c>
      <c r="G257" s="19"/>
      <c r="H257" s="19" t="s">
        <v>2017</v>
      </c>
      <c r="I257" s="19">
        <v>3</v>
      </c>
      <c r="J257" s="115" t="s">
        <v>490</v>
      </c>
    </row>
    <row r="258" spans="1:10" x14ac:dyDescent="0.2">
      <c r="A258" s="133" t="s">
        <v>17</v>
      </c>
      <c r="B258" s="19" t="s">
        <v>24</v>
      </c>
      <c r="C258" s="612"/>
      <c r="D258" s="17">
        <v>44463</v>
      </c>
      <c r="E258" s="19" t="s">
        <v>493</v>
      </c>
      <c r="F258" s="19" t="s">
        <v>2018</v>
      </c>
      <c r="G258" s="19" t="s">
        <v>816</v>
      </c>
      <c r="H258" s="19" t="s">
        <v>28</v>
      </c>
      <c r="I258" s="19">
        <v>1</v>
      </c>
      <c r="J258" s="115" t="s">
        <v>544</v>
      </c>
    </row>
    <row r="259" spans="1:10" x14ac:dyDescent="0.2">
      <c r="A259" s="133" t="s">
        <v>17</v>
      </c>
      <c r="B259" s="19" t="s">
        <v>24</v>
      </c>
      <c r="C259" s="612"/>
      <c r="D259" s="17">
        <v>44466</v>
      </c>
      <c r="E259" s="19" t="s">
        <v>337</v>
      </c>
      <c r="F259" s="19" t="s">
        <v>2019</v>
      </c>
      <c r="G259" s="19" t="s">
        <v>381</v>
      </c>
      <c r="H259" s="19" t="s">
        <v>773</v>
      </c>
      <c r="I259" s="19">
        <v>1</v>
      </c>
      <c r="J259" s="115" t="s">
        <v>544</v>
      </c>
    </row>
    <row r="260" spans="1:10" x14ac:dyDescent="0.2">
      <c r="A260" s="133" t="s">
        <v>17</v>
      </c>
      <c r="B260" s="19" t="s">
        <v>24</v>
      </c>
      <c r="C260" s="612"/>
      <c r="D260" s="17">
        <v>44466</v>
      </c>
      <c r="E260" s="19" t="s">
        <v>537</v>
      </c>
      <c r="F260" s="19" t="s">
        <v>2020</v>
      </c>
      <c r="G260" s="19"/>
      <c r="H260" s="19" t="s">
        <v>773</v>
      </c>
      <c r="I260" s="19">
        <v>1</v>
      </c>
      <c r="J260" s="115" t="s">
        <v>544</v>
      </c>
    </row>
    <row r="261" spans="1:10" x14ac:dyDescent="0.2">
      <c r="A261" s="133" t="s">
        <v>17</v>
      </c>
      <c r="B261" s="19" t="s">
        <v>24</v>
      </c>
      <c r="C261" s="612"/>
      <c r="D261" s="17">
        <v>44466</v>
      </c>
      <c r="E261" s="19" t="s">
        <v>2021</v>
      </c>
      <c r="F261" s="19" t="s">
        <v>2022</v>
      </c>
      <c r="G261" s="19"/>
      <c r="H261" s="19" t="s">
        <v>24</v>
      </c>
      <c r="I261" s="19">
        <v>1</v>
      </c>
      <c r="J261" s="115" t="s">
        <v>544</v>
      </c>
    </row>
    <row r="262" spans="1:10" x14ac:dyDescent="0.2">
      <c r="A262" s="133" t="s">
        <v>10</v>
      </c>
      <c r="B262" s="19" t="s">
        <v>2162</v>
      </c>
      <c r="C262" s="612"/>
      <c r="D262" s="17">
        <v>44467</v>
      </c>
      <c r="E262" s="19" t="s">
        <v>498</v>
      </c>
      <c r="F262" s="19" t="s">
        <v>2023</v>
      </c>
      <c r="G262" s="19"/>
      <c r="H262" s="19" t="s">
        <v>2024</v>
      </c>
      <c r="I262" s="19">
        <v>3</v>
      </c>
      <c r="J262" s="115" t="s">
        <v>525</v>
      </c>
    </row>
    <row r="263" spans="1:10" x14ac:dyDescent="0.2">
      <c r="A263" s="133" t="s">
        <v>10</v>
      </c>
      <c r="B263" s="19" t="s">
        <v>64</v>
      </c>
      <c r="C263" s="612"/>
      <c r="D263" s="17">
        <v>44468</v>
      </c>
      <c r="E263" s="19" t="s">
        <v>368</v>
      </c>
      <c r="F263" s="19" t="s">
        <v>2025</v>
      </c>
      <c r="G263" s="19"/>
      <c r="H263" s="19" t="s">
        <v>2026</v>
      </c>
      <c r="I263" s="19">
        <v>2</v>
      </c>
      <c r="J263" s="115" t="s">
        <v>525</v>
      </c>
    </row>
    <row r="264" spans="1:10" x14ac:dyDescent="0.2">
      <c r="A264" s="133" t="s">
        <v>10</v>
      </c>
      <c r="B264" s="1" t="s">
        <v>2161</v>
      </c>
      <c r="C264" s="612"/>
      <c r="D264" s="17">
        <v>44469</v>
      </c>
      <c r="E264" s="19" t="s">
        <v>549</v>
      </c>
      <c r="F264" s="19" t="s">
        <v>722</v>
      </c>
      <c r="G264" s="19"/>
      <c r="H264" s="19" t="s">
        <v>2027</v>
      </c>
      <c r="I264" s="19">
        <v>2</v>
      </c>
      <c r="J264" s="115" t="s">
        <v>525</v>
      </c>
    </row>
    <row r="265" spans="1:10" x14ac:dyDescent="0.2">
      <c r="A265" s="133" t="s">
        <v>10</v>
      </c>
      <c r="B265" s="19" t="s">
        <v>656</v>
      </c>
      <c r="C265" s="612"/>
      <c r="D265" s="17">
        <v>44469</v>
      </c>
      <c r="E265" s="19" t="s">
        <v>500</v>
      </c>
      <c r="F265" s="19" t="s">
        <v>2028</v>
      </c>
      <c r="G265" s="19"/>
      <c r="H265" s="19" t="s">
        <v>2029</v>
      </c>
      <c r="I265" s="19">
        <v>1</v>
      </c>
      <c r="J265" s="115" t="s">
        <v>10</v>
      </c>
    </row>
    <row r="266" spans="1:10" x14ac:dyDescent="0.2">
      <c r="A266" s="133" t="s">
        <v>10</v>
      </c>
      <c r="B266" s="19" t="s">
        <v>656</v>
      </c>
      <c r="C266" s="612"/>
      <c r="D266" s="17">
        <v>44469</v>
      </c>
      <c r="E266" s="19" t="s">
        <v>493</v>
      </c>
      <c r="F266" s="19" t="s">
        <v>2030</v>
      </c>
      <c r="G266" s="19"/>
      <c r="H266" s="19" t="s">
        <v>2031</v>
      </c>
      <c r="I266" s="19">
        <v>1</v>
      </c>
      <c r="J266" s="115" t="s">
        <v>10</v>
      </c>
    </row>
    <row r="267" spans="1:10" x14ac:dyDescent="0.2">
      <c r="A267" s="133" t="s">
        <v>10</v>
      </c>
      <c r="B267" s="19" t="s">
        <v>11</v>
      </c>
      <c r="C267" s="613"/>
      <c r="D267" s="17">
        <v>44469</v>
      </c>
      <c r="E267" s="19" t="s">
        <v>94</v>
      </c>
      <c r="F267" s="19" t="s">
        <v>1437</v>
      </c>
      <c r="G267" s="19"/>
      <c r="H267" s="19" t="s">
        <v>2032</v>
      </c>
      <c r="I267" s="19">
        <v>5</v>
      </c>
      <c r="J267" s="115" t="s">
        <v>490</v>
      </c>
    </row>
    <row r="268" spans="1:10" ht="13.6" x14ac:dyDescent="0.2">
      <c r="A268" s="116" t="s">
        <v>2149</v>
      </c>
      <c r="B268" s="92"/>
      <c r="C268" s="92"/>
      <c r="D268" s="26"/>
      <c r="E268" s="92"/>
      <c r="F268" s="92"/>
      <c r="G268" s="92"/>
      <c r="H268" s="92"/>
      <c r="I268" s="92"/>
      <c r="J268" s="117"/>
    </row>
    <row r="269" spans="1:10" x14ac:dyDescent="0.2">
      <c r="A269" s="133" t="s">
        <v>17</v>
      </c>
      <c r="B269" s="19" t="s">
        <v>24</v>
      </c>
      <c r="C269" s="611">
        <f>COUNTIF(B269:B294,C2)</f>
        <v>0</v>
      </c>
      <c r="D269" s="17">
        <v>44473</v>
      </c>
      <c r="E269" s="19" t="s">
        <v>1543</v>
      </c>
      <c r="F269" s="19" t="s">
        <v>2033</v>
      </c>
      <c r="G269" s="19" t="s">
        <v>2034</v>
      </c>
      <c r="H269" s="19" t="s">
        <v>773</v>
      </c>
      <c r="I269" s="19">
        <v>1</v>
      </c>
      <c r="J269" s="115" t="s">
        <v>544</v>
      </c>
    </row>
    <row r="270" spans="1:10" x14ac:dyDescent="0.2">
      <c r="A270" s="133" t="s">
        <v>17</v>
      </c>
      <c r="B270" s="19" t="s">
        <v>24</v>
      </c>
      <c r="C270" s="612"/>
      <c r="D270" s="17">
        <v>44473</v>
      </c>
      <c r="E270" s="19" t="s">
        <v>37</v>
      </c>
      <c r="F270" s="19" t="s">
        <v>2035</v>
      </c>
      <c r="G270" s="19" t="s">
        <v>2036</v>
      </c>
      <c r="H270" s="19" t="s">
        <v>773</v>
      </c>
      <c r="I270" s="19">
        <v>1</v>
      </c>
      <c r="J270" s="115" t="s">
        <v>544</v>
      </c>
    </row>
    <row r="271" spans="1:10" x14ac:dyDescent="0.2">
      <c r="A271" s="133" t="s">
        <v>35</v>
      </c>
      <c r="B271" s="19" t="s">
        <v>2164</v>
      </c>
      <c r="C271" s="612"/>
      <c r="D271" s="17">
        <v>44472</v>
      </c>
      <c r="E271" s="19" t="s">
        <v>493</v>
      </c>
      <c r="F271" s="19" t="s">
        <v>2037</v>
      </c>
      <c r="G271" s="19"/>
      <c r="H271" s="19" t="s">
        <v>2038</v>
      </c>
      <c r="I271" s="19">
        <v>3</v>
      </c>
      <c r="J271" s="115" t="s">
        <v>167</v>
      </c>
    </row>
    <row r="272" spans="1:10" x14ac:dyDescent="0.2">
      <c r="A272" s="133" t="s">
        <v>10</v>
      </c>
      <c r="B272" s="19" t="s">
        <v>29</v>
      </c>
      <c r="C272" s="612"/>
      <c r="D272" s="17">
        <v>44472</v>
      </c>
      <c r="E272" s="19" t="s">
        <v>671</v>
      </c>
      <c r="F272" s="19" t="s">
        <v>2039</v>
      </c>
      <c r="G272" s="19" t="s">
        <v>21</v>
      </c>
      <c r="H272" s="19" t="s">
        <v>2040</v>
      </c>
      <c r="I272" s="19">
        <v>2</v>
      </c>
      <c r="J272" s="115" t="s">
        <v>490</v>
      </c>
    </row>
    <row r="273" spans="1:10" x14ac:dyDescent="0.2">
      <c r="A273" s="133" t="s">
        <v>10</v>
      </c>
      <c r="B273" s="19" t="s">
        <v>29</v>
      </c>
      <c r="C273" s="612"/>
      <c r="D273" s="17">
        <v>44475</v>
      </c>
      <c r="E273" s="19" t="s">
        <v>37</v>
      </c>
      <c r="F273" s="19" t="s">
        <v>2041</v>
      </c>
      <c r="G273" s="19" t="s">
        <v>355</v>
      </c>
      <c r="H273" s="19" t="s">
        <v>2042</v>
      </c>
      <c r="I273" s="19">
        <v>4</v>
      </c>
      <c r="J273" s="115" t="s">
        <v>525</v>
      </c>
    </row>
    <row r="274" spans="1:10" x14ac:dyDescent="0.2">
      <c r="A274" s="133" t="s">
        <v>17</v>
      </c>
      <c r="B274" s="19" t="s">
        <v>24</v>
      </c>
      <c r="C274" s="612"/>
      <c r="D274" s="17">
        <v>44477</v>
      </c>
      <c r="E274" s="19" t="s">
        <v>305</v>
      </c>
      <c r="F274" s="19" t="s">
        <v>2043</v>
      </c>
      <c r="G274" s="19" t="s">
        <v>2044</v>
      </c>
      <c r="H274" s="19" t="s">
        <v>2045</v>
      </c>
      <c r="I274" s="19">
        <v>2</v>
      </c>
      <c r="J274" s="115" t="s">
        <v>544</v>
      </c>
    </row>
    <row r="275" spans="1:10" x14ac:dyDescent="0.2">
      <c r="A275" s="133" t="s">
        <v>10</v>
      </c>
      <c r="B275" s="1" t="s">
        <v>2161</v>
      </c>
      <c r="C275" s="612"/>
      <c r="D275" s="17">
        <v>44477</v>
      </c>
      <c r="E275" s="19" t="s">
        <v>493</v>
      </c>
      <c r="F275" s="19" t="s">
        <v>2046</v>
      </c>
      <c r="G275" s="19"/>
      <c r="H275" s="19" t="s">
        <v>2047</v>
      </c>
      <c r="I275" s="19">
        <v>7</v>
      </c>
      <c r="J275" s="115" t="s">
        <v>599</v>
      </c>
    </row>
    <row r="276" spans="1:10" x14ac:dyDescent="0.2">
      <c r="A276" s="133" t="s">
        <v>10</v>
      </c>
      <c r="B276" s="19" t="s">
        <v>11</v>
      </c>
      <c r="C276" s="612"/>
      <c r="D276" s="17">
        <v>44477</v>
      </c>
      <c r="E276" s="19" t="s">
        <v>2048</v>
      </c>
      <c r="F276" s="19" t="s">
        <v>2049</v>
      </c>
      <c r="G276" s="19" t="s">
        <v>85</v>
      </c>
      <c r="H276" s="19" t="s">
        <v>2050</v>
      </c>
      <c r="I276" s="19">
        <v>11</v>
      </c>
      <c r="J276" s="115" t="s">
        <v>1670</v>
      </c>
    </row>
    <row r="277" spans="1:10" x14ac:dyDescent="0.2">
      <c r="A277" s="133" t="s">
        <v>10</v>
      </c>
      <c r="B277" s="19" t="s">
        <v>2162</v>
      </c>
      <c r="C277" s="612"/>
      <c r="D277" s="17">
        <v>44480</v>
      </c>
      <c r="E277" s="19" t="s">
        <v>57</v>
      </c>
      <c r="F277" s="19" t="s">
        <v>1568</v>
      </c>
      <c r="G277" s="19" t="s">
        <v>1568</v>
      </c>
      <c r="H277" s="19" t="s">
        <v>2051</v>
      </c>
      <c r="I277" s="19">
        <v>3</v>
      </c>
      <c r="J277" s="115" t="s">
        <v>525</v>
      </c>
    </row>
    <row r="278" spans="1:10" x14ac:dyDescent="0.2">
      <c r="A278" s="133" t="s">
        <v>17</v>
      </c>
      <c r="B278" s="19" t="s">
        <v>24</v>
      </c>
      <c r="C278" s="612"/>
      <c r="D278" s="17">
        <v>44481</v>
      </c>
      <c r="E278" s="19" t="s">
        <v>549</v>
      </c>
      <c r="F278" s="19" t="s">
        <v>2052</v>
      </c>
      <c r="G278" s="19"/>
      <c r="H278" s="19" t="s">
        <v>28</v>
      </c>
      <c r="I278" s="19">
        <v>1</v>
      </c>
      <c r="J278" s="115" t="s">
        <v>544</v>
      </c>
    </row>
    <row r="279" spans="1:10" x14ac:dyDescent="0.2">
      <c r="A279" s="133" t="s">
        <v>17</v>
      </c>
      <c r="B279" s="19" t="s">
        <v>24</v>
      </c>
      <c r="C279" s="612"/>
      <c r="D279" s="17">
        <v>44481</v>
      </c>
      <c r="E279" s="19" t="s">
        <v>493</v>
      </c>
      <c r="F279" s="19" t="s">
        <v>2053</v>
      </c>
      <c r="G279" s="19"/>
      <c r="H279" s="19" t="s">
        <v>28</v>
      </c>
      <c r="I279" s="19">
        <v>1</v>
      </c>
      <c r="J279" s="115" t="s">
        <v>544</v>
      </c>
    </row>
    <row r="280" spans="1:10" x14ac:dyDescent="0.2">
      <c r="A280" s="133" t="s">
        <v>17</v>
      </c>
      <c r="B280" s="19" t="s">
        <v>24</v>
      </c>
      <c r="C280" s="612"/>
      <c r="D280" s="17">
        <v>44495</v>
      </c>
      <c r="E280" s="19" t="s">
        <v>2054</v>
      </c>
      <c r="F280" s="19" t="s">
        <v>2055</v>
      </c>
      <c r="G280" s="19"/>
      <c r="H280" s="19" t="s">
        <v>28</v>
      </c>
      <c r="I280" s="19">
        <v>1</v>
      </c>
      <c r="J280" s="115" t="s">
        <v>10</v>
      </c>
    </row>
    <row r="281" spans="1:10" x14ac:dyDescent="0.2">
      <c r="A281" s="133" t="s">
        <v>387</v>
      </c>
      <c r="B281" s="19" t="s">
        <v>481</v>
      </c>
      <c r="C281" s="612"/>
      <c r="D281" s="17">
        <v>44490</v>
      </c>
      <c r="E281" s="19" t="s">
        <v>901</v>
      </c>
      <c r="F281" s="19" t="s">
        <v>173</v>
      </c>
      <c r="G281" s="19"/>
      <c r="H281" s="19" t="s">
        <v>2056</v>
      </c>
      <c r="I281" s="19">
        <v>4</v>
      </c>
      <c r="J281" s="115" t="s">
        <v>490</v>
      </c>
    </row>
    <row r="282" spans="1:10" x14ac:dyDescent="0.2">
      <c r="A282" s="133" t="s">
        <v>10</v>
      </c>
      <c r="B282" s="19" t="s">
        <v>11</v>
      </c>
      <c r="C282" s="612"/>
      <c r="D282" s="17">
        <v>44499</v>
      </c>
      <c r="E282" s="19" t="s">
        <v>1650</v>
      </c>
      <c r="F282" s="19" t="s">
        <v>2057</v>
      </c>
      <c r="G282" s="19" t="s">
        <v>27</v>
      </c>
      <c r="H282" s="19" t="s">
        <v>2058</v>
      </c>
      <c r="I282" s="19">
        <v>5</v>
      </c>
      <c r="J282" s="115" t="s">
        <v>490</v>
      </c>
    </row>
    <row r="283" spans="1:10" x14ac:dyDescent="0.2">
      <c r="A283" s="133" t="s">
        <v>10</v>
      </c>
      <c r="B283" s="19" t="s">
        <v>656</v>
      </c>
      <c r="C283" s="612"/>
      <c r="D283" s="17">
        <v>44470</v>
      </c>
      <c r="E283" s="19" t="s">
        <v>486</v>
      </c>
      <c r="F283" s="19" t="s">
        <v>2061</v>
      </c>
      <c r="G283" s="19"/>
      <c r="H283" s="19" t="s">
        <v>659</v>
      </c>
      <c r="I283" s="19">
        <v>1</v>
      </c>
      <c r="J283" s="115" t="s">
        <v>544</v>
      </c>
    </row>
    <row r="284" spans="1:10" x14ac:dyDescent="0.2">
      <c r="A284" s="133" t="s">
        <v>10</v>
      </c>
      <c r="B284" s="19" t="s">
        <v>29</v>
      </c>
      <c r="C284" s="612"/>
      <c r="D284" s="17">
        <v>44476</v>
      </c>
      <c r="E284" s="19" t="s">
        <v>671</v>
      </c>
      <c r="F284" s="19" t="s">
        <v>2062</v>
      </c>
      <c r="G284" s="19" t="s">
        <v>1163</v>
      </c>
      <c r="H284" s="19" t="s">
        <v>29</v>
      </c>
      <c r="I284" s="19">
        <v>2</v>
      </c>
      <c r="J284" s="115" t="s">
        <v>525</v>
      </c>
    </row>
    <row r="285" spans="1:10" x14ac:dyDescent="0.2">
      <c r="A285" s="133" t="s">
        <v>35</v>
      </c>
      <c r="B285" s="19" t="s">
        <v>137</v>
      </c>
      <c r="C285" s="612"/>
      <c r="D285" s="17">
        <v>44477</v>
      </c>
      <c r="E285" s="19" t="s">
        <v>2063</v>
      </c>
      <c r="F285" s="19" t="s">
        <v>2064</v>
      </c>
      <c r="G285" s="19"/>
      <c r="H285" s="19" t="s">
        <v>2065</v>
      </c>
      <c r="I285" s="19">
        <v>4</v>
      </c>
      <c r="J285" s="115" t="s">
        <v>510</v>
      </c>
    </row>
    <row r="286" spans="1:10" x14ac:dyDescent="0.2">
      <c r="A286" s="133" t="s">
        <v>17</v>
      </c>
      <c r="B286" s="19" t="s">
        <v>24</v>
      </c>
      <c r="C286" s="612"/>
      <c r="D286" s="17">
        <v>44477</v>
      </c>
      <c r="E286" s="19" t="s">
        <v>486</v>
      </c>
      <c r="F286" s="19" t="s">
        <v>2066</v>
      </c>
      <c r="G286" s="19"/>
      <c r="H286" s="19" t="s">
        <v>2067</v>
      </c>
      <c r="I286" s="19">
        <v>1</v>
      </c>
      <c r="J286" s="115" t="s">
        <v>544</v>
      </c>
    </row>
    <row r="287" spans="1:10" x14ac:dyDescent="0.2">
      <c r="A287" s="133" t="s">
        <v>17</v>
      </c>
      <c r="B287" s="19" t="s">
        <v>24</v>
      </c>
      <c r="C287" s="612"/>
      <c r="D287" s="17">
        <v>44477</v>
      </c>
      <c r="E287" s="19" t="s">
        <v>493</v>
      </c>
      <c r="F287" s="19" t="s">
        <v>658</v>
      </c>
      <c r="G287" s="19"/>
      <c r="H287" s="19" t="s">
        <v>28</v>
      </c>
      <c r="I287" s="19">
        <v>1</v>
      </c>
      <c r="J287" s="115" t="s">
        <v>525</v>
      </c>
    </row>
    <row r="288" spans="1:10" x14ac:dyDescent="0.2">
      <c r="A288" s="133" t="s">
        <v>17</v>
      </c>
      <c r="B288" s="19" t="s">
        <v>24</v>
      </c>
      <c r="C288" s="612"/>
      <c r="D288" s="17">
        <v>44478</v>
      </c>
      <c r="E288" s="19" t="s">
        <v>671</v>
      </c>
      <c r="F288" s="19" t="s">
        <v>2068</v>
      </c>
      <c r="G288" s="19"/>
      <c r="H288" s="19" t="s">
        <v>28</v>
      </c>
      <c r="I288" s="19">
        <v>1</v>
      </c>
      <c r="J288" s="115" t="s">
        <v>544</v>
      </c>
    </row>
    <row r="289" spans="1:10" x14ac:dyDescent="0.2">
      <c r="A289" s="133" t="s">
        <v>51</v>
      </c>
      <c r="B289" s="19" t="s">
        <v>481</v>
      </c>
      <c r="C289" s="612"/>
      <c r="D289" s="17">
        <v>44480</v>
      </c>
      <c r="E289" s="19" t="s">
        <v>2069</v>
      </c>
      <c r="F289" s="19" t="s">
        <v>2070</v>
      </c>
      <c r="G289" s="19"/>
      <c r="H289" s="19" t="s">
        <v>2071</v>
      </c>
      <c r="I289" s="19">
        <v>11</v>
      </c>
      <c r="J289" s="115" t="s">
        <v>490</v>
      </c>
    </row>
    <row r="290" spans="1:10" x14ac:dyDescent="0.2">
      <c r="A290" s="133" t="s">
        <v>10</v>
      </c>
      <c r="B290" s="19" t="s">
        <v>2161</v>
      </c>
      <c r="C290" s="612"/>
      <c r="D290" s="17">
        <v>44481</v>
      </c>
      <c r="E290" s="19" t="s">
        <v>2072</v>
      </c>
      <c r="F290" s="19" t="s">
        <v>2073</v>
      </c>
      <c r="G290" s="19"/>
      <c r="H290" s="19" t="s">
        <v>2074</v>
      </c>
      <c r="I290" s="19">
        <v>2</v>
      </c>
      <c r="J290" s="115" t="s">
        <v>508</v>
      </c>
    </row>
    <row r="291" spans="1:10" x14ac:dyDescent="0.2">
      <c r="A291" s="133" t="s">
        <v>35</v>
      </c>
      <c r="B291" s="19" t="s">
        <v>137</v>
      </c>
      <c r="C291" s="612"/>
      <c r="D291" s="17">
        <v>44484</v>
      </c>
      <c r="E291" s="19" t="s">
        <v>493</v>
      </c>
      <c r="F291" s="19" t="s">
        <v>2075</v>
      </c>
      <c r="G291" s="19"/>
      <c r="H291" s="19" t="s">
        <v>977</v>
      </c>
      <c r="I291" s="19">
        <v>2</v>
      </c>
      <c r="J291" s="115" t="s">
        <v>490</v>
      </c>
    </row>
    <row r="292" spans="1:10" x14ac:dyDescent="0.2">
      <c r="A292" s="133" t="s">
        <v>51</v>
      </c>
      <c r="B292" s="19" t="s">
        <v>2162</v>
      </c>
      <c r="C292" s="612"/>
      <c r="D292" s="17">
        <v>44485</v>
      </c>
      <c r="E292" s="19" t="s">
        <v>493</v>
      </c>
      <c r="F292" s="19" t="s">
        <v>139</v>
      </c>
      <c r="G292" s="19"/>
      <c r="H292" s="19" t="s">
        <v>2076</v>
      </c>
      <c r="I292" s="19">
        <v>3</v>
      </c>
      <c r="J292" s="115" t="s">
        <v>490</v>
      </c>
    </row>
    <row r="293" spans="1:10" x14ac:dyDescent="0.2">
      <c r="A293" s="133" t="s">
        <v>17</v>
      </c>
      <c r="B293" s="19" t="s">
        <v>24</v>
      </c>
      <c r="C293" s="612"/>
      <c r="D293" s="17">
        <v>44495</v>
      </c>
      <c r="E293" s="19" t="s">
        <v>493</v>
      </c>
      <c r="F293" s="19" t="s">
        <v>2077</v>
      </c>
      <c r="G293" s="19"/>
      <c r="H293" s="19" t="s">
        <v>2078</v>
      </c>
      <c r="I293" s="19">
        <v>1</v>
      </c>
      <c r="J293" s="115" t="s">
        <v>10</v>
      </c>
    </row>
    <row r="294" spans="1:10" x14ac:dyDescent="0.2">
      <c r="A294" s="133" t="s">
        <v>10</v>
      </c>
      <c r="B294" s="19" t="s">
        <v>11</v>
      </c>
      <c r="C294" s="613"/>
      <c r="D294" s="17">
        <v>44499</v>
      </c>
      <c r="E294" s="19" t="s">
        <v>493</v>
      </c>
      <c r="F294" s="19" t="s">
        <v>2079</v>
      </c>
      <c r="G294" s="19" t="s">
        <v>27</v>
      </c>
      <c r="H294" s="19" t="s">
        <v>844</v>
      </c>
      <c r="I294" s="19">
        <v>6</v>
      </c>
      <c r="J294" s="115" t="s">
        <v>490</v>
      </c>
    </row>
    <row r="295" spans="1:10" ht="13.6" x14ac:dyDescent="0.2">
      <c r="A295" s="118" t="s">
        <v>2150</v>
      </c>
      <c r="B295" s="27"/>
      <c r="C295" s="27"/>
      <c r="D295" s="28"/>
      <c r="E295" s="27"/>
      <c r="F295" s="27"/>
      <c r="G295" s="27"/>
      <c r="H295" s="27"/>
      <c r="I295" s="27"/>
      <c r="J295" s="119"/>
    </row>
    <row r="296" spans="1:10" x14ac:dyDescent="0.2">
      <c r="A296" s="133" t="s">
        <v>51</v>
      </c>
      <c r="B296" s="19" t="s">
        <v>397</v>
      </c>
      <c r="C296" s="611">
        <f>COUNTIF(B296:B319,C2)</f>
        <v>0</v>
      </c>
      <c r="D296" s="17">
        <v>44501</v>
      </c>
      <c r="E296" s="19" t="s">
        <v>91</v>
      </c>
      <c r="F296" s="19" t="s">
        <v>2059</v>
      </c>
      <c r="G296" s="19" t="s">
        <v>1876</v>
      </c>
      <c r="H296" s="19" t="s">
        <v>2060</v>
      </c>
      <c r="I296" s="19">
        <v>6</v>
      </c>
      <c r="J296" s="115" t="s">
        <v>490</v>
      </c>
    </row>
    <row r="297" spans="1:10" x14ac:dyDescent="0.2">
      <c r="A297" s="133" t="s">
        <v>17</v>
      </c>
      <c r="B297" s="19" t="s">
        <v>24</v>
      </c>
      <c r="C297" s="612"/>
      <c r="D297" s="17">
        <v>44504</v>
      </c>
      <c r="E297" s="24" t="s">
        <v>767</v>
      </c>
      <c r="F297" s="19" t="s">
        <v>2080</v>
      </c>
      <c r="G297" s="19"/>
      <c r="H297" s="19" t="s">
        <v>28</v>
      </c>
      <c r="I297" s="19">
        <v>1</v>
      </c>
      <c r="J297" s="115" t="s">
        <v>544</v>
      </c>
    </row>
    <row r="298" spans="1:10" x14ac:dyDescent="0.2">
      <c r="A298" s="133" t="s">
        <v>17</v>
      </c>
      <c r="B298" s="19" t="s">
        <v>24</v>
      </c>
      <c r="C298" s="612"/>
      <c r="D298" s="17">
        <v>44508</v>
      </c>
      <c r="E298" s="24" t="s">
        <v>767</v>
      </c>
      <c r="F298" s="19" t="s">
        <v>2081</v>
      </c>
      <c r="G298" s="19"/>
      <c r="H298" s="19" t="s">
        <v>28</v>
      </c>
      <c r="I298" s="19">
        <v>1</v>
      </c>
      <c r="J298" s="115" t="s">
        <v>544</v>
      </c>
    </row>
    <row r="299" spans="1:10" x14ac:dyDescent="0.2">
      <c r="A299" s="133" t="s">
        <v>17</v>
      </c>
      <c r="B299" s="19" t="s">
        <v>24</v>
      </c>
      <c r="C299" s="612"/>
      <c r="D299" s="17">
        <v>44508</v>
      </c>
      <c r="E299" s="24" t="s">
        <v>767</v>
      </c>
      <c r="F299" s="19" t="s">
        <v>2082</v>
      </c>
      <c r="G299" s="19"/>
      <c r="H299" s="19" t="s">
        <v>28</v>
      </c>
      <c r="I299" s="19">
        <v>1</v>
      </c>
      <c r="J299" s="115" t="s">
        <v>544</v>
      </c>
    </row>
    <row r="300" spans="1:10" x14ac:dyDescent="0.2">
      <c r="A300" s="133" t="s">
        <v>17</v>
      </c>
      <c r="B300" s="19" t="s">
        <v>24</v>
      </c>
      <c r="C300" s="612"/>
      <c r="D300" s="17">
        <v>44509</v>
      </c>
      <c r="E300" s="19" t="s">
        <v>2083</v>
      </c>
      <c r="F300" s="19" t="s">
        <v>1581</v>
      </c>
      <c r="G300" s="19"/>
      <c r="H300" s="19" t="s">
        <v>1475</v>
      </c>
      <c r="I300" s="19">
        <v>1</v>
      </c>
      <c r="J300" s="115" t="s">
        <v>544</v>
      </c>
    </row>
    <row r="301" spans="1:10" x14ac:dyDescent="0.2">
      <c r="A301" s="133" t="s">
        <v>17</v>
      </c>
      <c r="B301" s="19" t="s">
        <v>24</v>
      </c>
      <c r="C301" s="612"/>
      <c r="D301" s="17">
        <v>44509</v>
      </c>
      <c r="E301" s="19" t="s">
        <v>2083</v>
      </c>
      <c r="F301" s="19" t="s">
        <v>2084</v>
      </c>
      <c r="G301" s="19" t="s">
        <v>2085</v>
      </c>
      <c r="H301" s="19" t="s">
        <v>773</v>
      </c>
      <c r="I301" s="19">
        <v>1</v>
      </c>
      <c r="J301" s="115" t="s">
        <v>544</v>
      </c>
    </row>
    <row r="302" spans="1:10" x14ac:dyDescent="0.2">
      <c r="A302" s="133" t="s">
        <v>10</v>
      </c>
      <c r="B302" s="19" t="s">
        <v>2162</v>
      </c>
      <c r="C302" s="612"/>
      <c r="D302" s="17">
        <v>44511</v>
      </c>
      <c r="E302" s="19" t="s">
        <v>2086</v>
      </c>
      <c r="F302" s="19" t="s">
        <v>381</v>
      </c>
      <c r="G302" s="19"/>
      <c r="H302" s="19" t="s">
        <v>2087</v>
      </c>
      <c r="I302" s="19">
        <v>3</v>
      </c>
      <c r="J302" s="115" t="s">
        <v>599</v>
      </c>
    </row>
    <row r="303" spans="1:10" x14ac:dyDescent="0.2">
      <c r="A303" s="133" t="s">
        <v>159</v>
      </c>
      <c r="B303" s="19" t="s">
        <v>137</v>
      </c>
      <c r="C303" s="612"/>
      <c r="D303" s="17">
        <v>44511</v>
      </c>
      <c r="E303" s="19" t="s">
        <v>884</v>
      </c>
      <c r="F303" s="19" t="s">
        <v>401</v>
      </c>
      <c r="G303" s="19" t="s">
        <v>2088</v>
      </c>
      <c r="H303" s="19" t="s">
        <v>2089</v>
      </c>
      <c r="I303" s="19">
        <v>3</v>
      </c>
      <c r="J303" s="115" t="s">
        <v>525</v>
      </c>
    </row>
    <row r="304" spans="1:10" x14ac:dyDescent="0.2">
      <c r="A304" s="133" t="s">
        <v>17</v>
      </c>
      <c r="B304" s="19" t="s">
        <v>24</v>
      </c>
      <c r="C304" s="612"/>
      <c r="D304" s="17">
        <v>44511</v>
      </c>
      <c r="E304" s="19" t="s">
        <v>57</v>
      </c>
      <c r="F304" s="19" t="s">
        <v>2090</v>
      </c>
      <c r="G304" s="19" t="s">
        <v>27</v>
      </c>
      <c r="H304" s="19" t="s">
        <v>28</v>
      </c>
      <c r="I304" s="19">
        <v>1</v>
      </c>
      <c r="J304" s="115" t="s">
        <v>544</v>
      </c>
    </row>
    <row r="305" spans="1:10" x14ac:dyDescent="0.2">
      <c r="A305" s="133" t="s">
        <v>17</v>
      </c>
      <c r="B305" s="19" t="s">
        <v>24</v>
      </c>
      <c r="C305" s="612"/>
      <c r="D305" s="17">
        <v>44511</v>
      </c>
      <c r="E305" s="19" t="s">
        <v>57</v>
      </c>
      <c r="F305" s="19" t="s">
        <v>2091</v>
      </c>
      <c r="G305" s="19" t="s">
        <v>27</v>
      </c>
      <c r="H305" s="19" t="s">
        <v>28</v>
      </c>
      <c r="I305" s="19">
        <v>1</v>
      </c>
      <c r="J305" s="115" t="s">
        <v>544</v>
      </c>
    </row>
    <row r="306" spans="1:10" x14ac:dyDescent="0.2">
      <c r="A306" s="133" t="s">
        <v>17</v>
      </c>
      <c r="B306" s="19" t="s">
        <v>24</v>
      </c>
      <c r="C306" s="612"/>
      <c r="D306" s="17">
        <v>44512</v>
      </c>
      <c r="E306" s="19" t="s">
        <v>343</v>
      </c>
      <c r="F306" s="19" t="s">
        <v>636</v>
      </c>
      <c r="G306" s="19" t="s">
        <v>76</v>
      </c>
      <c r="H306" s="19" t="s">
        <v>2092</v>
      </c>
      <c r="I306" s="19">
        <v>1</v>
      </c>
      <c r="J306" s="115" t="s">
        <v>544</v>
      </c>
    </row>
    <row r="307" spans="1:10" x14ac:dyDescent="0.2">
      <c r="A307" s="133" t="s">
        <v>17</v>
      </c>
      <c r="B307" s="19" t="s">
        <v>24</v>
      </c>
      <c r="C307" s="612"/>
      <c r="D307" s="17">
        <v>44512</v>
      </c>
      <c r="E307" s="24" t="s">
        <v>2093</v>
      </c>
      <c r="F307" s="19" t="s">
        <v>2094</v>
      </c>
      <c r="G307" s="19"/>
      <c r="H307" s="19" t="s">
        <v>1009</v>
      </c>
      <c r="I307" s="19">
        <v>1</v>
      </c>
      <c r="J307" s="115" t="s">
        <v>10</v>
      </c>
    </row>
    <row r="308" spans="1:10" x14ac:dyDescent="0.2">
      <c r="A308" s="133" t="s">
        <v>10</v>
      </c>
      <c r="B308" s="19" t="s">
        <v>11</v>
      </c>
      <c r="C308" s="612"/>
      <c r="D308" s="17">
        <v>44517</v>
      </c>
      <c r="E308" s="19" t="s">
        <v>2095</v>
      </c>
      <c r="F308" s="19" t="s">
        <v>2096</v>
      </c>
      <c r="G308" s="19"/>
      <c r="H308" s="19" t="s">
        <v>2097</v>
      </c>
      <c r="I308" s="19">
        <v>3</v>
      </c>
      <c r="J308" s="115" t="s">
        <v>490</v>
      </c>
    </row>
    <row r="309" spans="1:10" x14ac:dyDescent="0.2">
      <c r="A309" s="133" t="s">
        <v>51</v>
      </c>
      <c r="B309" s="19" t="s">
        <v>397</v>
      </c>
      <c r="C309" s="612"/>
      <c r="D309" s="17">
        <v>44517</v>
      </c>
      <c r="E309" s="19" t="s">
        <v>91</v>
      </c>
      <c r="F309" s="19" t="s">
        <v>2098</v>
      </c>
      <c r="G309" s="19" t="s">
        <v>2099</v>
      </c>
      <c r="H309" s="19" t="s">
        <v>2100</v>
      </c>
      <c r="I309" s="19">
        <v>11</v>
      </c>
      <c r="J309" s="115" t="s">
        <v>490</v>
      </c>
    </row>
    <row r="310" spans="1:10" x14ac:dyDescent="0.2">
      <c r="A310" s="133" t="s">
        <v>17</v>
      </c>
      <c r="B310" s="19" t="s">
        <v>24</v>
      </c>
      <c r="C310" s="612"/>
      <c r="D310" s="17">
        <v>44518</v>
      </c>
      <c r="E310" s="19" t="s">
        <v>2101</v>
      </c>
      <c r="F310" s="19" t="s">
        <v>2102</v>
      </c>
      <c r="G310" s="19" t="s">
        <v>266</v>
      </c>
      <c r="H310" s="19" t="s">
        <v>1475</v>
      </c>
      <c r="I310" s="19">
        <v>1</v>
      </c>
      <c r="J310" s="115" t="s">
        <v>544</v>
      </c>
    </row>
    <row r="311" spans="1:10" x14ac:dyDescent="0.2">
      <c r="A311" s="133" t="s">
        <v>387</v>
      </c>
      <c r="B311" s="19" t="s">
        <v>2162</v>
      </c>
      <c r="C311" s="612"/>
      <c r="D311" s="17">
        <v>44520</v>
      </c>
      <c r="E311" s="19" t="s">
        <v>1886</v>
      </c>
      <c r="F311" s="19" t="s">
        <v>139</v>
      </c>
      <c r="G311" s="19"/>
      <c r="H311" s="19" t="s">
        <v>2103</v>
      </c>
      <c r="I311" s="19">
        <v>2</v>
      </c>
      <c r="J311" s="115" t="s">
        <v>490</v>
      </c>
    </row>
    <row r="312" spans="1:10" x14ac:dyDescent="0.2">
      <c r="A312" s="133" t="s">
        <v>17</v>
      </c>
      <c r="B312" s="19" t="s">
        <v>24</v>
      </c>
      <c r="C312" s="612"/>
      <c r="D312" s="17">
        <v>44522</v>
      </c>
      <c r="E312" s="24" t="s">
        <v>2104</v>
      </c>
      <c r="F312" s="19" t="s">
        <v>2105</v>
      </c>
      <c r="G312" s="19"/>
      <c r="H312" s="19" t="s">
        <v>28</v>
      </c>
      <c r="I312" s="19">
        <v>1</v>
      </c>
      <c r="J312" s="115" t="s">
        <v>544</v>
      </c>
    </row>
    <row r="313" spans="1:10" x14ac:dyDescent="0.2">
      <c r="A313" s="133" t="s">
        <v>17</v>
      </c>
      <c r="B313" s="19" t="s">
        <v>24</v>
      </c>
      <c r="C313" s="612"/>
      <c r="D313" s="17">
        <v>44523</v>
      </c>
      <c r="E313" s="19" t="s">
        <v>486</v>
      </c>
      <c r="F313" s="19" t="s">
        <v>2106</v>
      </c>
      <c r="G313" s="19"/>
      <c r="H313" s="19" t="s">
        <v>28</v>
      </c>
      <c r="I313" s="19">
        <v>1</v>
      </c>
      <c r="J313" s="115" t="s">
        <v>544</v>
      </c>
    </row>
    <row r="314" spans="1:10" x14ac:dyDescent="0.2">
      <c r="A314" s="133" t="s">
        <v>17</v>
      </c>
      <c r="B314" s="19" t="s">
        <v>24</v>
      </c>
      <c r="C314" s="612"/>
      <c r="D314" s="17">
        <v>44524</v>
      </c>
      <c r="E314" s="19" t="s">
        <v>486</v>
      </c>
      <c r="F314" s="19" t="s">
        <v>2107</v>
      </c>
      <c r="G314" s="19"/>
      <c r="H314" s="19" t="s">
        <v>2108</v>
      </c>
      <c r="I314" s="19">
        <v>1</v>
      </c>
      <c r="J314" s="115" t="s">
        <v>544</v>
      </c>
    </row>
    <row r="315" spans="1:10" x14ac:dyDescent="0.2">
      <c r="A315" s="133" t="s">
        <v>10</v>
      </c>
      <c r="B315" s="19" t="s">
        <v>11</v>
      </c>
      <c r="C315" s="612"/>
      <c r="D315" s="17">
        <v>44525</v>
      </c>
      <c r="E315" s="19" t="s">
        <v>57</v>
      </c>
      <c r="F315" s="19" t="s">
        <v>2109</v>
      </c>
      <c r="G315" s="19" t="s">
        <v>1522</v>
      </c>
      <c r="H315" s="19" t="s">
        <v>2110</v>
      </c>
      <c r="I315" s="19">
        <v>5</v>
      </c>
      <c r="J315" s="115" t="s">
        <v>487</v>
      </c>
    </row>
    <row r="316" spans="1:10" x14ac:dyDescent="0.2">
      <c r="A316" s="133" t="s">
        <v>17</v>
      </c>
      <c r="B316" s="19" t="s">
        <v>24</v>
      </c>
      <c r="C316" s="612"/>
      <c r="D316" s="17">
        <v>44526</v>
      </c>
      <c r="E316" s="24" t="s">
        <v>2111</v>
      </c>
      <c r="F316" s="19" t="s">
        <v>2112</v>
      </c>
      <c r="G316" s="19"/>
      <c r="H316" s="19" t="s">
        <v>2113</v>
      </c>
      <c r="I316" s="19">
        <v>1</v>
      </c>
      <c r="J316" s="115" t="s">
        <v>10</v>
      </c>
    </row>
    <row r="317" spans="1:10" x14ac:dyDescent="0.2">
      <c r="A317" s="133" t="s">
        <v>10</v>
      </c>
      <c r="B317" s="19" t="s">
        <v>24</v>
      </c>
      <c r="C317" s="612"/>
      <c r="D317" s="17">
        <v>44526</v>
      </c>
      <c r="E317" s="24" t="s">
        <v>2114</v>
      </c>
      <c r="F317" s="19" t="s">
        <v>627</v>
      </c>
      <c r="G317" s="19"/>
      <c r="H317" s="19" t="s">
        <v>2115</v>
      </c>
      <c r="I317" s="19">
        <v>2</v>
      </c>
      <c r="J317" s="115" t="s">
        <v>508</v>
      </c>
    </row>
    <row r="318" spans="1:10" x14ac:dyDescent="0.2">
      <c r="A318" s="133" t="s">
        <v>10</v>
      </c>
      <c r="B318" s="19" t="s">
        <v>2162</v>
      </c>
      <c r="C318" s="612"/>
      <c r="D318" s="17">
        <v>44528</v>
      </c>
      <c r="E318" s="24" t="s">
        <v>2116</v>
      </c>
      <c r="F318" s="19" t="s">
        <v>636</v>
      </c>
      <c r="G318" s="19"/>
      <c r="H318" s="19" t="s">
        <v>2117</v>
      </c>
      <c r="I318" s="19">
        <v>5</v>
      </c>
      <c r="J318" s="115" t="s">
        <v>525</v>
      </c>
    </row>
    <row r="319" spans="1:10" x14ac:dyDescent="0.2">
      <c r="A319" s="133" t="s">
        <v>17</v>
      </c>
      <c r="B319" s="19" t="s">
        <v>24</v>
      </c>
      <c r="C319" s="613"/>
      <c r="D319" s="17">
        <v>44529</v>
      </c>
      <c r="E319" s="19" t="s">
        <v>2118</v>
      </c>
      <c r="F319" s="19" t="s">
        <v>2119</v>
      </c>
      <c r="G319" s="19" t="s">
        <v>27</v>
      </c>
      <c r="H319" s="19" t="s">
        <v>2120</v>
      </c>
      <c r="I319" s="19">
        <v>1</v>
      </c>
      <c r="J319" s="115" t="s">
        <v>544</v>
      </c>
    </row>
    <row r="320" spans="1:10" ht="13.6" x14ac:dyDescent="0.2">
      <c r="A320" s="116" t="s">
        <v>2151</v>
      </c>
      <c r="B320" s="92"/>
      <c r="C320" s="92"/>
      <c r="D320" s="26"/>
      <c r="E320" s="92"/>
      <c r="F320" s="92"/>
      <c r="G320" s="92"/>
      <c r="H320" s="92"/>
      <c r="I320" s="92"/>
      <c r="J320" s="117"/>
    </row>
    <row r="321" spans="1:10" x14ac:dyDescent="0.2">
      <c r="A321" s="133" t="s">
        <v>146</v>
      </c>
      <c r="B321" s="19" t="s">
        <v>2163</v>
      </c>
      <c r="C321" s="611">
        <f>COUNTIF(B321:B330,C2)</f>
        <v>0</v>
      </c>
      <c r="D321" s="17">
        <v>44532</v>
      </c>
      <c r="E321" s="19" t="s">
        <v>133</v>
      </c>
      <c r="F321" s="19" t="s">
        <v>274</v>
      </c>
      <c r="G321" s="19" t="s">
        <v>139</v>
      </c>
      <c r="H321" s="19" t="s">
        <v>2121</v>
      </c>
      <c r="I321" s="19">
        <v>5</v>
      </c>
      <c r="J321" s="115" t="s">
        <v>599</v>
      </c>
    </row>
    <row r="322" spans="1:10" x14ac:dyDescent="0.2">
      <c r="A322" s="133" t="s">
        <v>10</v>
      </c>
      <c r="B322" s="19" t="s">
        <v>2162</v>
      </c>
      <c r="C322" s="612"/>
      <c r="D322" s="17">
        <v>44532</v>
      </c>
      <c r="E322" s="24" t="s">
        <v>2104</v>
      </c>
      <c r="F322" s="19" t="s">
        <v>2122</v>
      </c>
      <c r="G322" s="19"/>
      <c r="H322" s="19" t="s">
        <v>2123</v>
      </c>
      <c r="I322" s="19">
        <v>8</v>
      </c>
      <c r="J322" s="115" t="s">
        <v>604</v>
      </c>
    </row>
    <row r="323" spans="1:10" x14ac:dyDescent="0.2">
      <c r="A323" s="133" t="s">
        <v>17</v>
      </c>
      <c r="B323" s="19" t="s">
        <v>24</v>
      </c>
      <c r="C323" s="612"/>
      <c r="D323" s="17">
        <v>44533</v>
      </c>
      <c r="E323" s="19" t="s">
        <v>493</v>
      </c>
      <c r="F323" s="19" t="s">
        <v>569</v>
      </c>
      <c r="G323" s="19"/>
      <c r="H323" s="19" t="s">
        <v>28</v>
      </c>
      <c r="I323" s="19">
        <v>1</v>
      </c>
      <c r="J323" s="115" t="s">
        <v>544</v>
      </c>
    </row>
    <row r="324" spans="1:10" x14ac:dyDescent="0.2">
      <c r="A324" s="133" t="s">
        <v>10</v>
      </c>
      <c r="B324" s="19" t="s">
        <v>11</v>
      </c>
      <c r="C324" s="612"/>
      <c r="D324" s="17">
        <v>44537</v>
      </c>
      <c r="E324" s="19" t="s">
        <v>2124</v>
      </c>
      <c r="F324" s="19" t="s">
        <v>2125</v>
      </c>
      <c r="G324" s="19" t="s">
        <v>2126</v>
      </c>
      <c r="H324" s="19" t="s">
        <v>2127</v>
      </c>
      <c r="I324" s="19">
        <v>5</v>
      </c>
      <c r="J324" s="115" t="s">
        <v>599</v>
      </c>
    </row>
    <row r="325" spans="1:10" x14ac:dyDescent="0.2">
      <c r="A325" s="133" t="s">
        <v>10</v>
      </c>
      <c r="B325" s="19" t="s">
        <v>2161</v>
      </c>
      <c r="C325" s="612"/>
      <c r="D325" s="17">
        <v>44537</v>
      </c>
      <c r="E325" s="19" t="s">
        <v>2128</v>
      </c>
      <c r="F325" s="19" t="s">
        <v>2129</v>
      </c>
      <c r="G325" s="19"/>
      <c r="H325" s="19" t="s">
        <v>697</v>
      </c>
      <c r="I325" s="19">
        <v>3</v>
      </c>
      <c r="J325" s="115" t="s">
        <v>508</v>
      </c>
    </row>
    <row r="326" spans="1:10" x14ac:dyDescent="0.2">
      <c r="A326" s="133" t="s">
        <v>51</v>
      </c>
      <c r="B326" s="19" t="s">
        <v>481</v>
      </c>
      <c r="C326" s="612"/>
      <c r="D326" s="17">
        <v>44540</v>
      </c>
      <c r="E326" s="19" t="s">
        <v>57</v>
      </c>
      <c r="F326" s="19" t="s">
        <v>2130</v>
      </c>
      <c r="G326" s="19" t="s">
        <v>2131</v>
      </c>
      <c r="H326" s="19" t="s">
        <v>2132</v>
      </c>
      <c r="I326" s="19">
        <v>3</v>
      </c>
      <c r="J326" s="115" t="s">
        <v>487</v>
      </c>
    </row>
    <row r="327" spans="1:10" x14ac:dyDescent="0.2">
      <c r="A327" s="133" t="s">
        <v>17</v>
      </c>
      <c r="B327" s="19" t="s">
        <v>24</v>
      </c>
      <c r="C327" s="612"/>
      <c r="D327" s="17">
        <v>44545</v>
      </c>
      <c r="E327" s="19" t="s">
        <v>2133</v>
      </c>
      <c r="F327" s="19" t="s">
        <v>2134</v>
      </c>
      <c r="G327" s="19"/>
      <c r="H327" s="19" t="s">
        <v>28</v>
      </c>
      <c r="I327" s="19">
        <v>1</v>
      </c>
      <c r="J327" s="115" t="s">
        <v>544</v>
      </c>
    </row>
    <row r="328" spans="1:10" x14ac:dyDescent="0.2">
      <c r="A328" s="133" t="s">
        <v>10</v>
      </c>
      <c r="B328" s="19" t="s">
        <v>2161</v>
      </c>
      <c r="C328" s="612"/>
      <c r="D328" s="17">
        <v>44545</v>
      </c>
      <c r="E328" s="19" t="s">
        <v>549</v>
      </c>
      <c r="F328" s="19" t="s">
        <v>2135</v>
      </c>
      <c r="G328" s="19"/>
      <c r="H328" s="19" t="s">
        <v>502</v>
      </c>
      <c r="I328" s="19">
        <v>5</v>
      </c>
      <c r="J328" s="115" t="s">
        <v>167</v>
      </c>
    </row>
    <row r="329" spans="1:10" x14ac:dyDescent="0.2">
      <c r="A329" s="133" t="s">
        <v>35</v>
      </c>
      <c r="B329" s="19" t="s">
        <v>2164</v>
      </c>
      <c r="C329" s="612"/>
      <c r="D329" s="17">
        <v>44552</v>
      </c>
      <c r="E329" s="19" t="s">
        <v>2136</v>
      </c>
      <c r="F329" s="19" t="s">
        <v>2137</v>
      </c>
      <c r="G329" s="19" t="s">
        <v>1163</v>
      </c>
      <c r="H329" s="19" t="s">
        <v>2138</v>
      </c>
      <c r="I329" s="19">
        <v>3</v>
      </c>
      <c r="J329" s="115" t="s">
        <v>490</v>
      </c>
    </row>
    <row r="330" spans="1:10" ht="13.6" thickBot="1" x14ac:dyDescent="0.25">
      <c r="A330" s="136" t="s">
        <v>51</v>
      </c>
      <c r="B330" s="111" t="s">
        <v>397</v>
      </c>
      <c r="C330" s="620"/>
      <c r="D330" s="112">
        <v>44556</v>
      </c>
      <c r="E330" s="111" t="s">
        <v>493</v>
      </c>
      <c r="F330" s="111" t="s">
        <v>62</v>
      </c>
      <c r="G330" s="111"/>
      <c r="H330" s="111" t="s">
        <v>2139</v>
      </c>
      <c r="I330" s="111">
        <v>8</v>
      </c>
      <c r="J330" s="123" t="s">
        <v>487</v>
      </c>
    </row>
    <row r="331" spans="1:10" s="110" customFormat="1" ht="48.25" thickTop="1" thickBot="1" x14ac:dyDescent="0.4">
      <c r="A331" s="401" t="s">
        <v>2677</v>
      </c>
      <c r="B331" s="405">
        <f>COUNTA(B3:B330)</f>
        <v>316</v>
      </c>
      <c r="C331" s="406">
        <f>SUM(C3:C330)</f>
        <v>12</v>
      </c>
      <c r="D331" s="407"/>
      <c r="E331" s="407"/>
      <c r="F331" s="407"/>
      <c r="G331" s="407"/>
      <c r="H331" s="407"/>
      <c r="I331" s="407"/>
      <c r="J331" s="408"/>
    </row>
  </sheetData>
  <sheetProtection sheet="1" objects="1" scenarios="1"/>
  <mergeCells count="21">
    <mergeCell ref="C321:C330"/>
    <mergeCell ref="A1:A2"/>
    <mergeCell ref="D1:D2"/>
    <mergeCell ref="E1:E2"/>
    <mergeCell ref="C160:C190"/>
    <mergeCell ref="C192:C236"/>
    <mergeCell ref="C238:C267"/>
    <mergeCell ref="C269:C294"/>
    <mergeCell ref="C296:C319"/>
    <mergeCell ref="C140:C158"/>
    <mergeCell ref="C4:C27"/>
    <mergeCell ref="C29:C65"/>
    <mergeCell ref="C67:C95"/>
    <mergeCell ref="C97:C114"/>
    <mergeCell ref="C116:C138"/>
    <mergeCell ref="B1:B2"/>
    <mergeCell ref="F1:F2"/>
    <mergeCell ref="G1:G2"/>
    <mergeCell ref="H1:H2"/>
    <mergeCell ref="I1:I2"/>
    <mergeCell ref="J1:J2"/>
  </mergeCells>
  <conditionalFormatting sqref="B1 B3:B1048576">
    <cfRule type="cellIs" dxfId="1" priority="2" operator="equal">
      <formula>$C$2</formula>
    </cfRule>
  </conditionalFormatting>
  <conditionalFormatting sqref="C2">
    <cfRule type="cellIs" dxfId="0" priority="1" operator="equal">
      <formula>$C$2</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93"/>
  <sheetViews>
    <sheetView topLeftCell="B1" workbookViewId="0">
      <selection activeCell="O9" sqref="O9:O10"/>
    </sheetView>
  </sheetViews>
  <sheetFormatPr baseColWidth="10" defaultColWidth="12.875" defaultRowHeight="15.65" x14ac:dyDescent="0.25"/>
  <cols>
    <col min="1" max="1" width="8.375" style="307" customWidth="1"/>
    <col min="2" max="2" width="61.75" style="307" customWidth="1"/>
    <col min="3" max="14" width="8" style="307" customWidth="1"/>
    <col min="15" max="15" width="10.75" style="307" customWidth="1"/>
    <col min="16" max="16384" width="12.875" style="307"/>
  </cols>
  <sheetData>
    <row r="1" spans="1:15" ht="16.3" thickBot="1" x14ac:dyDescent="0.3"/>
    <row r="2" spans="1:15" x14ac:dyDescent="0.25">
      <c r="A2" s="621" t="s">
        <v>3698</v>
      </c>
      <c r="B2" s="622"/>
      <c r="C2" s="622"/>
      <c r="D2" s="622"/>
      <c r="E2" s="622"/>
      <c r="F2" s="622"/>
      <c r="G2" s="622"/>
      <c r="H2" s="622"/>
      <c r="I2" s="622"/>
      <c r="J2" s="622"/>
      <c r="K2" s="622"/>
      <c r="L2" s="622"/>
      <c r="M2" s="622"/>
      <c r="N2" s="622"/>
      <c r="O2" s="623"/>
    </row>
    <row r="3" spans="1:15" x14ac:dyDescent="0.25">
      <c r="A3" s="624" t="s">
        <v>3696</v>
      </c>
      <c r="B3" s="625"/>
      <c r="C3" s="625"/>
      <c r="D3" s="625"/>
      <c r="E3" s="625"/>
      <c r="F3" s="625"/>
      <c r="G3" s="625"/>
      <c r="H3" s="625"/>
      <c r="I3" s="625"/>
      <c r="J3" s="625"/>
      <c r="K3" s="625"/>
      <c r="L3" s="625"/>
      <c r="M3" s="625"/>
      <c r="N3" s="625"/>
      <c r="O3" s="626"/>
    </row>
    <row r="4" spans="1:15" ht="16.3" thickBot="1" x14ac:dyDescent="0.3">
      <c r="A4" s="627"/>
      <c r="B4" s="628"/>
      <c r="C4" s="628"/>
      <c r="D4" s="628"/>
      <c r="E4" s="628"/>
      <c r="F4" s="628"/>
      <c r="G4" s="628"/>
      <c r="H4" s="628"/>
      <c r="I4" s="628"/>
      <c r="J4" s="628"/>
      <c r="K4" s="628"/>
      <c r="L4" s="628"/>
      <c r="M4" s="628"/>
      <c r="N4" s="628"/>
      <c r="O4" s="629"/>
    </row>
    <row r="5" spans="1:15" x14ac:dyDescent="0.25">
      <c r="A5" s="308"/>
      <c r="B5" s="309"/>
      <c r="C5" s="630" t="s">
        <v>3699</v>
      </c>
      <c r="D5" s="631"/>
      <c r="E5" s="631"/>
      <c r="F5" s="631"/>
      <c r="G5" s="631"/>
      <c r="H5" s="631"/>
      <c r="I5" s="631"/>
      <c r="J5" s="631"/>
      <c r="K5" s="631"/>
      <c r="L5" s="631"/>
      <c r="M5" s="631"/>
      <c r="N5" s="631"/>
      <c r="O5" s="632"/>
    </row>
    <row r="6" spans="1:15" x14ac:dyDescent="0.25">
      <c r="A6" s="310" t="s">
        <v>3548</v>
      </c>
      <c r="B6" s="311" t="s">
        <v>3549</v>
      </c>
      <c r="C6" s="312" t="s">
        <v>3633</v>
      </c>
      <c r="D6" s="312" t="s">
        <v>3634</v>
      </c>
      <c r="E6" s="312" t="s">
        <v>3635</v>
      </c>
      <c r="F6" s="312" t="s">
        <v>3636</v>
      </c>
      <c r="G6" s="312" t="s">
        <v>3637</v>
      </c>
      <c r="H6" s="312" t="s">
        <v>3638</v>
      </c>
      <c r="I6" s="312" t="s">
        <v>3639</v>
      </c>
      <c r="J6" s="312" t="s">
        <v>3640</v>
      </c>
      <c r="K6" s="312" t="s">
        <v>3641</v>
      </c>
      <c r="L6" s="312" t="s">
        <v>3642</v>
      </c>
      <c r="M6" s="312" t="s">
        <v>3643</v>
      </c>
      <c r="N6" s="312" t="s">
        <v>3644</v>
      </c>
      <c r="O6" s="312" t="s">
        <v>2152</v>
      </c>
    </row>
    <row r="7" spans="1:15" x14ac:dyDescent="0.25">
      <c r="A7" s="313"/>
      <c r="B7" s="314" t="s">
        <v>3645</v>
      </c>
      <c r="C7" s="314"/>
      <c r="D7" s="314"/>
      <c r="E7" s="314"/>
      <c r="F7" s="314"/>
      <c r="G7" s="314"/>
      <c r="H7" s="314"/>
      <c r="I7" s="314"/>
      <c r="J7" s="314"/>
      <c r="K7" s="314"/>
      <c r="L7" s="314"/>
      <c r="M7" s="314"/>
      <c r="N7" s="314"/>
      <c r="O7" s="314"/>
    </row>
    <row r="8" spans="1:15" ht="17.7" x14ac:dyDescent="0.25">
      <c r="A8" s="313">
        <v>1</v>
      </c>
      <c r="B8" s="315" t="s">
        <v>3554</v>
      </c>
      <c r="C8" s="316"/>
      <c r="D8" s="316">
        <v>4</v>
      </c>
      <c r="E8" s="316">
        <v>1</v>
      </c>
      <c r="F8" s="316"/>
      <c r="G8" s="316">
        <v>2</v>
      </c>
      <c r="H8" s="316"/>
      <c r="I8" s="316">
        <v>1</v>
      </c>
      <c r="J8" s="316"/>
      <c r="K8" s="316">
        <v>1</v>
      </c>
      <c r="L8" s="316">
        <v>1</v>
      </c>
      <c r="M8" s="316">
        <v>1</v>
      </c>
      <c r="N8" s="316"/>
      <c r="O8" s="316">
        <f>SUM(C8:N8)</f>
        <v>11</v>
      </c>
    </row>
    <row r="9" spans="1:15" ht="17.7" x14ac:dyDescent="0.25">
      <c r="A9" s="313">
        <v>2</v>
      </c>
      <c r="B9" s="315" t="s">
        <v>3555</v>
      </c>
      <c r="C9" s="316">
        <v>4</v>
      </c>
      <c r="D9" s="316">
        <v>3</v>
      </c>
      <c r="E9" s="316">
        <v>3</v>
      </c>
      <c r="F9" s="316">
        <v>1</v>
      </c>
      <c r="G9" s="316">
        <v>2</v>
      </c>
      <c r="H9" s="316"/>
      <c r="I9" s="316"/>
      <c r="J9" s="316"/>
      <c r="K9" s="316"/>
      <c r="L9" s="316">
        <v>1</v>
      </c>
      <c r="M9" s="316">
        <v>1</v>
      </c>
      <c r="N9" s="316">
        <v>2</v>
      </c>
      <c r="O9" s="316">
        <f t="shared" ref="O9:O57" si="0">SUM(C9:N9)</f>
        <v>17</v>
      </c>
    </row>
    <row r="10" spans="1:15" ht="17.7" x14ac:dyDescent="0.25">
      <c r="A10" s="313">
        <v>3</v>
      </c>
      <c r="B10" s="315" t="s">
        <v>3556</v>
      </c>
      <c r="C10" s="316">
        <v>2</v>
      </c>
      <c r="D10" s="316"/>
      <c r="E10" s="316"/>
      <c r="F10" s="316"/>
      <c r="G10" s="316"/>
      <c r="H10" s="316"/>
      <c r="I10" s="316"/>
      <c r="J10" s="316"/>
      <c r="K10" s="316"/>
      <c r="L10" s="316"/>
      <c r="M10" s="316"/>
      <c r="N10" s="316"/>
      <c r="O10" s="316">
        <f t="shared" si="0"/>
        <v>2</v>
      </c>
    </row>
    <row r="11" spans="1:15" ht="17.7" x14ac:dyDescent="0.25">
      <c r="A11" s="313">
        <v>4</v>
      </c>
      <c r="B11" s="315" t="s">
        <v>3646</v>
      </c>
      <c r="C11" s="316"/>
      <c r="D11" s="316">
        <v>1</v>
      </c>
      <c r="E11" s="316">
        <v>1</v>
      </c>
      <c r="F11" s="316"/>
      <c r="G11" s="316"/>
      <c r="H11" s="316"/>
      <c r="I11" s="316"/>
      <c r="J11" s="316"/>
      <c r="K11" s="316">
        <v>2</v>
      </c>
      <c r="L11" s="316"/>
      <c r="M11" s="316"/>
      <c r="N11" s="316"/>
      <c r="O11" s="316">
        <f t="shared" si="0"/>
        <v>4</v>
      </c>
    </row>
    <row r="12" spans="1:15" ht="17.7" x14ac:dyDescent="0.25">
      <c r="A12" s="313">
        <v>5</v>
      </c>
      <c r="B12" s="315" t="s">
        <v>3557</v>
      </c>
      <c r="C12" s="316">
        <v>1</v>
      </c>
      <c r="D12" s="316"/>
      <c r="E12" s="316"/>
      <c r="F12" s="316"/>
      <c r="G12" s="316"/>
      <c r="H12" s="316"/>
      <c r="I12" s="316">
        <v>1</v>
      </c>
      <c r="J12" s="316">
        <v>1</v>
      </c>
      <c r="K12" s="316"/>
      <c r="L12" s="316"/>
      <c r="M12" s="316"/>
      <c r="N12" s="316">
        <v>1</v>
      </c>
      <c r="O12" s="316">
        <f t="shared" si="0"/>
        <v>4</v>
      </c>
    </row>
    <row r="13" spans="1:15" ht="17.7" x14ac:dyDescent="0.25">
      <c r="A13" s="313">
        <v>6</v>
      </c>
      <c r="B13" s="315" t="s">
        <v>3647</v>
      </c>
      <c r="C13" s="316"/>
      <c r="D13" s="316"/>
      <c r="E13" s="316"/>
      <c r="F13" s="316"/>
      <c r="G13" s="316"/>
      <c r="H13" s="316"/>
      <c r="I13" s="316"/>
      <c r="J13" s="316"/>
      <c r="K13" s="316"/>
      <c r="L13" s="316"/>
      <c r="M13" s="316"/>
      <c r="N13" s="316"/>
      <c r="O13" s="316">
        <f t="shared" si="0"/>
        <v>0</v>
      </c>
    </row>
    <row r="14" spans="1:15" ht="17.7" x14ac:dyDescent="0.25">
      <c r="A14" s="313">
        <v>7</v>
      </c>
      <c r="B14" s="315" t="s">
        <v>3648</v>
      </c>
      <c r="C14" s="316"/>
      <c r="D14" s="316"/>
      <c r="E14" s="316"/>
      <c r="F14" s="316"/>
      <c r="G14" s="316"/>
      <c r="H14" s="316"/>
      <c r="I14" s="316"/>
      <c r="J14" s="316"/>
      <c r="K14" s="316"/>
      <c r="L14" s="316"/>
      <c r="M14" s="316"/>
      <c r="N14" s="316"/>
      <c r="O14" s="316">
        <f t="shared" si="0"/>
        <v>0</v>
      </c>
    </row>
    <row r="15" spans="1:15" ht="17.7" x14ac:dyDescent="0.25">
      <c r="A15" s="313">
        <v>8</v>
      </c>
      <c r="B15" s="315" t="s">
        <v>3649</v>
      </c>
      <c r="C15" s="316"/>
      <c r="D15" s="316"/>
      <c r="E15" s="316"/>
      <c r="F15" s="316"/>
      <c r="G15" s="316"/>
      <c r="H15" s="316"/>
      <c r="I15" s="316"/>
      <c r="J15" s="316"/>
      <c r="K15" s="316"/>
      <c r="L15" s="316"/>
      <c r="M15" s="316"/>
      <c r="N15" s="316"/>
      <c r="O15" s="316">
        <f t="shared" si="0"/>
        <v>0</v>
      </c>
    </row>
    <row r="16" spans="1:15" ht="17.7" x14ac:dyDescent="0.25">
      <c r="A16" s="313">
        <v>9</v>
      </c>
      <c r="B16" s="315" t="s">
        <v>3650</v>
      </c>
      <c r="C16" s="316"/>
      <c r="D16" s="316"/>
      <c r="E16" s="316"/>
      <c r="F16" s="316"/>
      <c r="G16" s="316"/>
      <c r="H16" s="316"/>
      <c r="I16" s="316"/>
      <c r="J16" s="316"/>
      <c r="K16" s="316"/>
      <c r="L16" s="316"/>
      <c r="M16" s="316"/>
      <c r="N16" s="316"/>
      <c r="O16" s="316">
        <f t="shared" si="0"/>
        <v>0</v>
      </c>
    </row>
    <row r="17" spans="1:15" ht="17.7" x14ac:dyDescent="0.25">
      <c r="A17" s="313">
        <v>10</v>
      </c>
      <c r="B17" s="315" t="s">
        <v>3561</v>
      </c>
      <c r="C17" s="316">
        <v>2</v>
      </c>
      <c r="D17" s="316"/>
      <c r="E17" s="316"/>
      <c r="F17" s="316">
        <v>1</v>
      </c>
      <c r="G17" s="316">
        <v>1</v>
      </c>
      <c r="H17" s="316"/>
      <c r="I17" s="316"/>
      <c r="J17" s="316"/>
      <c r="K17" s="316">
        <v>1</v>
      </c>
      <c r="L17" s="316"/>
      <c r="M17" s="316"/>
      <c r="N17" s="316"/>
      <c r="O17" s="316">
        <f t="shared" si="0"/>
        <v>5</v>
      </c>
    </row>
    <row r="18" spans="1:15" ht="17.7" x14ac:dyDescent="0.25">
      <c r="A18" s="313">
        <v>11</v>
      </c>
      <c r="B18" s="315" t="s">
        <v>3651</v>
      </c>
      <c r="C18" s="316"/>
      <c r="D18" s="316"/>
      <c r="E18" s="316"/>
      <c r="F18" s="316"/>
      <c r="G18" s="316"/>
      <c r="H18" s="316"/>
      <c r="I18" s="316"/>
      <c r="J18" s="316"/>
      <c r="K18" s="316"/>
      <c r="L18" s="316"/>
      <c r="M18" s="316"/>
      <c r="N18" s="316"/>
      <c r="O18" s="316">
        <f t="shared" si="0"/>
        <v>0</v>
      </c>
    </row>
    <row r="19" spans="1:15" ht="17.7" x14ac:dyDescent="0.25">
      <c r="A19" s="313">
        <v>12</v>
      </c>
      <c r="B19" s="315" t="s">
        <v>3564</v>
      </c>
      <c r="C19" s="316"/>
      <c r="D19" s="316">
        <v>1</v>
      </c>
      <c r="E19" s="316">
        <v>1</v>
      </c>
      <c r="F19" s="316"/>
      <c r="G19" s="316"/>
      <c r="H19" s="316">
        <v>1</v>
      </c>
      <c r="I19" s="316"/>
      <c r="J19" s="316">
        <v>2</v>
      </c>
      <c r="K19" s="316"/>
      <c r="L19" s="316"/>
      <c r="M19" s="316"/>
      <c r="N19" s="316">
        <v>1</v>
      </c>
      <c r="O19" s="316">
        <f t="shared" si="0"/>
        <v>6</v>
      </c>
    </row>
    <row r="20" spans="1:15" x14ac:dyDescent="0.25">
      <c r="A20" s="313"/>
      <c r="B20" s="317" t="s">
        <v>3565</v>
      </c>
      <c r="C20" s="318">
        <f t="shared" ref="C20:N20" si="1">SUM(C8:C19)</f>
        <v>9</v>
      </c>
      <c r="D20" s="318">
        <f t="shared" si="1"/>
        <v>9</v>
      </c>
      <c r="E20" s="318">
        <f t="shared" si="1"/>
        <v>6</v>
      </c>
      <c r="F20" s="318">
        <f t="shared" si="1"/>
        <v>2</v>
      </c>
      <c r="G20" s="318">
        <f t="shared" si="1"/>
        <v>5</v>
      </c>
      <c r="H20" s="318">
        <f t="shared" si="1"/>
        <v>1</v>
      </c>
      <c r="I20" s="318">
        <f t="shared" si="1"/>
        <v>2</v>
      </c>
      <c r="J20" s="318">
        <f t="shared" si="1"/>
        <v>3</v>
      </c>
      <c r="K20" s="318">
        <f t="shared" si="1"/>
        <v>4</v>
      </c>
      <c r="L20" s="318">
        <f t="shared" si="1"/>
        <v>2</v>
      </c>
      <c r="M20" s="318">
        <f t="shared" si="1"/>
        <v>2</v>
      </c>
      <c r="N20" s="318">
        <f t="shared" si="1"/>
        <v>4</v>
      </c>
      <c r="O20" s="316">
        <f t="shared" si="0"/>
        <v>49</v>
      </c>
    </row>
    <row r="21" spans="1:15" x14ac:dyDescent="0.25">
      <c r="A21" s="313"/>
      <c r="B21" s="319" t="s">
        <v>3567</v>
      </c>
      <c r="C21" s="320"/>
      <c r="D21" s="320"/>
      <c r="E21" s="320"/>
      <c r="F21" s="320"/>
      <c r="G21" s="320"/>
      <c r="H21" s="320"/>
      <c r="I21" s="320"/>
      <c r="J21" s="320"/>
      <c r="K21" s="320"/>
      <c r="L21" s="320"/>
      <c r="M21" s="320"/>
      <c r="N21" s="320"/>
      <c r="O21" s="320"/>
    </row>
    <row r="22" spans="1:15" ht="35.35" x14ac:dyDescent="0.25">
      <c r="A22" s="313">
        <v>13</v>
      </c>
      <c r="B22" s="321" t="s">
        <v>3652</v>
      </c>
      <c r="C22" s="316"/>
      <c r="D22" s="316"/>
      <c r="E22" s="316"/>
      <c r="F22" s="316"/>
      <c r="G22" s="316"/>
      <c r="H22" s="316"/>
      <c r="I22" s="316"/>
      <c r="J22" s="316"/>
      <c r="K22" s="316"/>
      <c r="L22" s="316"/>
      <c r="M22" s="316"/>
      <c r="N22" s="316"/>
      <c r="O22" s="316">
        <f t="shared" si="0"/>
        <v>0</v>
      </c>
    </row>
    <row r="23" spans="1:15" ht="35.35" x14ac:dyDescent="0.25">
      <c r="A23" s="313">
        <v>14</v>
      </c>
      <c r="B23" s="321" t="s">
        <v>3653</v>
      </c>
      <c r="C23" s="316">
        <v>1</v>
      </c>
      <c r="D23" s="316"/>
      <c r="E23" s="316"/>
      <c r="F23" s="316"/>
      <c r="G23" s="316"/>
      <c r="H23" s="316"/>
      <c r="I23" s="316"/>
      <c r="J23" s="316"/>
      <c r="K23" s="316">
        <v>1</v>
      </c>
      <c r="L23" s="316"/>
      <c r="M23" s="316"/>
      <c r="N23" s="316">
        <v>1</v>
      </c>
      <c r="O23" s="316">
        <f t="shared" si="0"/>
        <v>3</v>
      </c>
    </row>
    <row r="24" spans="1:15" ht="35.35" x14ac:dyDescent="0.25">
      <c r="A24" s="313">
        <v>15</v>
      </c>
      <c r="B24" s="321" t="s">
        <v>3654</v>
      </c>
      <c r="C24" s="316"/>
      <c r="D24" s="316"/>
      <c r="E24" s="316"/>
      <c r="F24" s="316"/>
      <c r="G24" s="316"/>
      <c r="H24" s="316"/>
      <c r="I24" s="316"/>
      <c r="J24" s="316"/>
      <c r="K24" s="316"/>
      <c r="L24" s="316"/>
      <c r="M24" s="316"/>
      <c r="N24" s="316"/>
      <c r="O24" s="316">
        <f t="shared" si="0"/>
        <v>0</v>
      </c>
    </row>
    <row r="25" spans="1:15" ht="17.7" x14ac:dyDescent="0.25">
      <c r="A25" s="313">
        <v>16</v>
      </c>
      <c r="B25" s="315" t="s">
        <v>3569</v>
      </c>
      <c r="C25" s="316"/>
      <c r="D25" s="316"/>
      <c r="E25" s="316"/>
      <c r="F25" s="316"/>
      <c r="G25" s="316"/>
      <c r="H25" s="316"/>
      <c r="I25" s="316"/>
      <c r="J25" s="316"/>
      <c r="K25" s="316"/>
      <c r="L25" s="316"/>
      <c r="M25" s="316"/>
      <c r="N25" s="316"/>
      <c r="O25" s="316">
        <f t="shared" si="0"/>
        <v>0</v>
      </c>
    </row>
    <row r="26" spans="1:15" ht="17.7" x14ac:dyDescent="0.25">
      <c r="A26" s="313">
        <v>17</v>
      </c>
      <c r="B26" s="315" t="s">
        <v>3570</v>
      </c>
      <c r="C26" s="316">
        <v>2</v>
      </c>
      <c r="D26" s="316"/>
      <c r="E26" s="316"/>
      <c r="F26" s="316">
        <v>2</v>
      </c>
      <c r="G26" s="316"/>
      <c r="H26" s="316"/>
      <c r="I26" s="316"/>
      <c r="J26" s="316">
        <v>1</v>
      </c>
      <c r="K26" s="316">
        <v>2</v>
      </c>
      <c r="L26" s="316">
        <v>1</v>
      </c>
      <c r="M26" s="316"/>
      <c r="N26" s="316">
        <v>1</v>
      </c>
      <c r="O26" s="316">
        <f t="shared" si="0"/>
        <v>9</v>
      </c>
    </row>
    <row r="27" spans="1:15" ht="17.7" x14ac:dyDescent="0.25">
      <c r="A27" s="313">
        <v>18</v>
      </c>
      <c r="B27" s="315" t="s">
        <v>3571</v>
      </c>
      <c r="C27" s="316"/>
      <c r="D27" s="316"/>
      <c r="E27" s="316"/>
      <c r="F27" s="316"/>
      <c r="G27" s="316"/>
      <c r="H27" s="316"/>
      <c r="I27" s="316"/>
      <c r="J27" s="316"/>
      <c r="K27" s="316"/>
      <c r="L27" s="316"/>
      <c r="M27" s="316"/>
      <c r="N27" s="316"/>
      <c r="O27" s="316">
        <f t="shared" si="0"/>
        <v>0</v>
      </c>
    </row>
    <row r="28" spans="1:15" ht="17.7" x14ac:dyDescent="0.25">
      <c r="A28" s="313">
        <v>19</v>
      </c>
      <c r="B28" s="315" t="s">
        <v>3572</v>
      </c>
      <c r="C28" s="316"/>
      <c r="D28" s="316"/>
      <c r="E28" s="316"/>
      <c r="F28" s="316"/>
      <c r="G28" s="316"/>
      <c r="H28" s="316"/>
      <c r="I28" s="316"/>
      <c r="J28" s="316"/>
      <c r="K28" s="316"/>
      <c r="L28" s="316"/>
      <c r="M28" s="316"/>
      <c r="N28" s="316"/>
      <c r="O28" s="316">
        <f t="shared" si="0"/>
        <v>0</v>
      </c>
    </row>
    <row r="29" spans="1:15" ht="17.7" x14ac:dyDescent="0.25">
      <c r="A29" s="313">
        <v>20</v>
      </c>
      <c r="B29" s="315" t="s">
        <v>3573</v>
      </c>
      <c r="C29" s="316"/>
      <c r="D29" s="316"/>
      <c r="E29" s="316"/>
      <c r="F29" s="316"/>
      <c r="G29" s="316"/>
      <c r="H29" s="316"/>
      <c r="I29" s="316"/>
      <c r="J29" s="316"/>
      <c r="K29" s="316"/>
      <c r="L29" s="316"/>
      <c r="M29" s="316"/>
      <c r="N29" s="316"/>
      <c r="O29" s="316">
        <f t="shared" si="0"/>
        <v>0</v>
      </c>
    </row>
    <row r="30" spans="1:15" ht="17.7" x14ac:dyDescent="0.25">
      <c r="A30" s="313">
        <v>21</v>
      </c>
      <c r="B30" s="315" t="s">
        <v>3655</v>
      </c>
      <c r="C30" s="316"/>
      <c r="D30" s="316">
        <v>1</v>
      </c>
      <c r="E30" s="316"/>
      <c r="F30" s="316"/>
      <c r="G30" s="316"/>
      <c r="H30" s="316"/>
      <c r="I30" s="316"/>
      <c r="J30" s="316"/>
      <c r="K30" s="316"/>
      <c r="L30" s="316"/>
      <c r="M30" s="316"/>
      <c r="N30" s="316"/>
      <c r="O30" s="316">
        <f t="shared" si="0"/>
        <v>1</v>
      </c>
    </row>
    <row r="31" spans="1:15" ht="17.7" x14ac:dyDescent="0.25">
      <c r="A31" s="313">
        <v>22</v>
      </c>
      <c r="B31" s="315" t="s">
        <v>3575</v>
      </c>
      <c r="C31" s="316"/>
      <c r="D31" s="316"/>
      <c r="E31" s="316"/>
      <c r="F31" s="316"/>
      <c r="G31" s="316"/>
      <c r="H31" s="316"/>
      <c r="I31" s="316"/>
      <c r="J31" s="316"/>
      <c r="K31" s="316"/>
      <c r="L31" s="316"/>
      <c r="M31" s="316"/>
      <c r="N31" s="316"/>
      <c r="O31" s="316">
        <f t="shared" si="0"/>
        <v>0</v>
      </c>
    </row>
    <row r="32" spans="1:15" ht="17.7" x14ac:dyDescent="0.25">
      <c r="A32" s="313">
        <v>23</v>
      </c>
      <c r="B32" s="315" t="s">
        <v>3576</v>
      </c>
      <c r="C32" s="316"/>
      <c r="D32" s="316"/>
      <c r="E32" s="316"/>
      <c r="F32" s="316"/>
      <c r="G32" s="316"/>
      <c r="H32" s="316"/>
      <c r="I32" s="316"/>
      <c r="J32" s="316"/>
      <c r="K32" s="316"/>
      <c r="L32" s="316"/>
      <c r="M32" s="316"/>
      <c r="N32" s="316"/>
      <c r="O32" s="316">
        <f t="shared" si="0"/>
        <v>0</v>
      </c>
    </row>
    <row r="33" spans="1:15" ht="17.7" x14ac:dyDescent="0.25">
      <c r="A33" s="313">
        <v>24</v>
      </c>
      <c r="B33" s="315" t="s">
        <v>3577</v>
      </c>
      <c r="C33" s="316"/>
      <c r="D33" s="316"/>
      <c r="E33" s="316"/>
      <c r="F33" s="316"/>
      <c r="G33" s="316"/>
      <c r="H33" s="316"/>
      <c r="I33" s="316"/>
      <c r="J33" s="316"/>
      <c r="K33" s="316"/>
      <c r="L33" s="316"/>
      <c r="M33" s="316"/>
      <c r="N33" s="316"/>
      <c r="O33" s="316">
        <f t="shared" si="0"/>
        <v>0</v>
      </c>
    </row>
    <row r="34" spans="1:15" ht="17.7" x14ac:dyDescent="0.25">
      <c r="A34" s="313">
        <v>25</v>
      </c>
      <c r="B34" s="315" t="s">
        <v>3578</v>
      </c>
      <c r="C34" s="316"/>
      <c r="D34" s="316"/>
      <c r="E34" s="316"/>
      <c r="F34" s="316"/>
      <c r="G34" s="316"/>
      <c r="H34" s="316"/>
      <c r="I34" s="316"/>
      <c r="J34" s="316"/>
      <c r="K34" s="316"/>
      <c r="L34" s="316"/>
      <c r="M34" s="316"/>
      <c r="N34" s="316"/>
      <c r="O34" s="316">
        <f t="shared" si="0"/>
        <v>0</v>
      </c>
    </row>
    <row r="35" spans="1:15" ht="17.7" x14ac:dyDescent="0.25">
      <c r="A35" s="313">
        <v>26</v>
      </c>
      <c r="B35" s="315" t="s">
        <v>3656</v>
      </c>
      <c r="C35" s="316"/>
      <c r="D35" s="316">
        <v>1</v>
      </c>
      <c r="E35" s="316">
        <v>2</v>
      </c>
      <c r="F35" s="316"/>
      <c r="G35" s="316"/>
      <c r="H35" s="316"/>
      <c r="I35" s="316"/>
      <c r="J35" s="316"/>
      <c r="K35" s="316"/>
      <c r="L35" s="316">
        <v>1</v>
      </c>
      <c r="M35" s="316"/>
      <c r="N35" s="316"/>
      <c r="O35" s="316">
        <f t="shared" si="0"/>
        <v>4</v>
      </c>
    </row>
    <row r="36" spans="1:15" ht="35.35" x14ac:dyDescent="0.25">
      <c r="A36" s="313">
        <v>27</v>
      </c>
      <c r="B36" s="321" t="s">
        <v>3580</v>
      </c>
      <c r="C36" s="316"/>
      <c r="D36" s="316"/>
      <c r="E36" s="316"/>
      <c r="F36" s="316"/>
      <c r="G36" s="316"/>
      <c r="H36" s="316"/>
      <c r="I36" s="316"/>
      <c r="J36" s="316"/>
      <c r="K36" s="316"/>
      <c r="L36" s="316"/>
      <c r="M36" s="316"/>
      <c r="N36" s="316"/>
      <c r="O36" s="316">
        <f t="shared" si="0"/>
        <v>0</v>
      </c>
    </row>
    <row r="37" spans="1:15" x14ac:dyDescent="0.25">
      <c r="A37" s="313"/>
      <c r="B37" s="317" t="s">
        <v>3565</v>
      </c>
      <c r="C37" s="318">
        <f t="shared" ref="C37:N37" si="2">SUM(C22:C36)</f>
        <v>3</v>
      </c>
      <c r="D37" s="318">
        <f t="shared" si="2"/>
        <v>2</v>
      </c>
      <c r="E37" s="318">
        <f t="shared" si="2"/>
        <v>2</v>
      </c>
      <c r="F37" s="318">
        <f t="shared" si="2"/>
        <v>2</v>
      </c>
      <c r="G37" s="318">
        <f t="shared" si="2"/>
        <v>0</v>
      </c>
      <c r="H37" s="318">
        <f t="shared" si="2"/>
        <v>0</v>
      </c>
      <c r="I37" s="318">
        <f t="shared" si="2"/>
        <v>0</v>
      </c>
      <c r="J37" s="318">
        <f t="shared" si="2"/>
        <v>1</v>
      </c>
      <c r="K37" s="318">
        <f t="shared" si="2"/>
        <v>3</v>
      </c>
      <c r="L37" s="318">
        <f t="shared" si="2"/>
        <v>2</v>
      </c>
      <c r="M37" s="318">
        <f t="shared" si="2"/>
        <v>0</v>
      </c>
      <c r="N37" s="318">
        <f t="shared" si="2"/>
        <v>2</v>
      </c>
      <c r="O37" s="316">
        <f t="shared" si="0"/>
        <v>17</v>
      </c>
    </row>
    <row r="38" spans="1:15" x14ac:dyDescent="0.25">
      <c r="A38" s="313"/>
      <c r="B38" s="322" t="s">
        <v>3583</v>
      </c>
      <c r="C38" s="323"/>
      <c r="D38" s="323"/>
      <c r="E38" s="323"/>
      <c r="F38" s="323"/>
      <c r="G38" s="323"/>
      <c r="H38" s="323"/>
      <c r="I38" s="323"/>
      <c r="J38" s="323"/>
      <c r="K38" s="323"/>
      <c r="L38" s="323"/>
      <c r="M38" s="323"/>
      <c r="N38" s="323"/>
      <c r="O38" s="323"/>
    </row>
    <row r="39" spans="1:15" ht="31.25" x14ac:dyDescent="0.25">
      <c r="A39" s="313">
        <v>28</v>
      </c>
      <c r="B39" s="324" t="s">
        <v>3657</v>
      </c>
      <c r="C39" s="316"/>
      <c r="D39" s="316"/>
      <c r="E39" s="316"/>
      <c r="F39" s="316"/>
      <c r="G39" s="316"/>
      <c r="H39" s="316"/>
      <c r="I39" s="316"/>
      <c r="J39" s="316"/>
      <c r="K39" s="316"/>
      <c r="L39" s="316"/>
      <c r="M39" s="316"/>
      <c r="N39" s="316"/>
      <c r="O39" s="316">
        <f t="shared" si="0"/>
        <v>0</v>
      </c>
    </row>
    <row r="40" spans="1:15" x14ac:dyDescent="0.25">
      <c r="A40" s="313">
        <v>29</v>
      </c>
      <c r="B40" s="325" t="s">
        <v>3658</v>
      </c>
      <c r="C40" s="316"/>
      <c r="D40" s="316"/>
      <c r="E40" s="316"/>
      <c r="F40" s="316"/>
      <c r="G40" s="316"/>
      <c r="H40" s="316"/>
      <c r="I40" s="316"/>
      <c r="J40" s="316"/>
      <c r="K40" s="316"/>
      <c r="L40" s="316"/>
      <c r="M40" s="316"/>
      <c r="N40" s="316"/>
      <c r="O40" s="316">
        <f t="shared" si="0"/>
        <v>0</v>
      </c>
    </row>
    <row r="41" spans="1:15" x14ac:dyDescent="0.25">
      <c r="A41" s="313">
        <v>30</v>
      </c>
      <c r="B41" s="325" t="s">
        <v>3585</v>
      </c>
      <c r="C41" s="316"/>
      <c r="D41" s="316"/>
      <c r="E41" s="316"/>
      <c r="F41" s="316"/>
      <c r="G41" s="316"/>
      <c r="H41" s="316"/>
      <c r="I41" s="316"/>
      <c r="J41" s="316"/>
      <c r="K41" s="316"/>
      <c r="L41" s="316"/>
      <c r="M41" s="316"/>
      <c r="N41" s="316"/>
      <c r="O41" s="316">
        <f t="shared" si="0"/>
        <v>0</v>
      </c>
    </row>
    <row r="42" spans="1:15" x14ac:dyDescent="0.25">
      <c r="A42" s="313">
        <v>31</v>
      </c>
      <c r="B42" s="325" t="s">
        <v>3659</v>
      </c>
      <c r="C42" s="316">
        <v>3</v>
      </c>
      <c r="D42" s="316">
        <v>1</v>
      </c>
      <c r="E42" s="316">
        <v>1</v>
      </c>
      <c r="F42" s="316"/>
      <c r="G42" s="316">
        <v>3</v>
      </c>
      <c r="H42" s="316"/>
      <c r="I42" s="316">
        <v>4</v>
      </c>
      <c r="J42" s="316">
        <v>2</v>
      </c>
      <c r="K42" s="316">
        <v>3</v>
      </c>
      <c r="L42" s="316">
        <v>2</v>
      </c>
      <c r="M42" s="316"/>
      <c r="N42" s="316"/>
      <c r="O42" s="316">
        <f t="shared" si="0"/>
        <v>19</v>
      </c>
    </row>
    <row r="43" spans="1:15" x14ac:dyDescent="0.25">
      <c r="A43" s="313">
        <v>32</v>
      </c>
      <c r="B43" s="325" t="s">
        <v>3587</v>
      </c>
      <c r="C43" s="316"/>
      <c r="D43" s="316"/>
      <c r="E43" s="316">
        <v>1</v>
      </c>
      <c r="F43" s="316"/>
      <c r="G43" s="316"/>
      <c r="H43" s="316">
        <v>1</v>
      </c>
      <c r="I43" s="316"/>
      <c r="J43" s="316"/>
      <c r="K43" s="316"/>
      <c r="L43" s="316"/>
      <c r="M43" s="316"/>
      <c r="N43" s="316"/>
      <c r="O43" s="316">
        <f t="shared" si="0"/>
        <v>2</v>
      </c>
    </row>
    <row r="44" spans="1:15" x14ac:dyDescent="0.25">
      <c r="A44" s="313"/>
      <c r="B44" s="317" t="s">
        <v>3565</v>
      </c>
      <c r="C44" s="318">
        <f t="shared" ref="C44:N44" si="3">SUM(C39:C43)</f>
        <v>3</v>
      </c>
      <c r="D44" s="318">
        <f t="shared" si="3"/>
        <v>1</v>
      </c>
      <c r="E44" s="318">
        <f t="shared" si="3"/>
        <v>2</v>
      </c>
      <c r="F44" s="318">
        <f t="shared" si="3"/>
        <v>0</v>
      </c>
      <c r="G44" s="318">
        <f t="shared" si="3"/>
        <v>3</v>
      </c>
      <c r="H44" s="318">
        <f t="shared" si="3"/>
        <v>1</v>
      </c>
      <c r="I44" s="318">
        <f t="shared" si="3"/>
        <v>4</v>
      </c>
      <c r="J44" s="318">
        <f t="shared" si="3"/>
        <v>2</v>
      </c>
      <c r="K44" s="318">
        <f t="shared" si="3"/>
        <v>3</v>
      </c>
      <c r="L44" s="318">
        <f t="shared" si="3"/>
        <v>2</v>
      </c>
      <c r="M44" s="318">
        <f t="shared" si="3"/>
        <v>0</v>
      </c>
      <c r="N44" s="318">
        <f t="shared" si="3"/>
        <v>0</v>
      </c>
      <c r="O44" s="316">
        <f t="shared" si="0"/>
        <v>21</v>
      </c>
    </row>
    <row r="45" spans="1:15" x14ac:dyDescent="0.25">
      <c r="A45" s="313"/>
      <c r="B45" s="326" t="s">
        <v>3589</v>
      </c>
      <c r="C45" s="327"/>
      <c r="D45" s="327"/>
      <c r="E45" s="327"/>
      <c r="F45" s="327"/>
      <c r="G45" s="327"/>
      <c r="H45" s="327"/>
      <c r="I45" s="327"/>
      <c r="J45" s="327"/>
      <c r="K45" s="327"/>
      <c r="L45" s="327"/>
      <c r="M45" s="327"/>
      <c r="N45" s="327"/>
      <c r="O45" s="327"/>
    </row>
    <row r="46" spans="1:15" x14ac:dyDescent="0.25">
      <c r="A46" s="313">
        <v>33</v>
      </c>
      <c r="B46" s="325" t="s">
        <v>3590</v>
      </c>
      <c r="C46" s="328"/>
      <c r="D46" s="328"/>
      <c r="E46" s="328"/>
      <c r="F46" s="328"/>
      <c r="G46" s="328">
        <v>1</v>
      </c>
      <c r="H46" s="328"/>
      <c r="I46" s="328"/>
      <c r="J46" s="328"/>
      <c r="K46" s="328">
        <v>13</v>
      </c>
      <c r="L46" s="328"/>
      <c r="M46" s="328"/>
      <c r="N46" s="328"/>
      <c r="O46" s="316">
        <f t="shared" si="0"/>
        <v>14</v>
      </c>
    </row>
    <row r="47" spans="1:15" ht="31.25" x14ac:dyDescent="0.25">
      <c r="A47" s="313">
        <v>34</v>
      </c>
      <c r="B47" s="329" t="s">
        <v>3660</v>
      </c>
      <c r="C47" s="328"/>
      <c r="D47" s="328"/>
      <c r="E47" s="328"/>
      <c r="F47" s="328"/>
      <c r="G47" s="328"/>
      <c r="H47" s="328"/>
      <c r="I47" s="328"/>
      <c r="J47" s="328"/>
      <c r="K47" s="328"/>
      <c r="L47" s="328"/>
      <c r="M47" s="328"/>
      <c r="N47" s="328"/>
      <c r="O47" s="316">
        <f t="shared" si="0"/>
        <v>0</v>
      </c>
    </row>
    <row r="48" spans="1:15" x14ac:dyDescent="0.25">
      <c r="A48" s="313">
        <v>35</v>
      </c>
      <c r="B48" s="325" t="s">
        <v>3592</v>
      </c>
      <c r="C48" s="328"/>
      <c r="D48" s="328"/>
      <c r="E48" s="328"/>
      <c r="F48" s="328"/>
      <c r="G48" s="328"/>
      <c r="H48" s="328"/>
      <c r="I48" s="328"/>
      <c r="J48" s="328"/>
      <c r="K48" s="328"/>
      <c r="L48" s="328"/>
      <c r="M48" s="328"/>
      <c r="N48" s="328"/>
      <c r="O48" s="316">
        <f t="shared" si="0"/>
        <v>0</v>
      </c>
    </row>
    <row r="49" spans="1:15" x14ac:dyDescent="0.25">
      <c r="A49" s="313">
        <v>36</v>
      </c>
      <c r="B49" s="325" t="s">
        <v>3593</v>
      </c>
      <c r="C49" s="328"/>
      <c r="D49" s="328"/>
      <c r="E49" s="328"/>
      <c r="F49" s="328"/>
      <c r="G49" s="328"/>
      <c r="H49" s="328"/>
      <c r="I49" s="328"/>
      <c r="J49" s="328"/>
      <c r="K49" s="328"/>
      <c r="L49" s="328"/>
      <c r="M49" s="328"/>
      <c r="N49" s="328"/>
      <c r="O49" s="316">
        <f t="shared" si="0"/>
        <v>0</v>
      </c>
    </row>
    <row r="50" spans="1:15" ht="17.350000000000001" customHeight="1" x14ac:dyDescent="0.25">
      <c r="A50" s="313">
        <v>37</v>
      </c>
      <c r="B50" s="325" t="s">
        <v>3594</v>
      </c>
      <c r="C50" s="328"/>
      <c r="D50" s="328"/>
      <c r="E50" s="328"/>
      <c r="F50" s="328"/>
      <c r="G50" s="328"/>
      <c r="H50" s="328"/>
      <c r="I50" s="328"/>
      <c r="J50" s="328"/>
      <c r="K50" s="328"/>
      <c r="L50" s="328"/>
      <c r="M50" s="328"/>
      <c r="N50" s="328"/>
      <c r="O50" s="316">
        <f t="shared" si="0"/>
        <v>0</v>
      </c>
    </row>
    <row r="51" spans="1:15" ht="30.25" customHeight="1" x14ac:dyDescent="0.25">
      <c r="A51" s="313">
        <v>38</v>
      </c>
      <c r="B51" s="329" t="s">
        <v>3661</v>
      </c>
      <c r="C51" s="328"/>
      <c r="D51" s="328"/>
      <c r="E51" s="328"/>
      <c r="F51" s="328"/>
      <c r="G51" s="328"/>
      <c r="H51" s="328"/>
      <c r="I51" s="328"/>
      <c r="J51" s="328"/>
      <c r="K51" s="328">
        <v>10</v>
      </c>
      <c r="L51" s="328"/>
      <c r="M51" s="328"/>
      <c r="N51" s="328"/>
      <c r="O51" s="316">
        <f t="shared" si="0"/>
        <v>10</v>
      </c>
    </row>
    <row r="52" spans="1:15" x14ac:dyDescent="0.25">
      <c r="A52" s="313">
        <v>39</v>
      </c>
      <c r="B52" s="325" t="s">
        <v>3596</v>
      </c>
      <c r="C52" s="328"/>
      <c r="D52" s="328"/>
      <c r="E52" s="328">
        <v>1</v>
      </c>
      <c r="F52" s="328"/>
      <c r="G52" s="328"/>
      <c r="H52" s="328"/>
      <c r="I52" s="328"/>
      <c r="J52" s="328">
        <v>1</v>
      </c>
      <c r="K52" s="328">
        <v>13</v>
      </c>
      <c r="L52" s="328">
        <v>3</v>
      </c>
      <c r="M52" s="328">
        <v>1</v>
      </c>
      <c r="N52" s="328">
        <v>1</v>
      </c>
      <c r="O52" s="316">
        <f t="shared" si="0"/>
        <v>20</v>
      </c>
    </row>
    <row r="53" spans="1:15" x14ac:dyDescent="0.25">
      <c r="A53" s="313">
        <v>40</v>
      </c>
      <c r="B53" s="325" t="s">
        <v>3597</v>
      </c>
      <c r="C53" s="328">
        <v>1</v>
      </c>
      <c r="D53" s="328">
        <v>5</v>
      </c>
      <c r="E53" s="328">
        <v>8</v>
      </c>
      <c r="F53" s="328">
        <v>11</v>
      </c>
      <c r="G53" s="328">
        <v>10</v>
      </c>
      <c r="H53" s="328">
        <v>15</v>
      </c>
      <c r="I53" s="328">
        <v>9</v>
      </c>
      <c r="J53" s="328"/>
      <c r="K53" s="328"/>
      <c r="L53" s="328">
        <v>5</v>
      </c>
      <c r="M53" s="328">
        <v>2</v>
      </c>
      <c r="N53" s="328">
        <v>1</v>
      </c>
      <c r="O53" s="316">
        <f t="shared" si="0"/>
        <v>67</v>
      </c>
    </row>
    <row r="54" spans="1:15" x14ac:dyDescent="0.25">
      <c r="A54" s="313">
        <v>41</v>
      </c>
      <c r="B54" s="325" t="s">
        <v>3598</v>
      </c>
      <c r="C54" s="328"/>
      <c r="D54" s="328"/>
      <c r="E54" s="328"/>
      <c r="F54" s="328"/>
      <c r="G54" s="328"/>
      <c r="H54" s="328"/>
      <c r="I54" s="328"/>
      <c r="J54" s="328"/>
      <c r="K54" s="328"/>
      <c r="L54" s="328"/>
      <c r="M54" s="328"/>
      <c r="N54" s="328"/>
      <c r="O54" s="316">
        <f t="shared" si="0"/>
        <v>0</v>
      </c>
    </row>
    <row r="55" spans="1:15" x14ac:dyDescent="0.25">
      <c r="A55" s="313">
        <v>42</v>
      </c>
      <c r="B55" s="330" t="s">
        <v>3662</v>
      </c>
      <c r="C55" s="328"/>
      <c r="D55" s="328"/>
      <c r="E55" s="328"/>
      <c r="F55" s="328"/>
      <c r="G55" s="328" t="s">
        <v>3543</v>
      </c>
      <c r="H55" s="328"/>
      <c r="I55" s="328"/>
      <c r="J55" s="328"/>
      <c r="K55" s="328">
        <v>1</v>
      </c>
      <c r="L55" s="328"/>
      <c r="M55" s="328"/>
      <c r="N55" s="328"/>
      <c r="O55" s="316">
        <f t="shared" si="0"/>
        <v>1</v>
      </c>
    </row>
    <row r="56" spans="1:15" x14ac:dyDescent="0.25">
      <c r="A56" s="313">
        <v>43</v>
      </c>
      <c r="B56" s="330" t="s">
        <v>3663</v>
      </c>
      <c r="C56" s="328"/>
      <c r="D56" s="328"/>
      <c r="E56" s="328"/>
      <c r="F56" s="328"/>
      <c r="G56" s="328"/>
      <c r="H56" s="328"/>
      <c r="I56" s="328"/>
      <c r="J56" s="328">
        <v>1</v>
      </c>
      <c r="K56" s="328">
        <v>1</v>
      </c>
      <c r="L56" s="328"/>
      <c r="M56" s="328"/>
      <c r="N56" s="328"/>
      <c r="O56" s="316">
        <f t="shared" si="0"/>
        <v>2</v>
      </c>
    </row>
    <row r="57" spans="1:15" x14ac:dyDescent="0.25">
      <c r="A57" s="313"/>
      <c r="B57" s="317" t="s">
        <v>3565</v>
      </c>
      <c r="C57" s="318">
        <f t="shared" ref="C57:N57" si="4">SUM(C46:C56)</f>
        <v>1</v>
      </c>
      <c r="D57" s="318">
        <f t="shared" si="4"/>
        <v>5</v>
      </c>
      <c r="E57" s="318">
        <f t="shared" si="4"/>
        <v>9</v>
      </c>
      <c r="F57" s="318">
        <f t="shared" si="4"/>
        <v>11</v>
      </c>
      <c r="G57" s="318">
        <f t="shared" si="4"/>
        <v>11</v>
      </c>
      <c r="H57" s="318">
        <f t="shared" si="4"/>
        <v>15</v>
      </c>
      <c r="I57" s="318">
        <f t="shared" si="4"/>
        <v>9</v>
      </c>
      <c r="J57" s="318">
        <f t="shared" si="4"/>
        <v>2</v>
      </c>
      <c r="K57" s="318">
        <f t="shared" si="4"/>
        <v>38</v>
      </c>
      <c r="L57" s="318">
        <f t="shared" si="4"/>
        <v>8</v>
      </c>
      <c r="M57" s="318">
        <f t="shared" si="4"/>
        <v>3</v>
      </c>
      <c r="N57" s="318">
        <f t="shared" si="4"/>
        <v>2</v>
      </c>
      <c r="O57" s="316">
        <f t="shared" si="0"/>
        <v>114</v>
      </c>
    </row>
    <row r="58" spans="1:15" x14ac:dyDescent="0.25">
      <c r="A58" s="313"/>
      <c r="B58" s="331" t="s">
        <v>3600</v>
      </c>
      <c r="C58" s="332"/>
      <c r="D58" s="332"/>
      <c r="E58" s="332"/>
      <c r="F58" s="332"/>
      <c r="G58" s="332"/>
      <c r="H58" s="332"/>
      <c r="I58" s="332"/>
      <c r="J58" s="332"/>
      <c r="K58" s="332"/>
      <c r="L58" s="332"/>
      <c r="M58" s="332"/>
      <c r="N58" s="332"/>
      <c r="O58" s="332"/>
    </row>
    <row r="59" spans="1:15" ht="31.25" x14ac:dyDescent="0.25">
      <c r="A59" s="313">
        <v>44</v>
      </c>
      <c r="B59" s="324" t="s">
        <v>3664</v>
      </c>
      <c r="C59" s="316">
        <v>1</v>
      </c>
      <c r="D59" s="316"/>
      <c r="E59" s="316"/>
      <c r="F59" s="316"/>
      <c r="G59" s="316"/>
      <c r="H59" s="316"/>
      <c r="I59" s="316"/>
      <c r="J59" s="316"/>
      <c r="K59" s="316"/>
      <c r="L59" s="316"/>
      <c r="M59" s="316"/>
      <c r="N59" s="316"/>
      <c r="O59" s="316">
        <f t="shared" ref="O59:O66" si="5">SUM(C59:N59)</f>
        <v>1</v>
      </c>
    </row>
    <row r="60" spans="1:15" ht="46.9" x14ac:dyDescent="0.25">
      <c r="A60" s="313">
        <v>45</v>
      </c>
      <c r="B60" s="324" t="s">
        <v>3665</v>
      </c>
      <c r="C60" s="316"/>
      <c r="D60" s="316"/>
      <c r="E60" s="316"/>
      <c r="F60" s="316"/>
      <c r="G60" s="316"/>
      <c r="H60" s="316"/>
      <c r="I60" s="316"/>
      <c r="J60" s="316"/>
      <c r="K60" s="316"/>
      <c r="L60" s="316"/>
      <c r="M60" s="316"/>
      <c r="N60" s="316"/>
      <c r="O60" s="316">
        <f t="shared" si="5"/>
        <v>0</v>
      </c>
    </row>
    <row r="61" spans="1:15" ht="31.25" x14ac:dyDescent="0.25">
      <c r="A61" s="313">
        <v>46</v>
      </c>
      <c r="B61" s="324" t="s">
        <v>3666</v>
      </c>
      <c r="C61" s="316">
        <v>1</v>
      </c>
      <c r="D61" s="316">
        <v>1</v>
      </c>
      <c r="E61" s="316">
        <v>1</v>
      </c>
      <c r="F61" s="316"/>
      <c r="G61" s="316"/>
      <c r="H61" s="316"/>
      <c r="I61" s="316"/>
      <c r="J61" s="316"/>
      <c r="K61" s="316"/>
      <c r="L61" s="316"/>
      <c r="M61" s="316"/>
      <c r="N61" s="316"/>
      <c r="O61" s="316">
        <f t="shared" si="5"/>
        <v>3</v>
      </c>
    </row>
    <row r="62" spans="1:15" ht="31.25" x14ac:dyDescent="0.25">
      <c r="A62" s="313">
        <v>47</v>
      </c>
      <c r="B62" s="324" t="s">
        <v>3667</v>
      </c>
      <c r="C62" s="316"/>
      <c r="D62" s="316"/>
      <c r="E62" s="316"/>
      <c r="F62" s="316"/>
      <c r="G62" s="316"/>
      <c r="H62" s="316"/>
      <c r="I62" s="316"/>
      <c r="J62" s="316"/>
      <c r="K62" s="316">
        <v>1</v>
      </c>
      <c r="L62" s="316"/>
      <c r="M62" s="316"/>
      <c r="N62" s="316"/>
      <c r="O62" s="316">
        <f t="shared" si="5"/>
        <v>1</v>
      </c>
    </row>
    <row r="63" spans="1:15" x14ac:dyDescent="0.25">
      <c r="A63" s="313">
        <v>48</v>
      </c>
      <c r="B63" s="325" t="s">
        <v>3668</v>
      </c>
      <c r="C63" s="316"/>
      <c r="D63" s="316"/>
      <c r="E63" s="316"/>
      <c r="F63" s="316"/>
      <c r="G63" s="316"/>
      <c r="H63" s="316">
        <v>2</v>
      </c>
      <c r="I63" s="316"/>
      <c r="J63" s="316"/>
      <c r="K63" s="316"/>
      <c r="L63" s="316"/>
      <c r="M63" s="316"/>
      <c r="N63" s="316"/>
      <c r="O63" s="316">
        <f t="shared" si="5"/>
        <v>2</v>
      </c>
    </row>
    <row r="64" spans="1:15" x14ac:dyDescent="0.25">
      <c r="A64" s="313">
        <v>49</v>
      </c>
      <c r="B64" s="330" t="s">
        <v>3669</v>
      </c>
      <c r="C64" s="316"/>
      <c r="D64" s="316"/>
      <c r="E64" s="316"/>
      <c r="F64" s="316"/>
      <c r="G64" s="316"/>
      <c r="H64" s="316"/>
      <c r="I64" s="316"/>
      <c r="J64" s="316"/>
      <c r="K64" s="316">
        <v>1</v>
      </c>
      <c r="L64" s="316"/>
      <c r="M64" s="316"/>
      <c r="N64" s="316"/>
      <c r="O64" s="316">
        <f t="shared" si="5"/>
        <v>1</v>
      </c>
    </row>
    <row r="65" spans="1:15" x14ac:dyDescent="0.25">
      <c r="A65" s="313"/>
      <c r="B65" s="317" t="s">
        <v>3565</v>
      </c>
      <c r="C65" s="318">
        <f t="shared" ref="C65:N65" si="6">SUM(C59:C64)</f>
        <v>2</v>
      </c>
      <c r="D65" s="318">
        <f t="shared" si="6"/>
        <v>1</v>
      </c>
      <c r="E65" s="318">
        <f t="shared" si="6"/>
        <v>1</v>
      </c>
      <c r="F65" s="318">
        <f t="shared" si="6"/>
        <v>0</v>
      </c>
      <c r="G65" s="318">
        <f t="shared" si="6"/>
        <v>0</v>
      </c>
      <c r="H65" s="318">
        <f t="shared" si="6"/>
        <v>2</v>
      </c>
      <c r="I65" s="318">
        <f t="shared" si="6"/>
        <v>0</v>
      </c>
      <c r="J65" s="318">
        <f t="shared" si="6"/>
        <v>0</v>
      </c>
      <c r="K65" s="318">
        <f t="shared" si="6"/>
        <v>2</v>
      </c>
      <c r="L65" s="318">
        <f t="shared" si="6"/>
        <v>0</v>
      </c>
      <c r="M65" s="318">
        <f t="shared" si="6"/>
        <v>0</v>
      </c>
      <c r="N65" s="318">
        <f t="shared" si="6"/>
        <v>0</v>
      </c>
      <c r="O65" s="316">
        <f t="shared" si="5"/>
        <v>8</v>
      </c>
    </row>
    <row r="66" spans="1:15" x14ac:dyDescent="0.25">
      <c r="A66" s="313"/>
      <c r="B66" s="333" t="s">
        <v>3603</v>
      </c>
      <c r="C66" s="334">
        <f t="shared" ref="C66:N66" si="7">SUM(C65+C57+C44+C37+C20)</f>
        <v>18</v>
      </c>
      <c r="D66" s="334">
        <f t="shared" si="7"/>
        <v>18</v>
      </c>
      <c r="E66" s="334">
        <f t="shared" si="7"/>
        <v>20</v>
      </c>
      <c r="F66" s="334">
        <f t="shared" si="7"/>
        <v>15</v>
      </c>
      <c r="G66" s="334">
        <f t="shared" si="7"/>
        <v>19</v>
      </c>
      <c r="H66" s="334">
        <f t="shared" si="7"/>
        <v>19</v>
      </c>
      <c r="I66" s="334">
        <f t="shared" si="7"/>
        <v>15</v>
      </c>
      <c r="J66" s="334">
        <f t="shared" si="7"/>
        <v>8</v>
      </c>
      <c r="K66" s="334">
        <f t="shared" si="7"/>
        <v>50</v>
      </c>
      <c r="L66" s="334">
        <f t="shared" si="7"/>
        <v>14</v>
      </c>
      <c r="M66" s="334">
        <f t="shared" si="7"/>
        <v>5</v>
      </c>
      <c r="N66" s="334">
        <f t="shared" si="7"/>
        <v>8</v>
      </c>
      <c r="O66" s="316">
        <f t="shared" si="5"/>
        <v>209</v>
      </c>
    </row>
    <row r="67" spans="1:15" x14ac:dyDescent="0.25">
      <c r="A67" s="313"/>
      <c r="B67" s="335" t="s">
        <v>3605</v>
      </c>
      <c r="C67" s="336"/>
      <c r="D67" s="336"/>
      <c r="E67" s="336"/>
      <c r="F67" s="336"/>
      <c r="G67" s="336"/>
      <c r="H67" s="336"/>
      <c r="I67" s="336"/>
      <c r="J67" s="336"/>
      <c r="K67" s="336"/>
      <c r="L67" s="336"/>
      <c r="M67" s="336"/>
      <c r="N67" s="336"/>
      <c r="O67" s="337"/>
    </row>
    <row r="68" spans="1:15" x14ac:dyDescent="0.25">
      <c r="A68" s="313">
        <v>1</v>
      </c>
      <c r="B68" s="338" t="s">
        <v>3670</v>
      </c>
      <c r="C68" s="339">
        <v>22</v>
      </c>
      <c r="D68" s="339">
        <v>20</v>
      </c>
      <c r="E68" s="339">
        <v>20</v>
      </c>
      <c r="F68" s="339"/>
      <c r="G68" s="339">
        <v>1</v>
      </c>
      <c r="H68" s="339">
        <v>7</v>
      </c>
      <c r="I68" s="339">
        <v>15</v>
      </c>
      <c r="J68" s="339">
        <v>9</v>
      </c>
      <c r="K68" s="339">
        <v>15</v>
      </c>
      <c r="L68" s="339">
        <v>10</v>
      </c>
      <c r="M68" s="339">
        <v>8</v>
      </c>
      <c r="N68" s="339">
        <v>20</v>
      </c>
      <c r="O68" s="316">
        <f t="shared" ref="O68:O78" si="8">SUM(C68:N68)</f>
        <v>147</v>
      </c>
    </row>
    <row r="69" spans="1:15" x14ac:dyDescent="0.25">
      <c r="A69" s="313">
        <v>2</v>
      </c>
      <c r="B69" s="330" t="s">
        <v>3671</v>
      </c>
      <c r="C69" s="339"/>
      <c r="D69" s="339"/>
      <c r="E69" s="339"/>
      <c r="F69" s="339"/>
      <c r="G69" s="339">
        <v>50</v>
      </c>
      <c r="H69" s="339">
        <v>9</v>
      </c>
      <c r="I69" s="339"/>
      <c r="J69" s="339"/>
      <c r="K69" s="339"/>
      <c r="L69" s="339"/>
      <c r="M69" s="339"/>
      <c r="N69" s="339"/>
      <c r="O69" s="316">
        <f t="shared" si="8"/>
        <v>59</v>
      </c>
    </row>
    <row r="70" spans="1:15" x14ac:dyDescent="0.25">
      <c r="A70" s="313">
        <v>3</v>
      </c>
      <c r="B70" s="330" t="s">
        <v>3672</v>
      </c>
      <c r="C70" s="339"/>
      <c r="D70" s="339"/>
      <c r="E70" s="339"/>
      <c r="F70" s="339">
        <v>1</v>
      </c>
      <c r="G70" s="339"/>
      <c r="H70" s="339"/>
      <c r="I70" s="339"/>
      <c r="J70" s="339"/>
      <c r="K70" s="339"/>
      <c r="L70" s="339"/>
      <c r="M70" s="339"/>
      <c r="N70" s="339"/>
      <c r="O70" s="316">
        <f t="shared" si="8"/>
        <v>1</v>
      </c>
    </row>
    <row r="71" spans="1:15" x14ac:dyDescent="0.25">
      <c r="A71" s="313">
        <v>4</v>
      </c>
      <c r="B71" s="330" t="s">
        <v>3673</v>
      </c>
      <c r="C71" s="339"/>
      <c r="D71" s="339"/>
      <c r="E71" s="339"/>
      <c r="F71" s="339"/>
      <c r="G71" s="339"/>
      <c r="H71" s="339"/>
      <c r="I71" s="339"/>
      <c r="J71" s="339"/>
      <c r="K71" s="339"/>
      <c r="L71" s="339"/>
      <c r="M71" s="339"/>
      <c r="N71" s="339"/>
      <c r="O71" s="316">
        <f t="shared" si="8"/>
        <v>0</v>
      </c>
    </row>
    <row r="72" spans="1:15" x14ac:dyDescent="0.25">
      <c r="A72" s="313">
        <v>5</v>
      </c>
      <c r="B72" s="338" t="s">
        <v>3607</v>
      </c>
      <c r="C72" s="339">
        <v>1</v>
      </c>
      <c r="D72" s="339">
        <v>10</v>
      </c>
      <c r="E72" s="339">
        <v>8</v>
      </c>
      <c r="F72" s="339">
        <v>2</v>
      </c>
      <c r="G72" s="339">
        <v>1</v>
      </c>
      <c r="H72" s="339">
        <v>1</v>
      </c>
      <c r="I72" s="339">
        <v>1</v>
      </c>
      <c r="J72" s="339">
        <v>2</v>
      </c>
      <c r="K72" s="339">
        <v>1</v>
      </c>
      <c r="L72" s="339">
        <v>1</v>
      </c>
      <c r="M72" s="339">
        <v>1</v>
      </c>
      <c r="N72" s="339">
        <v>2</v>
      </c>
      <c r="O72" s="316">
        <f t="shared" si="8"/>
        <v>31</v>
      </c>
    </row>
    <row r="73" spans="1:15" x14ac:dyDescent="0.25">
      <c r="A73" s="313">
        <v>6</v>
      </c>
      <c r="B73" s="325" t="s">
        <v>3608</v>
      </c>
      <c r="C73" s="339"/>
      <c r="D73" s="339">
        <v>1</v>
      </c>
      <c r="E73" s="339"/>
      <c r="F73" s="339">
        <v>7</v>
      </c>
      <c r="G73" s="339">
        <v>53</v>
      </c>
      <c r="H73" s="339">
        <v>14</v>
      </c>
      <c r="I73" s="339">
        <v>3</v>
      </c>
      <c r="J73" s="339"/>
      <c r="K73" s="339">
        <v>27</v>
      </c>
      <c r="L73" s="339">
        <v>2</v>
      </c>
      <c r="M73" s="339"/>
      <c r="N73" s="339">
        <v>3</v>
      </c>
      <c r="O73" s="316">
        <f t="shared" si="8"/>
        <v>110</v>
      </c>
    </row>
    <row r="74" spans="1:15" x14ac:dyDescent="0.25">
      <c r="A74" s="313">
        <v>7</v>
      </c>
      <c r="B74" s="325" t="s">
        <v>3609</v>
      </c>
      <c r="C74" s="339"/>
      <c r="D74" s="339">
        <v>2</v>
      </c>
      <c r="E74" s="339"/>
      <c r="F74" s="339"/>
      <c r="G74" s="339"/>
      <c r="H74" s="339">
        <v>3</v>
      </c>
      <c r="I74" s="339"/>
      <c r="J74" s="339"/>
      <c r="K74" s="339">
        <v>1</v>
      </c>
      <c r="L74" s="339"/>
      <c r="M74" s="339">
        <v>1</v>
      </c>
      <c r="N74" s="339">
        <v>2</v>
      </c>
      <c r="O74" s="316">
        <f t="shared" si="8"/>
        <v>9</v>
      </c>
    </row>
    <row r="75" spans="1:15" x14ac:dyDescent="0.25">
      <c r="A75" s="313">
        <v>8</v>
      </c>
      <c r="B75" s="325" t="s">
        <v>3674</v>
      </c>
      <c r="C75" s="339"/>
      <c r="D75" s="339"/>
      <c r="E75" s="339"/>
      <c r="F75" s="339"/>
      <c r="G75" s="339"/>
      <c r="H75" s="339"/>
      <c r="I75" s="339"/>
      <c r="J75" s="339"/>
      <c r="K75" s="339"/>
      <c r="L75" s="339">
        <v>1</v>
      </c>
      <c r="M75" s="339"/>
      <c r="N75" s="339"/>
      <c r="O75" s="316">
        <f t="shared" si="8"/>
        <v>1</v>
      </c>
    </row>
    <row r="76" spans="1:15" x14ac:dyDescent="0.25">
      <c r="A76" s="313">
        <v>9</v>
      </c>
      <c r="B76" s="330" t="s">
        <v>3675</v>
      </c>
      <c r="C76" s="339"/>
      <c r="D76" s="339"/>
      <c r="E76" s="339">
        <v>14</v>
      </c>
      <c r="F76" s="339">
        <v>46</v>
      </c>
      <c r="G76" s="339">
        <v>54</v>
      </c>
      <c r="H76" s="339">
        <v>52</v>
      </c>
      <c r="I76" s="339">
        <v>23</v>
      </c>
      <c r="J76" s="339">
        <v>1</v>
      </c>
      <c r="K76" s="339">
        <v>1</v>
      </c>
      <c r="L76" s="339">
        <v>4</v>
      </c>
      <c r="M76" s="339"/>
      <c r="N76" s="339"/>
      <c r="O76" s="316">
        <f t="shared" si="8"/>
        <v>195</v>
      </c>
    </row>
    <row r="77" spans="1:15" x14ac:dyDescent="0.25">
      <c r="A77" s="313"/>
      <c r="B77" s="317" t="s">
        <v>3676</v>
      </c>
      <c r="C77" s="318">
        <f t="shared" ref="C77:N77" si="9">SUM(C68:C76)</f>
        <v>23</v>
      </c>
      <c r="D77" s="318">
        <f t="shared" si="9"/>
        <v>33</v>
      </c>
      <c r="E77" s="318">
        <f t="shared" si="9"/>
        <v>42</v>
      </c>
      <c r="F77" s="318">
        <f t="shared" si="9"/>
        <v>56</v>
      </c>
      <c r="G77" s="318">
        <f t="shared" si="9"/>
        <v>159</v>
      </c>
      <c r="H77" s="318">
        <f t="shared" si="9"/>
        <v>86</v>
      </c>
      <c r="I77" s="318">
        <f t="shared" si="9"/>
        <v>42</v>
      </c>
      <c r="J77" s="318">
        <f t="shared" si="9"/>
        <v>12</v>
      </c>
      <c r="K77" s="318">
        <f t="shared" si="9"/>
        <v>45</v>
      </c>
      <c r="L77" s="318">
        <f t="shared" si="9"/>
        <v>18</v>
      </c>
      <c r="M77" s="318">
        <f t="shared" si="9"/>
        <v>10</v>
      </c>
      <c r="N77" s="318">
        <f t="shared" si="9"/>
        <v>27</v>
      </c>
      <c r="O77" s="316">
        <f t="shared" si="8"/>
        <v>553</v>
      </c>
    </row>
    <row r="78" spans="1:15" ht="31.25" x14ac:dyDescent="0.25">
      <c r="A78" s="313"/>
      <c r="B78" s="340" t="s">
        <v>3677</v>
      </c>
      <c r="C78" s="341">
        <f t="shared" ref="C78:N78" si="10">SUM(C66+C77)</f>
        <v>41</v>
      </c>
      <c r="D78" s="341">
        <f t="shared" si="10"/>
        <v>51</v>
      </c>
      <c r="E78" s="341">
        <f t="shared" si="10"/>
        <v>62</v>
      </c>
      <c r="F78" s="341">
        <f t="shared" si="10"/>
        <v>71</v>
      </c>
      <c r="G78" s="341">
        <f t="shared" si="10"/>
        <v>178</v>
      </c>
      <c r="H78" s="341">
        <f t="shared" si="10"/>
        <v>105</v>
      </c>
      <c r="I78" s="341">
        <f t="shared" si="10"/>
        <v>57</v>
      </c>
      <c r="J78" s="341">
        <f t="shared" si="10"/>
        <v>20</v>
      </c>
      <c r="K78" s="341">
        <f t="shared" si="10"/>
        <v>95</v>
      </c>
      <c r="L78" s="341">
        <f t="shared" si="10"/>
        <v>32</v>
      </c>
      <c r="M78" s="341">
        <f t="shared" si="10"/>
        <v>15</v>
      </c>
      <c r="N78" s="341">
        <f t="shared" si="10"/>
        <v>35</v>
      </c>
      <c r="O78" s="342">
        <f t="shared" si="8"/>
        <v>762</v>
      </c>
    </row>
    <row r="79" spans="1:15" x14ac:dyDescent="0.25">
      <c r="A79" s="330"/>
      <c r="B79" s="330"/>
      <c r="C79" s="343"/>
      <c r="D79" s="330"/>
      <c r="E79" s="330"/>
      <c r="F79" s="330"/>
      <c r="G79" s="330"/>
      <c r="H79" s="330"/>
      <c r="I79" s="330"/>
      <c r="J79" s="330"/>
      <c r="K79" s="330"/>
      <c r="L79" s="330"/>
      <c r="M79" s="330"/>
      <c r="N79" s="330"/>
      <c r="O79" s="330"/>
    </row>
    <row r="80" spans="1:15" x14ac:dyDescent="0.25">
      <c r="A80" s="330"/>
      <c r="B80" s="344" t="s">
        <v>3678</v>
      </c>
      <c r="C80" s="345"/>
      <c r="D80" s="345"/>
      <c r="E80" s="345"/>
      <c r="F80" s="345"/>
      <c r="G80" s="345"/>
      <c r="H80" s="345"/>
      <c r="I80" s="345"/>
      <c r="J80" s="345"/>
      <c r="K80" s="345"/>
      <c r="L80" s="345"/>
      <c r="M80" s="345"/>
      <c r="N80" s="345"/>
      <c r="O80" s="345"/>
    </row>
    <row r="81" spans="1:15" x14ac:dyDescent="0.25">
      <c r="A81" s="313"/>
      <c r="B81" s="346" t="s">
        <v>3679</v>
      </c>
      <c r="C81" s="347"/>
      <c r="D81" s="348"/>
      <c r="E81" s="348"/>
      <c r="F81" s="348"/>
      <c r="G81" s="348"/>
      <c r="H81" s="348"/>
      <c r="I81" s="348"/>
      <c r="J81" s="348"/>
      <c r="K81" s="348"/>
      <c r="L81" s="348"/>
      <c r="M81" s="348"/>
      <c r="N81" s="348"/>
      <c r="O81" s="348"/>
    </row>
    <row r="82" spans="1:15" x14ac:dyDescent="0.25">
      <c r="A82" s="313" t="s">
        <v>3680</v>
      </c>
      <c r="B82" s="325" t="s">
        <v>3681</v>
      </c>
      <c r="C82" s="328"/>
      <c r="D82" s="330"/>
      <c r="E82" s="330"/>
      <c r="F82" s="330"/>
      <c r="G82" s="330"/>
      <c r="H82" s="330"/>
      <c r="I82" s="330"/>
      <c r="J82" s="330"/>
      <c r="K82" s="330"/>
      <c r="L82" s="330"/>
      <c r="M82" s="330"/>
      <c r="N82" s="330"/>
      <c r="O82" s="330"/>
    </row>
    <row r="83" spans="1:15" ht="31.25" x14ac:dyDescent="0.25">
      <c r="A83" s="313" t="s">
        <v>3682</v>
      </c>
      <c r="B83" s="324" t="s">
        <v>3683</v>
      </c>
      <c r="C83" s="328"/>
      <c r="D83" s="330"/>
      <c r="E83" s="330"/>
      <c r="F83" s="330"/>
      <c r="G83" s="330"/>
      <c r="H83" s="330"/>
      <c r="I83" s="330"/>
      <c r="J83" s="330"/>
      <c r="K83" s="330"/>
      <c r="L83" s="330"/>
      <c r="M83" s="330"/>
      <c r="N83" s="330"/>
      <c r="O83" s="330"/>
    </row>
    <row r="84" spans="1:15" x14ac:dyDescent="0.25">
      <c r="A84" s="313" t="s">
        <v>3684</v>
      </c>
      <c r="B84" s="325" t="s">
        <v>3685</v>
      </c>
      <c r="C84" s="328"/>
      <c r="D84" s="330"/>
      <c r="E84" s="330"/>
      <c r="F84" s="330"/>
      <c r="G84" s="330"/>
      <c r="H84" s="330"/>
      <c r="I84" s="330"/>
      <c r="J84" s="330"/>
      <c r="K84" s="330"/>
      <c r="L84" s="330"/>
      <c r="M84" s="330"/>
      <c r="N84" s="330"/>
      <c r="O84" s="330"/>
    </row>
    <row r="85" spans="1:15" x14ac:dyDescent="0.25">
      <c r="A85" s="313" t="s">
        <v>3686</v>
      </c>
      <c r="B85" s="325" t="s">
        <v>3687</v>
      </c>
      <c r="C85" s="328"/>
      <c r="D85" s="330"/>
      <c r="E85" s="330"/>
      <c r="F85" s="330"/>
      <c r="G85" s="330"/>
      <c r="H85" s="330"/>
      <c r="I85" s="330"/>
      <c r="J85" s="330"/>
      <c r="K85" s="330"/>
      <c r="L85" s="330"/>
      <c r="M85" s="330"/>
      <c r="N85" s="330"/>
      <c r="O85" s="330"/>
    </row>
    <row r="86" spans="1:15" ht="31.25" x14ac:dyDescent="0.25">
      <c r="A86" s="313" t="s">
        <v>3688</v>
      </c>
      <c r="B86" s="324" t="s">
        <v>3689</v>
      </c>
      <c r="C86" s="328"/>
      <c r="D86" s="330"/>
      <c r="E86" s="330"/>
      <c r="F86" s="330"/>
      <c r="G86" s="330"/>
      <c r="H86" s="330"/>
      <c r="I86" s="330"/>
      <c r="J86" s="330"/>
      <c r="K86" s="330"/>
      <c r="L86" s="330"/>
      <c r="M86" s="330"/>
      <c r="N86" s="330"/>
      <c r="O86" s="330"/>
    </row>
    <row r="87" spans="1:15" x14ac:dyDescent="0.25">
      <c r="A87" s="330"/>
      <c r="B87" s="317" t="s">
        <v>3565</v>
      </c>
      <c r="C87" s="318">
        <f>SUM(C82:C86)</f>
        <v>0</v>
      </c>
      <c r="D87" s="318">
        <f t="shared" ref="D87:N87" si="11">SUM(D82:D86)</f>
        <v>0</v>
      </c>
      <c r="E87" s="318">
        <f t="shared" si="11"/>
        <v>0</v>
      </c>
      <c r="F87" s="318">
        <f t="shared" si="11"/>
        <v>0</v>
      </c>
      <c r="G87" s="318">
        <f t="shared" si="11"/>
        <v>0</v>
      </c>
      <c r="H87" s="318">
        <f t="shared" si="11"/>
        <v>0</v>
      </c>
      <c r="I87" s="318">
        <f t="shared" si="11"/>
        <v>0</v>
      </c>
      <c r="J87" s="318">
        <f t="shared" si="11"/>
        <v>0</v>
      </c>
      <c r="K87" s="318">
        <f t="shared" si="11"/>
        <v>0</v>
      </c>
      <c r="L87" s="318">
        <f t="shared" si="11"/>
        <v>0</v>
      </c>
      <c r="M87" s="318">
        <f t="shared" si="11"/>
        <v>0</v>
      </c>
      <c r="N87" s="318">
        <f t="shared" si="11"/>
        <v>0</v>
      </c>
      <c r="O87" s="316">
        <f>SUM(O82:O86)</f>
        <v>0</v>
      </c>
    </row>
    <row r="88" spans="1:15" x14ac:dyDescent="0.25">
      <c r="A88" s="330"/>
      <c r="B88" s="349" t="s">
        <v>3690</v>
      </c>
      <c r="C88" s="350"/>
      <c r="D88" s="351"/>
      <c r="E88" s="351"/>
      <c r="F88" s="351"/>
      <c r="G88" s="351"/>
      <c r="H88" s="351"/>
      <c r="I88" s="351"/>
      <c r="J88" s="351"/>
      <c r="K88" s="351"/>
      <c r="L88" s="351"/>
      <c r="M88" s="351"/>
      <c r="N88" s="351"/>
      <c r="O88" s="351"/>
    </row>
    <row r="89" spans="1:15" x14ac:dyDescent="0.25">
      <c r="A89" s="313" t="s">
        <v>3680</v>
      </c>
      <c r="B89" s="325" t="s">
        <v>3681</v>
      </c>
      <c r="C89" s="328"/>
      <c r="D89" s="330"/>
      <c r="E89" s="330"/>
      <c r="F89" s="330"/>
      <c r="G89" s="330"/>
      <c r="H89" s="330"/>
      <c r="I89" s="330"/>
      <c r="J89" s="330"/>
      <c r="K89" s="330"/>
      <c r="L89" s="330"/>
      <c r="M89" s="330"/>
      <c r="N89" s="330"/>
      <c r="O89" s="330"/>
    </row>
    <row r="90" spans="1:15" x14ac:dyDescent="0.25">
      <c r="A90" s="313" t="s">
        <v>3682</v>
      </c>
      <c r="B90" s="325" t="s">
        <v>3693</v>
      </c>
      <c r="C90" s="328"/>
      <c r="D90" s="330"/>
      <c r="E90" s="330"/>
      <c r="F90" s="330"/>
      <c r="G90" s="330"/>
      <c r="H90" s="330"/>
      <c r="I90" s="330"/>
      <c r="J90" s="330"/>
      <c r="K90" s="330">
        <v>6</v>
      </c>
      <c r="L90" s="330"/>
      <c r="M90" s="330"/>
      <c r="N90" s="330"/>
      <c r="O90" s="330"/>
    </row>
    <row r="91" spans="1:15" x14ac:dyDescent="0.25">
      <c r="A91" s="313" t="s">
        <v>3684</v>
      </c>
      <c r="B91" s="325" t="s">
        <v>3685</v>
      </c>
      <c r="C91" s="328"/>
      <c r="D91" s="330"/>
      <c r="E91" s="330"/>
      <c r="F91" s="330"/>
      <c r="G91" s="330"/>
      <c r="H91" s="330"/>
      <c r="I91" s="330"/>
      <c r="J91" s="330"/>
      <c r="K91" s="330">
        <v>10</v>
      </c>
      <c r="L91" s="330"/>
      <c r="M91" s="330"/>
      <c r="N91" s="330"/>
      <c r="O91" s="330"/>
    </row>
    <row r="92" spans="1:15" ht="31.25" x14ac:dyDescent="0.25">
      <c r="A92" s="313" t="s">
        <v>3686</v>
      </c>
      <c r="B92" s="324" t="s">
        <v>3694</v>
      </c>
      <c r="C92" s="328"/>
      <c r="D92" s="330"/>
      <c r="E92" s="330"/>
      <c r="F92" s="330"/>
      <c r="G92" s="330"/>
      <c r="H92" s="330"/>
      <c r="I92" s="330"/>
      <c r="J92" s="330"/>
      <c r="K92" s="330">
        <v>27</v>
      </c>
      <c r="L92" s="330"/>
      <c r="M92" s="330"/>
      <c r="N92" s="330"/>
      <c r="O92" s="330"/>
    </row>
    <row r="93" spans="1:15" x14ac:dyDescent="0.25">
      <c r="A93" s="330"/>
      <c r="B93" s="317" t="s">
        <v>3565</v>
      </c>
      <c r="C93" s="318">
        <f>SUM(C89:C92)</f>
        <v>0</v>
      </c>
      <c r="D93" s="318">
        <f t="shared" ref="D93:N93" si="12">SUM(D89:D92)</f>
        <v>0</v>
      </c>
      <c r="E93" s="318">
        <f t="shared" si="12"/>
        <v>0</v>
      </c>
      <c r="F93" s="318">
        <f t="shared" si="12"/>
        <v>0</v>
      </c>
      <c r="G93" s="318">
        <f t="shared" si="12"/>
        <v>0</v>
      </c>
      <c r="H93" s="318">
        <f t="shared" si="12"/>
        <v>0</v>
      </c>
      <c r="I93" s="318">
        <f t="shared" si="12"/>
        <v>0</v>
      </c>
      <c r="J93" s="318">
        <f t="shared" si="12"/>
        <v>0</v>
      </c>
      <c r="K93" s="318">
        <f t="shared" si="12"/>
        <v>43</v>
      </c>
      <c r="L93" s="318">
        <f t="shared" si="12"/>
        <v>0</v>
      </c>
      <c r="M93" s="318">
        <f t="shared" si="12"/>
        <v>0</v>
      </c>
      <c r="N93" s="318">
        <f t="shared" si="12"/>
        <v>0</v>
      </c>
      <c r="O93" s="318">
        <f>SUM(O89:O92)</f>
        <v>0</v>
      </c>
    </row>
  </sheetData>
  <sheetProtection sheet="1" objects="1" scenarios="1"/>
  <mergeCells count="4">
    <mergeCell ref="A2:O2"/>
    <mergeCell ref="A3:O3"/>
    <mergeCell ref="A4:O4"/>
    <mergeCell ref="C5:O5"/>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93"/>
  <sheetViews>
    <sheetView topLeftCell="B1" workbookViewId="0">
      <selection activeCell="O9" sqref="O9:O10"/>
    </sheetView>
  </sheetViews>
  <sheetFormatPr baseColWidth="10" defaultColWidth="12.875" defaultRowHeight="15.65" x14ac:dyDescent="0.25"/>
  <cols>
    <col min="1" max="1" width="8.375" style="307" customWidth="1"/>
    <col min="2" max="2" width="61.75" style="307" customWidth="1"/>
    <col min="3" max="14" width="8" style="307" customWidth="1"/>
    <col min="15" max="15" width="10.75" style="307" customWidth="1"/>
    <col min="16" max="16384" width="12.875" style="307"/>
  </cols>
  <sheetData>
    <row r="1" spans="1:15" ht="16.3" thickBot="1" x14ac:dyDescent="0.3"/>
    <row r="2" spans="1:15" x14ac:dyDescent="0.25">
      <c r="A2" s="621" t="s">
        <v>3695</v>
      </c>
      <c r="B2" s="622"/>
      <c r="C2" s="622"/>
      <c r="D2" s="622"/>
      <c r="E2" s="622"/>
      <c r="F2" s="622"/>
      <c r="G2" s="622"/>
      <c r="H2" s="622"/>
      <c r="I2" s="622"/>
      <c r="J2" s="622"/>
      <c r="K2" s="622"/>
      <c r="L2" s="622"/>
      <c r="M2" s="622"/>
      <c r="N2" s="622"/>
      <c r="O2" s="623"/>
    </row>
    <row r="3" spans="1:15" x14ac:dyDescent="0.25">
      <c r="A3" s="624" t="s">
        <v>3696</v>
      </c>
      <c r="B3" s="625"/>
      <c r="C3" s="625"/>
      <c r="D3" s="625"/>
      <c r="E3" s="625"/>
      <c r="F3" s="625"/>
      <c r="G3" s="625"/>
      <c r="H3" s="625"/>
      <c r="I3" s="625"/>
      <c r="J3" s="625"/>
      <c r="K3" s="625"/>
      <c r="L3" s="625"/>
      <c r="M3" s="625"/>
      <c r="N3" s="625"/>
      <c r="O3" s="626"/>
    </row>
    <row r="4" spans="1:15" ht="16.3" thickBot="1" x14ac:dyDescent="0.3">
      <c r="A4" s="627"/>
      <c r="B4" s="628"/>
      <c r="C4" s="628"/>
      <c r="D4" s="628"/>
      <c r="E4" s="628"/>
      <c r="F4" s="628"/>
      <c r="G4" s="628"/>
      <c r="H4" s="628"/>
      <c r="I4" s="628"/>
      <c r="J4" s="628"/>
      <c r="K4" s="628"/>
      <c r="L4" s="628"/>
      <c r="M4" s="628"/>
      <c r="N4" s="628"/>
      <c r="O4" s="629"/>
    </row>
    <row r="5" spans="1:15" x14ac:dyDescent="0.25">
      <c r="A5" s="308"/>
      <c r="B5" s="309"/>
      <c r="C5" s="630" t="s">
        <v>3697</v>
      </c>
      <c r="D5" s="631"/>
      <c r="E5" s="631"/>
      <c r="F5" s="631"/>
      <c r="G5" s="631"/>
      <c r="H5" s="631"/>
      <c r="I5" s="631"/>
      <c r="J5" s="631"/>
      <c r="K5" s="631"/>
      <c r="L5" s="631"/>
      <c r="M5" s="631"/>
      <c r="N5" s="631"/>
      <c r="O5" s="632"/>
    </row>
    <row r="6" spans="1:15" x14ac:dyDescent="0.25">
      <c r="A6" s="310" t="s">
        <v>3548</v>
      </c>
      <c r="B6" s="311" t="s">
        <v>3549</v>
      </c>
      <c r="C6" s="312" t="s">
        <v>3633</v>
      </c>
      <c r="D6" s="312" t="s">
        <v>3634</v>
      </c>
      <c r="E6" s="312" t="s">
        <v>3635</v>
      </c>
      <c r="F6" s="312" t="s">
        <v>3636</v>
      </c>
      <c r="G6" s="312" t="s">
        <v>3637</v>
      </c>
      <c r="H6" s="312" t="s">
        <v>3638</v>
      </c>
      <c r="I6" s="312" t="s">
        <v>3639</v>
      </c>
      <c r="J6" s="312" t="s">
        <v>3640</v>
      </c>
      <c r="K6" s="312" t="s">
        <v>3641</v>
      </c>
      <c r="L6" s="312" t="s">
        <v>3642</v>
      </c>
      <c r="M6" s="312" t="s">
        <v>3643</v>
      </c>
      <c r="N6" s="312" t="s">
        <v>3644</v>
      </c>
      <c r="O6" s="312" t="s">
        <v>2152</v>
      </c>
    </row>
    <row r="7" spans="1:15" x14ac:dyDescent="0.25">
      <c r="A7" s="313"/>
      <c r="B7" s="314" t="s">
        <v>3645</v>
      </c>
      <c r="C7" s="314"/>
      <c r="D7" s="314"/>
      <c r="E7" s="314"/>
      <c r="F7" s="314"/>
      <c r="G7" s="314"/>
      <c r="H7" s="314"/>
      <c r="I7" s="314"/>
      <c r="J7" s="314"/>
      <c r="K7" s="314"/>
      <c r="L7" s="314"/>
      <c r="M7" s="314"/>
      <c r="N7" s="314"/>
      <c r="O7" s="314"/>
    </row>
    <row r="8" spans="1:15" ht="17.7" x14ac:dyDescent="0.25">
      <c r="A8" s="313">
        <v>1</v>
      </c>
      <c r="B8" s="315" t="s">
        <v>3554</v>
      </c>
      <c r="C8" s="316">
        <v>1</v>
      </c>
      <c r="D8" s="316"/>
      <c r="E8" s="316">
        <v>1</v>
      </c>
      <c r="F8" s="316"/>
      <c r="G8" s="316"/>
      <c r="H8" s="316"/>
      <c r="I8" s="316">
        <v>1</v>
      </c>
      <c r="J8" s="316"/>
      <c r="K8" s="316">
        <v>1</v>
      </c>
      <c r="L8" s="316"/>
      <c r="M8" s="316"/>
      <c r="N8" s="316"/>
      <c r="O8" s="316">
        <f>SUM(C8:N8)</f>
        <v>4</v>
      </c>
    </row>
    <row r="9" spans="1:15" ht="17.7" x14ac:dyDescent="0.25">
      <c r="A9" s="313">
        <v>2</v>
      </c>
      <c r="B9" s="315" t="s">
        <v>3555</v>
      </c>
      <c r="C9" s="316">
        <v>9</v>
      </c>
      <c r="D9" s="316">
        <v>6</v>
      </c>
      <c r="E9" s="316"/>
      <c r="F9" s="316"/>
      <c r="G9" s="316"/>
      <c r="H9" s="316"/>
      <c r="I9" s="316"/>
      <c r="J9" s="316">
        <v>6</v>
      </c>
      <c r="K9" s="316">
        <v>5</v>
      </c>
      <c r="L9" s="316"/>
      <c r="M9" s="316">
        <v>1</v>
      </c>
      <c r="N9" s="316"/>
      <c r="O9" s="316">
        <f t="shared" ref="O9:O57" si="0">SUM(C9:N9)</f>
        <v>27</v>
      </c>
    </row>
    <row r="10" spans="1:15" ht="17.7" x14ac:dyDescent="0.25">
      <c r="A10" s="313">
        <v>3</v>
      </c>
      <c r="B10" s="315" t="s">
        <v>3556</v>
      </c>
      <c r="C10" s="316">
        <v>5</v>
      </c>
      <c r="D10" s="316">
        <v>4</v>
      </c>
      <c r="E10" s="316"/>
      <c r="F10" s="316"/>
      <c r="G10" s="316">
        <v>1</v>
      </c>
      <c r="H10" s="316"/>
      <c r="I10" s="316"/>
      <c r="J10" s="316">
        <v>2</v>
      </c>
      <c r="K10" s="316">
        <v>2</v>
      </c>
      <c r="L10" s="316"/>
      <c r="M10" s="316"/>
      <c r="N10" s="316"/>
      <c r="O10" s="316">
        <f t="shared" si="0"/>
        <v>14</v>
      </c>
    </row>
    <row r="11" spans="1:15" ht="17.7" x14ac:dyDescent="0.25">
      <c r="A11" s="313">
        <v>4</v>
      </c>
      <c r="B11" s="315" t="s">
        <v>3646</v>
      </c>
      <c r="C11" s="316"/>
      <c r="D11" s="316">
        <v>1</v>
      </c>
      <c r="E11" s="316">
        <v>1</v>
      </c>
      <c r="F11" s="316"/>
      <c r="G11" s="316"/>
      <c r="H11" s="316"/>
      <c r="I11" s="316">
        <v>1</v>
      </c>
      <c r="J11" s="316">
        <v>2</v>
      </c>
      <c r="K11" s="316"/>
      <c r="L11" s="316"/>
      <c r="M11" s="316"/>
      <c r="N11" s="316">
        <v>1</v>
      </c>
      <c r="O11" s="316">
        <f t="shared" si="0"/>
        <v>6</v>
      </c>
    </row>
    <row r="12" spans="1:15" ht="17.7" x14ac:dyDescent="0.25">
      <c r="A12" s="313">
        <v>5</v>
      </c>
      <c r="B12" s="315" t="s">
        <v>3557</v>
      </c>
      <c r="C12" s="316"/>
      <c r="D12" s="316"/>
      <c r="E12" s="316"/>
      <c r="F12" s="316"/>
      <c r="G12" s="316"/>
      <c r="H12" s="316"/>
      <c r="I12" s="316">
        <v>1</v>
      </c>
      <c r="J12" s="316"/>
      <c r="K12" s="316"/>
      <c r="L12" s="316"/>
      <c r="M12" s="316"/>
      <c r="N12" s="316"/>
      <c r="O12" s="316">
        <f t="shared" si="0"/>
        <v>1</v>
      </c>
    </row>
    <row r="13" spans="1:15" ht="17.7" x14ac:dyDescent="0.25">
      <c r="A13" s="313">
        <v>6</v>
      </c>
      <c r="B13" s="315" t="s">
        <v>3647</v>
      </c>
      <c r="C13" s="316"/>
      <c r="D13" s="316"/>
      <c r="E13" s="316"/>
      <c r="F13" s="316"/>
      <c r="G13" s="316"/>
      <c r="H13" s="316"/>
      <c r="I13" s="316"/>
      <c r="J13" s="316"/>
      <c r="K13" s="316"/>
      <c r="L13" s="316"/>
      <c r="M13" s="316"/>
      <c r="N13" s="316"/>
      <c r="O13" s="316">
        <f t="shared" si="0"/>
        <v>0</v>
      </c>
    </row>
    <row r="14" spans="1:15" ht="17.7" x14ac:dyDescent="0.25">
      <c r="A14" s="313">
        <v>7</v>
      </c>
      <c r="B14" s="315" t="s">
        <v>3648</v>
      </c>
      <c r="C14" s="316"/>
      <c r="D14" s="316"/>
      <c r="E14" s="316"/>
      <c r="F14" s="316"/>
      <c r="G14" s="316"/>
      <c r="H14" s="316"/>
      <c r="I14" s="316"/>
      <c r="J14" s="316"/>
      <c r="K14" s="316"/>
      <c r="L14" s="316"/>
      <c r="M14" s="316"/>
      <c r="N14" s="316"/>
      <c r="O14" s="316">
        <f t="shared" si="0"/>
        <v>0</v>
      </c>
    </row>
    <row r="15" spans="1:15" ht="17.7" x14ac:dyDescent="0.25">
      <c r="A15" s="313">
        <v>8</v>
      </c>
      <c r="B15" s="315" t="s">
        <v>3649</v>
      </c>
      <c r="C15" s="316"/>
      <c r="D15" s="316"/>
      <c r="E15" s="316"/>
      <c r="F15" s="316"/>
      <c r="G15" s="316"/>
      <c r="H15" s="316"/>
      <c r="I15" s="316"/>
      <c r="J15" s="316"/>
      <c r="K15" s="316"/>
      <c r="L15" s="316"/>
      <c r="M15" s="316"/>
      <c r="N15" s="316"/>
      <c r="O15" s="316">
        <f t="shared" si="0"/>
        <v>0</v>
      </c>
    </row>
    <row r="16" spans="1:15" ht="17.7" x14ac:dyDescent="0.25">
      <c r="A16" s="313">
        <v>9</v>
      </c>
      <c r="B16" s="315" t="s">
        <v>3650</v>
      </c>
      <c r="C16" s="316"/>
      <c r="D16" s="316"/>
      <c r="E16" s="316"/>
      <c r="F16" s="316"/>
      <c r="G16" s="316"/>
      <c r="H16" s="316"/>
      <c r="I16" s="316"/>
      <c r="J16" s="316"/>
      <c r="K16" s="316"/>
      <c r="L16" s="316"/>
      <c r="M16" s="316"/>
      <c r="N16" s="316"/>
      <c r="O16" s="316">
        <f t="shared" si="0"/>
        <v>0</v>
      </c>
    </row>
    <row r="17" spans="1:15" ht="17.7" x14ac:dyDescent="0.25">
      <c r="A17" s="313">
        <v>10</v>
      </c>
      <c r="B17" s="315" t="s">
        <v>3561</v>
      </c>
      <c r="C17" s="316">
        <v>1</v>
      </c>
      <c r="D17" s="316">
        <v>2</v>
      </c>
      <c r="E17" s="316"/>
      <c r="F17" s="316"/>
      <c r="G17" s="316">
        <v>2</v>
      </c>
      <c r="H17" s="316">
        <v>1</v>
      </c>
      <c r="I17" s="316"/>
      <c r="J17" s="316">
        <v>1</v>
      </c>
      <c r="K17" s="316"/>
      <c r="L17" s="316"/>
      <c r="M17" s="316"/>
      <c r="N17" s="316"/>
      <c r="O17" s="316">
        <f t="shared" si="0"/>
        <v>7</v>
      </c>
    </row>
    <row r="18" spans="1:15" ht="17.7" x14ac:dyDescent="0.25">
      <c r="A18" s="313">
        <v>11</v>
      </c>
      <c r="B18" s="315" t="s">
        <v>3651</v>
      </c>
      <c r="C18" s="316"/>
      <c r="D18" s="316"/>
      <c r="E18" s="316"/>
      <c r="F18" s="316"/>
      <c r="G18" s="316"/>
      <c r="H18" s="316"/>
      <c r="I18" s="316"/>
      <c r="J18" s="316"/>
      <c r="K18" s="316"/>
      <c r="L18" s="316"/>
      <c r="M18" s="316"/>
      <c r="N18" s="316"/>
      <c r="O18" s="316">
        <f t="shared" si="0"/>
        <v>0</v>
      </c>
    </row>
    <row r="19" spans="1:15" ht="17.7" x14ac:dyDescent="0.25">
      <c r="A19" s="313">
        <v>12</v>
      </c>
      <c r="B19" s="315" t="s">
        <v>3564</v>
      </c>
      <c r="C19" s="316">
        <v>2</v>
      </c>
      <c r="D19" s="316">
        <v>3</v>
      </c>
      <c r="E19" s="316"/>
      <c r="F19" s="316"/>
      <c r="G19" s="316"/>
      <c r="H19" s="316">
        <v>1</v>
      </c>
      <c r="I19" s="316">
        <v>1</v>
      </c>
      <c r="J19" s="316"/>
      <c r="K19" s="316"/>
      <c r="L19" s="316"/>
      <c r="M19" s="316"/>
      <c r="N19" s="316"/>
      <c r="O19" s="316">
        <f t="shared" si="0"/>
        <v>7</v>
      </c>
    </row>
    <row r="20" spans="1:15" x14ac:dyDescent="0.25">
      <c r="A20" s="313"/>
      <c r="B20" s="317" t="s">
        <v>3565</v>
      </c>
      <c r="C20" s="318">
        <f t="shared" ref="C20:N20" si="1">SUM(C8:C19)</f>
        <v>18</v>
      </c>
      <c r="D20" s="318">
        <f t="shared" si="1"/>
        <v>16</v>
      </c>
      <c r="E20" s="318">
        <f t="shared" si="1"/>
        <v>2</v>
      </c>
      <c r="F20" s="318">
        <f t="shared" si="1"/>
        <v>0</v>
      </c>
      <c r="G20" s="318">
        <f t="shared" si="1"/>
        <v>3</v>
      </c>
      <c r="H20" s="318">
        <f t="shared" si="1"/>
        <v>2</v>
      </c>
      <c r="I20" s="318">
        <f t="shared" si="1"/>
        <v>4</v>
      </c>
      <c r="J20" s="318">
        <f t="shared" si="1"/>
        <v>11</v>
      </c>
      <c r="K20" s="318">
        <f t="shared" si="1"/>
        <v>8</v>
      </c>
      <c r="L20" s="318">
        <f t="shared" si="1"/>
        <v>0</v>
      </c>
      <c r="M20" s="318">
        <f t="shared" si="1"/>
        <v>1</v>
      </c>
      <c r="N20" s="318">
        <f t="shared" si="1"/>
        <v>1</v>
      </c>
      <c r="O20" s="316">
        <f t="shared" si="0"/>
        <v>66</v>
      </c>
    </row>
    <row r="21" spans="1:15" x14ac:dyDescent="0.25">
      <c r="A21" s="313"/>
      <c r="B21" s="319" t="s">
        <v>3567</v>
      </c>
      <c r="C21" s="320"/>
      <c r="D21" s="320"/>
      <c r="E21" s="320"/>
      <c r="F21" s="320"/>
      <c r="G21" s="320"/>
      <c r="H21" s="320"/>
      <c r="I21" s="320"/>
      <c r="J21" s="320"/>
      <c r="K21" s="320"/>
      <c r="L21" s="320"/>
      <c r="M21" s="320"/>
      <c r="N21" s="320"/>
      <c r="O21" s="320"/>
    </row>
    <row r="22" spans="1:15" ht="35.35" x14ac:dyDescent="0.25">
      <c r="A22" s="313">
        <v>13</v>
      </c>
      <c r="B22" s="321" t="s">
        <v>3652</v>
      </c>
      <c r="C22" s="316"/>
      <c r="D22" s="316"/>
      <c r="E22" s="316"/>
      <c r="F22" s="316"/>
      <c r="G22" s="316"/>
      <c r="H22" s="316">
        <v>1</v>
      </c>
      <c r="I22" s="316"/>
      <c r="J22" s="316"/>
      <c r="K22" s="316"/>
      <c r="L22" s="316"/>
      <c r="M22" s="316"/>
      <c r="N22" s="316"/>
      <c r="O22" s="316">
        <f t="shared" si="0"/>
        <v>1</v>
      </c>
    </row>
    <row r="23" spans="1:15" ht="35.35" x14ac:dyDescent="0.25">
      <c r="A23" s="313">
        <v>14</v>
      </c>
      <c r="B23" s="321" t="s">
        <v>3653</v>
      </c>
      <c r="C23" s="316">
        <v>2</v>
      </c>
      <c r="D23" s="316"/>
      <c r="E23" s="316"/>
      <c r="F23" s="316"/>
      <c r="G23" s="316"/>
      <c r="H23" s="316">
        <v>2</v>
      </c>
      <c r="I23" s="316"/>
      <c r="J23" s="316"/>
      <c r="K23" s="316"/>
      <c r="L23" s="316"/>
      <c r="M23" s="316"/>
      <c r="N23" s="316"/>
      <c r="O23" s="316">
        <f t="shared" si="0"/>
        <v>4</v>
      </c>
    </row>
    <row r="24" spans="1:15" ht="35.35" x14ac:dyDescent="0.25">
      <c r="A24" s="313">
        <v>15</v>
      </c>
      <c r="B24" s="321" t="s">
        <v>3654</v>
      </c>
      <c r="C24" s="316"/>
      <c r="D24" s="316"/>
      <c r="E24" s="316"/>
      <c r="F24" s="316">
        <v>1</v>
      </c>
      <c r="G24" s="316"/>
      <c r="H24" s="316">
        <v>1</v>
      </c>
      <c r="I24" s="316"/>
      <c r="J24" s="316"/>
      <c r="K24" s="316"/>
      <c r="L24" s="316"/>
      <c r="M24" s="316"/>
      <c r="N24" s="316">
        <v>1</v>
      </c>
      <c r="O24" s="316">
        <f t="shared" si="0"/>
        <v>3</v>
      </c>
    </row>
    <row r="25" spans="1:15" ht="17.7" x14ac:dyDescent="0.25">
      <c r="A25" s="313">
        <v>16</v>
      </c>
      <c r="B25" s="315" t="s">
        <v>3569</v>
      </c>
      <c r="C25" s="316"/>
      <c r="D25" s="316"/>
      <c r="E25" s="316"/>
      <c r="F25" s="316"/>
      <c r="G25" s="316"/>
      <c r="H25" s="316"/>
      <c r="I25" s="316"/>
      <c r="J25" s="316"/>
      <c r="K25" s="316"/>
      <c r="L25" s="316"/>
      <c r="M25" s="316"/>
      <c r="N25" s="316"/>
      <c r="O25" s="316">
        <f t="shared" si="0"/>
        <v>0</v>
      </c>
    </row>
    <row r="26" spans="1:15" ht="17.7" x14ac:dyDescent="0.25">
      <c r="A26" s="313">
        <v>17</v>
      </c>
      <c r="B26" s="315" t="s">
        <v>3570</v>
      </c>
      <c r="C26" s="316"/>
      <c r="D26" s="316"/>
      <c r="E26" s="316">
        <v>1</v>
      </c>
      <c r="F26" s="316"/>
      <c r="G26" s="316">
        <v>4</v>
      </c>
      <c r="H26" s="316">
        <v>3</v>
      </c>
      <c r="I26" s="316">
        <v>2</v>
      </c>
      <c r="J26" s="316">
        <v>2</v>
      </c>
      <c r="K26" s="316">
        <v>3</v>
      </c>
      <c r="L26" s="316">
        <v>3</v>
      </c>
      <c r="M26" s="316">
        <v>1</v>
      </c>
      <c r="N26" s="316">
        <v>2</v>
      </c>
      <c r="O26" s="316">
        <f t="shared" si="0"/>
        <v>21</v>
      </c>
    </row>
    <row r="27" spans="1:15" ht="17.7" x14ac:dyDescent="0.25">
      <c r="A27" s="313">
        <v>18</v>
      </c>
      <c r="B27" s="315" t="s">
        <v>3571</v>
      </c>
      <c r="C27" s="316"/>
      <c r="D27" s="316"/>
      <c r="E27" s="316"/>
      <c r="F27" s="316"/>
      <c r="G27" s="316"/>
      <c r="H27" s="316"/>
      <c r="I27" s="316"/>
      <c r="J27" s="316"/>
      <c r="K27" s="316"/>
      <c r="L27" s="316"/>
      <c r="M27" s="316"/>
      <c r="N27" s="316"/>
      <c r="O27" s="316">
        <f t="shared" si="0"/>
        <v>0</v>
      </c>
    </row>
    <row r="28" spans="1:15" ht="17.7" x14ac:dyDescent="0.25">
      <c r="A28" s="313">
        <v>19</v>
      </c>
      <c r="B28" s="315" t="s">
        <v>3572</v>
      </c>
      <c r="C28" s="316"/>
      <c r="D28" s="316"/>
      <c r="E28" s="316"/>
      <c r="F28" s="316"/>
      <c r="G28" s="316"/>
      <c r="H28" s="316"/>
      <c r="I28" s="316"/>
      <c r="J28" s="316"/>
      <c r="K28" s="316"/>
      <c r="L28" s="316"/>
      <c r="M28" s="316"/>
      <c r="N28" s="316"/>
      <c r="O28" s="316">
        <f t="shared" si="0"/>
        <v>0</v>
      </c>
    </row>
    <row r="29" spans="1:15" ht="17.7" x14ac:dyDescent="0.25">
      <c r="A29" s="313">
        <v>20</v>
      </c>
      <c r="B29" s="315" t="s">
        <v>3573</v>
      </c>
      <c r="C29" s="316"/>
      <c r="D29" s="316"/>
      <c r="E29" s="316"/>
      <c r="F29" s="316"/>
      <c r="G29" s="316"/>
      <c r="H29" s="316"/>
      <c r="I29" s="316"/>
      <c r="J29" s="316"/>
      <c r="K29" s="316"/>
      <c r="L29" s="316"/>
      <c r="M29" s="316"/>
      <c r="N29" s="316"/>
      <c r="O29" s="316">
        <f t="shared" si="0"/>
        <v>0</v>
      </c>
    </row>
    <row r="30" spans="1:15" ht="17.7" x14ac:dyDescent="0.25">
      <c r="A30" s="313">
        <v>21</v>
      </c>
      <c r="B30" s="315" t="s">
        <v>3655</v>
      </c>
      <c r="C30" s="316"/>
      <c r="D30" s="316"/>
      <c r="E30" s="316"/>
      <c r="F30" s="316"/>
      <c r="G30" s="316"/>
      <c r="H30" s="316"/>
      <c r="I30" s="316"/>
      <c r="J30" s="316"/>
      <c r="K30" s="316"/>
      <c r="L30" s="316"/>
      <c r="M30" s="316"/>
      <c r="N30" s="316"/>
      <c r="O30" s="316">
        <f t="shared" si="0"/>
        <v>0</v>
      </c>
    </row>
    <row r="31" spans="1:15" ht="17.7" x14ac:dyDescent="0.25">
      <c r="A31" s="313">
        <v>22</v>
      </c>
      <c r="B31" s="315" t="s">
        <v>3575</v>
      </c>
      <c r="C31" s="316"/>
      <c r="D31" s="316"/>
      <c r="E31" s="316"/>
      <c r="F31" s="316"/>
      <c r="G31" s="316"/>
      <c r="H31" s="316"/>
      <c r="I31" s="316"/>
      <c r="J31" s="316"/>
      <c r="K31" s="316"/>
      <c r="L31" s="316"/>
      <c r="M31" s="316"/>
      <c r="N31" s="316"/>
      <c r="O31" s="316">
        <f t="shared" si="0"/>
        <v>0</v>
      </c>
    </row>
    <row r="32" spans="1:15" ht="17.7" x14ac:dyDescent="0.25">
      <c r="A32" s="313">
        <v>23</v>
      </c>
      <c r="B32" s="315" t="s">
        <v>3576</v>
      </c>
      <c r="C32" s="316"/>
      <c r="D32" s="316"/>
      <c r="E32" s="316"/>
      <c r="F32" s="316"/>
      <c r="G32" s="316"/>
      <c r="H32" s="316"/>
      <c r="I32" s="316"/>
      <c r="J32" s="316"/>
      <c r="K32" s="316"/>
      <c r="L32" s="316"/>
      <c r="M32" s="316">
        <v>1</v>
      </c>
      <c r="N32" s="316"/>
      <c r="O32" s="316">
        <f t="shared" si="0"/>
        <v>1</v>
      </c>
    </row>
    <row r="33" spans="1:15" ht="17.7" x14ac:dyDescent="0.25">
      <c r="A33" s="313">
        <v>24</v>
      </c>
      <c r="B33" s="315" t="s">
        <v>3577</v>
      </c>
      <c r="C33" s="316"/>
      <c r="D33" s="316"/>
      <c r="E33" s="316"/>
      <c r="F33" s="316"/>
      <c r="G33" s="316"/>
      <c r="H33" s="316"/>
      <c r="I33" s="316"/>
      <c r="J33" s="316"/>
      <c r="K33" s="316"/>
      <c r="L33" s="316"/>
      <c r="M33" s="316"/>
      <c r="N33" s="316"/>
      <c r="O33" s="316">
        <f t="shared" si="0"/>
        <v>0</v>
      </c>
    </row>
    <row r="34" spans="1:15" ht="17.7" x14ac:dyDescent="0.25">
      <c r="A34" s="313">
        <v>25</v>
      </c>
      <c r="B34" s="315" t="s">
        <v>3578</v>
      </c>
      <c r="C34" s="316"/>
      <c r="D34" s="316"/>
      <c r="E34" s="316"/>
      <c r="F34" s="316"/>
      <c r="G34" s="316"/>
      <c r="H34" s="316"/>
      <c r="I34" s="316"/>
      <c r="J34" s="316"/>
      <c r="K34" s="316"/>
      <c r="L34" s="316"/>
      <c r="M34" s="316"/>
      <c r="N34" s="316"/>
      <c r="O34" s="316">
        <f t="shared" si="0"/>
        <v>0</v>
      </c>
    </row>
    <row r="35" spans="1:15" ht="17.7" x14ac:dyDescent="0.25">
      <c r="A35" s="313">
        <v>26</v>
      </c>
      <c r="B35" s="315" t="s">
        <v>3656</v>
      </c>
      <c r="C35" s="316">
        <v>1</v>
      </c>
      <c r="D35" s="316"/>
      <c r="E35" s="316"/>
      <c r="F35" s="316"/>
      <c r="G35" s="316"/>
      <c r="H35" s="316"/>
      <c r="I35" s="316"/>
      <c r="J35" s="316"/>
      <c r="K35" s="316"/>
      <c r="L35" s="316"/>
      <c r="M35" s="316"/>
      <c r="N35" s="316"/>
      <c r="O35" s="316">
        <f t="shared" si="0"/>
        <v>1</v>
      </c>
    </row>
    <row r="36" spans="1:15" ht="35.35" x14ac:dyDescent="0.25">
      <c r="A36" s="313">
        <v>27</v>
      </c>
      <c r="B36" s="321" t="s">
        <v>3580</v>
      </c>
      <c r="C36" s="316"/>
      <c r="D36" s="316"/>
      <c r="E36" s="316"/>
      <c r="F36" s="316"/>
      <c r="G36" s="316"/>
      <c r="H36" s="316"/>
      <c r="I36" s="316"/>
      <c r="J36" s="316"/>
      <c r="K36" s="316"/>
      <c r="L36" s="316"/>
      <c r="M36" s="316"/>
      <c r="N36" s="316"/>
      <c r="O36" s="316">
        <f t="shared" si="0"/>
        <v>0</v>
      </c>
    </row>
    <row r="37" spans="1:15" x14ac:dyDescent="0.25">
      <c r="A37" s="313"/>
      <c r="B37" s="317" t="s">
        <v>3565</v>
      </c>
      <c r="C37" s="318">
        <f t="shared" ref="C37:N37" si="2">SUM(C22:C36)</f>
        <v>3</v>
      </c>
      <c r="D37" s="318">
        <f t="shared" si="2"/>
        <v>0</v>
      </c>
      <c r="E37" s="318">
        <f t="shared" si="2"/>
        <v>1</v>
      </c>
      <c r="F37" s="318">
        <f t="shared" si="2"/>
        <v>1</v>
      </c>
      <c r="G37" s="318">
        <f t="shared" si="2"/>
        <v>4</v>
      </c>
      <c r="H37" s="318">
        <f t="shared" si="2"/>
        <v>7</v>
      </c>
      <c r="I37" s="318">
        <f t="shared" si="2"/>
        <v>2</v>
      </c>
      <c r="J37" s="318">
        <f t="shared" si="2"/>
        <v>2</v>
      </c>
      <c r="K37" s="318">
        <f t="shared" si="2"/>
        <v>3</v>
      </c>
      <c r="L37" s="318">
        <f t="shared" si="2"/>
        <v>3</v>
      </c>
      <c r="M37" s="318">
        <f t="shared" si="2"/>
        <v>2</v>
      </c>
      <c r="N37" s="318">
        <f t="shared" si="2"/>
        <v>3</v>
      </c>
      <c r="O37" s="316">
        <f t="shared" si="0"/>
        <v>31</v>
      </c>
    </row>
    <row r="38" spans="1:15" x14ac:dyDescent="0.25">
      <c r="A38" s="313"/>
      <c r="B38" s="322" t="s">
        <v>3583</v>
      </c>
      <c r="C38" s="323"/>
      <c r="D38" s="323"/>
      <c r="E38" s="323"/>
      <c r="F38" s="323"/>
      <c r="G38" s="323"/>
      <c r="H38" s="323"/>
      <c r="I38" s="323"/>
      <c r="J38" s="323"/>
      <c r="K38" s="323"/>
      <c r="L38" s="323"/>
      <c r="M38" s="323"/>
      <c r="N38" s="323"/>
      <c r="O38" s="323"/>
    </row>
    <row r="39" spans="1:15" ht="31.25" x14ac:dyDescent="0.25">
      <c r="A39" s="313">
        <v>28</v>
      </c>
      <c r="B39" s="324" t="s">
        <v>3657</v>
      </c>
      <c r="C39" s="316"/>
      <c r="D39" s="316"/>
      <c r="E39" s="316"/>
      <c r="F39" s="316"/>
      <c r="G39" s="316"/>
      <c r="H39" s="316"/>
      <c r="I39" s="316"/>
      <c r="J39" s="316"/>
      <c r="K39" s="316"/>
      <c r="L39" s="316"/>
      <c r="M39" s="316"/>
      <c r="N39" s="316"/>
      <c r="O39" s="316">
        <f t="shared" si="0"/>
        <v>0</v>
      </c>
    </row>
    <row r="40" spans="1:15" x14ac:dyDescent="0.25">
      <c r="A40" s="313">
        <v>29</v>
      </c>
      <c r="B40" s="325" t="s">
        <v>3658</v>
      </c>
      <c r="C40" s="316"/>
      <c r="D40" s="316">
        <v>1</v>
      </c>
      <c r="E40" s="316"/>
      <c r="F40" s="316"/>
      <c r="G40" s="316"/>
      <c r="H40" s="316"/>
      <c r="I40" s="316"/>
      <c r="J40" s="316"/>
      <c r="K40" s="316"/>
      <c r="L40" s="316"/>
      <c r="M40" s="316"/>
      <c r="N40" s="316"/>
      <c r="O40" s="316">
        <f t="shared" si="0"/>
        <v>1</v>
      </c>
    </row>
    <row r="41" spans="1:15" x14ac:dyDescent="0.25">
      <c r="A41" s="313">
        <v>30</v>
      </c>
      <c r="B41" s="325" t="s">
        <v>3585</v>
      </c>
      <c r="C41" s="316"/>
      <c r="D41" s="316"/>
      <c r="E41" s="316"/>
      <c r="F41" s="316"/>
      <c r="G41" s="316"/>
      <c r="H41" s="316"/>
      <c r="I41" s="316"/>
      <c r="J41" s="316"/>
      <c r="K41" s="316"/>
      <c r="L41" s="316"/>
      <c r="M41" s="316"/>
      <c r="N41" s="316"/>
      <c r="O41" s="316">
        <f t="shared" si="0"/>
        <v>0</v>
      </c>
    </row>
    <row r="42" spans="1:15" x14ac:dyDescent="0.25">
      <c r="A42" s="313">
        <v>31</v>
      </c>
      <c r="B42" s="325" t="s">
        <v>3659</v>
      </c>
      <c r="C42" s="316">
        <v>2</v>
      </c>
      <c r="D42" s="316">
        <v>1</v>
      </c>
      <c r="E42" s="316">
        <v>3</v>
      </c>
      <c r="F42" s="316">
        <v>3</v>
      </c>
      <c r="G42" s="316"/>
      <c r="H42" s="316"/>
      <c r="I42" s="316">
        <v>1</v>
      </c>
      <c r="J42" s="316"/>
      <c r="K42" s="316">
        <v>1</v>
      </c>
      <c r="L42" s="316"/>
      <c r="M42" s="316">
        <v>1</v>
      </c>
      <c r="N42" s="316">
        <v>3</v>
      </c>
      <c r="O42" s="316">
        <f t="shared" si="0"/>
        <v>15</v>
      </c>
    </row>
    <row r="43" spans="1:15" x14ac:dyDescent="0.25">
      <c r="A43" s="313">
        <v>32</v>
      </c>
      <c r="B43" s="325" t="s">
        <v>3587</v>
      </c>
      <c r="C43" s="316"/>
      <c r="D43" s="316"/>
      <c r="E43" s="316"/>
      <c r="F43" s="316"/>
      <c r="G43" s="316">
        <v>1</v>
      </c>
      <c r="H43" s="316">
        <v>1</v>
      </c>
      <c r="I43" s="316"/>
      <c r="J43" s="316"/>
      <c r="K43" s="316"/>
      <c r="L43" s="316"/>
      <c r="M43" s="316"/>
      <c r="N43" s="316"/>
      <c r="O43" s="316">
        <f t="shared" si="0"/>
        <v>2</v>
      </c>
    </row>
    <row r="44" spans="1:15" x14ac:dyDescent="0.25">
      <c r="A44" s="313"/>
      <c r="B44" s="317" t="s">
        <v>3565</v>
      </c>
      <c r="C44" s="318">
        <f t="shared" ref="C44:N44" si="3">SUM(C39:C43)</f>
        <v>2</v>
      </c>
      <c r="D44" s="318">
        <f t="shared" si="3"/>
        <v>2</v>
      </c>
      <c r="E44" s="318">
        <f t="shared" si="3"/>
        <v>3</v>
      </c>
      <c r="F44" s="318">
        <f t="shared" si="3"/>
        <v>3</v>
      </c>
      <c r="G44" s="318">
        <f t="shared" si="3"/>
        <v>1</v>
      </c>
      <c r="H44" s="318">
        <f t="shared" si="3"/>
        <v>1</v>
      </c>
      <c r="I44" s="318">
        <f t="shared" si="3"/>
        <v>1</v>
      </c>
      <c r="J44" s="318">
        <f t="shared" si="3"/>
        <v>0</v>
      </c>
      <c r="K44" s="318">
        <f t="shared" si="3"/>
        <v>1</v>
      </c>
      <c r="L44" s="318">
        <f t="shared" si="3"/>
        <v>0</v>
      </c>
      <c r="M44" s="318">
        <f t="shared" si="3"/>
        <v>1</v>
      </c>
      <c r="N44" s="318">
        <f t="shared" si="3"/>
        <v>3</v>
      </c>
      <c r="O44" s="316">
        <f t="shared" si="0"/>
        <v>18</v>
      </c>
    </row>
    <row r="45" spans="1:15" x14ac:dyDescent="0.25">
      <c r="A45" s="313"/>
      <c r="B45" s="326" t="s">
        <v>3589</v>
      </c>
      <c r="C45" s="327"/>
      <c r="D45" s="327"/>
      <c r="E45" s="327"/>
      <c r="F45" s="327"/>
      <c r="G45" s="327"/>
      <c r="H45" s="327"/>
      <c r="I45" s="327"/>
      <c r="J45" s="327"/>
      <c r="K45" s="327"/>
      <c r="L45" s="327"/>
      <c r="M45" s="327"/>
      <c r="N45" s="327"/>
      <c r="O45" s="327"/>
    </row>
    <row r="46" spans="1:15" x14ac:dyDescent="0.25">
      <c r="A46" s="313">
        <v>33</v>
      </c>
      <c r="B46" s="325" t="s">
        <v>3590</v>
      </c>
      <c r="C46" s="328"/>
      <c r="D46" s="328"/>
      <c r="E46" s="328">
        <v>1</v>
      </c>
      <c r="F46" s="328"/>
      <c r="G46" s="328"/>
      <c r="H46" s="328"/>
      <c r="I46" s="328"/>
      <c r="J46" s="328"/>
      <c r="K46" s="328"/>
      <c r="L46" s="328"/>
      <c r="M46" s="328"/>
      <c r="N46" s="328"/>
      <c r="O46" s="316">
        <f t="shared" si="0"/>
        <v>1</v>
      </c>
    </row>
    <row r="47" spans="1:15" ht="31.25" x14ac:dyDescent="0.25">
      <c r="A47" s="313">
        <v>34</v>
      </c>
      <c r="B47" s="329" t="s">
        <v>3660</v>
      </c>
      <c r="C47" s="328"/>
      <c r="D47" s="328"/>
      <c r="E47" s="328"/>
      <c r="F47" s="328"/>
      <c r="G47" s="328"/>
      <c r="H47" s="328">
        <v>1</v>
      </c>
      <c r="I47" s="328"/>
      <c r="J47" s="328"/>
      <c r="K47" s="328"/>
      <c r="L47" s="328"/>
      <c r="M47" s="328"/>
      <c r="N47" s="328"/>
      <c r="O47" s="316">
        <f t="shared" si="0"/>
        <v>1</v>
      </c>
    </row>
    <row r="48" spans="1:15" x14ac:dyDescent="0.25">
      <c r="A48" s="313">
        <v>35</v>
      </c>
      <c r="B48" s="325" t="s">
        <v>3592</v>
      </c>
      <c r="C48" s="328"/>
      <c r="D48" s="328"/>
      <c r="E48" s="328"/>
      <c r="F48" s="328"/>
      <c r="G48" s="328"/>
      <c r="H48" s="328"/>
      <c r="I48" s="328"/>
      <c r="J48" s="328"/>
      <c r="K48" s="328"/>
      <c r="L48" s="328"/>
      <c r="M48" s="328"/>
      <c r="N48" s="328"/>
      <c r="O48" s="316">
        <f t="shared" si="0"/>
        <v>0</v>
      </c>
    </row>
    <row r="49" spans="1:15" x14ac:dyDescent="0.25">
      <c r="A49" s="313">
        <v>36</v>
      </c>
      <c r="B49" s="325" t="s">
        <v>3593</v>
      </c>
      <c r="C49" s="328"/>
      <c r="D49" s="328"/>
      <c r="E49" s="328"/>
      <c r="F49" s="328"/>
      <c r="G49" s="328"/>
      <c r="H49" s="328"/>
      <c r="I49" s="328"/>
      <c r="J49" s="328"/>
      <c r="K49" s="328"/>
      <c r="L49" s="328"/>
      <c r="M49" s="328"/>
      <c r="N49" s="328"/>
      <c r="O49" s="316">
        <f t="shared" si="0"/>
        <v>0</v>
      </c>
    </row>
    <row r="50" spans="1:15" x14ac:dyDescent="0.25">
      <c r="A50" s="313">
        <v>37</v>
      </c>
      <c r="B50" s="325" t="s">
        <v>3594</v>
      </c>
      <c r="C50" s="328"/>
      <c r="D50" s="328"/>
      <c r="E50" s="328"/>
      <c r="F50" s="328"/>
      <c r="G50" s="328"/>
      <c r="H50" s="328"/>
      <c r="I50" s="328"/>
      <c r="J50" s="328"/>
      <c r="K50" s="328"/>
      <c r="L50" s="328"/>
      <c r="M50" s="328"/>
      <c r="N50" s="328"/>
      <c r="O50" s="316">
        <f t="shared" si="0"/>
        <v>0</v>
      </c>
    </row>
    <row r="51" spans="1:15" x14ac:dyDescent="0.25">
      <c r="A51" s="313">
        <v>38</v>
      </c>
      <c r="B51" s="329" t="s">
        <v>3661</v>
      </c>
      <c r="C51" s="328"/>
      <c r="D51" s="328"/>
      <c r="E51" s="328">
        <v>4</v>
      </c>
      <c r="F51" s="328">
        <v>20</v>
      </c>
      <c r="G51" s="328">
        <v>1</v>
      </c>
      <c r="H51" s="328"/>
      <c r="I51" s="328">
        <v>3</v>
      </c>
      <c r="J51" s="328"/>
      <c r="K51" s="328"/>
      <c r="L51" s="328">
        <v>8</v>
      </c>
      <c r="M51" s="328">
        <v>4</v>
      </c>
      <c r="N51" s="328"/>
      <c r="O51" s="316">
        <f t="shared" si="0"/>
        <v>40</v>
      </c>
    </row>
    <row r="52" spans="1:15" x14ac:dyDescent="0.25">
      <c r="A52" s="313">
        <v>39</v>
      </c>
      <c r="B52" s="325" t="s">
        <v>3596</v>
      </c>
      <c r="C52" s="328"/>
      <c r="D52" s="328">
        <v>1</v>
      </c>
      <c r="E52" s="328">
        <v>4</v>
      </c>
      <c r="F52" s="328">
        <v>11</v>
      </c>
      <c r="G52" s="328">
        <v>3</v>
      </c>
      <c r="H52" s="328">
        <v>1</v>
      </c>
      <c r="I52" s="328">
        <v>11</v>
      </c>
      <c r="J52" s="328">
        <v>1</v>
      </c>
      <c r="K52" s="328">
        <v>2</v>
      </c>
      <c r="L52" s="328"/>
      <c r="M52" s="328">
        <v>3</v>
      </c>
      <c r="N52" s="328"/>
      <c r="O52" s="316">
        <f t="shared" si="0"/>
        <v>37</v>
      </c>
    </row>
    <row r="53" spans="1:15" x14ac:dyDescent="0.25">
      <c r="A53" s="313">
        <v>40</v>
      </c>
      <c r="B53" s="325" t="s">
        <v>3597</v>
      </c>
      <c r="C53" s="328">
        <v>18</v>
      </c>
      <c r="D53" s="328">
        <v>16</v>
      </c>
      <c r="E53" s="328">
        <v>24</v>
      </c>
      <c r="F53" s="328">
        <v>4</v>
      </c>
      <c r="G53" s="328">
        <v>1</v>
      </c>
      <c r="H53" s="328">
        <v>3</v>
      </c>
      <c r="I53" s="328">
        <v>3</v>
      </c>
      <c r="J53" s="328">
        <v>2</v>
      </c>
      <c r="K53" s="328">
        <v>8</v>
      </c>
      <c r="L53" s="328">
        <v>10</v>
      </c>
      <c r="M53" s="328">
        <v>2</v>
      </c>
      <c r="N53" s="328">
        <v>3</v>
      </c>
      <c r="O53" s="316">
        <f t="shared" si="0"/>
        <v>94</v>
      </c>
    </row>
    <row r="54" spans="1:15" x14ac:dyDescent="0.25">
      <c r="A54" s="313">
        <v>41</v>
      </c>
      <c r="B54" s="325" t="s">
        <v>3598</v>
      </c>
      <c r="C54" s="328"/>
      <c r="D54" s="328"/>
      <c r="E54" s="328"/>
      <c r="F54" s="328"/>
      <c r="G54" s="328"/>
      <c r="H54" s="328"/>
      <c r="I54" s="328"/>
      <c r="J54" s="328"/>
      <c r="K54" s="328"/>
      <c r="L54" s="328"/>
      <c r="M54" s="328"/>
      <c r="N54" s="328"/>
      <c r="O54" s="316">
        <f t="shared" si="0"/>
        <v>0</v>
      </c>
    </row>
    <row r="55" spans="1:15" x14ac:dyDescent="0.25">
      <c r="A55" s="313">
        <v>42</v>
      </c>
      <c r="B55" s="330" t="s">
        <v>3662</v>
      </c>
      <c r="C55" s="328"/>
      <c r="D55" s="328"/>
      <c r="E55" s="328"/>
      <c r="F55" s="328"/>
      <c r="G55" s="328"/>
      <c r="H55" s="328"/>
      <c r="I55" s="328">
        <v>3</v>
      </c>
      <c r="J55" s="328"/>
      <c r="K55" s="328"/>
      <c r="L55" s="328"/>
      <c r="M55" s="328"/>
      <c r="N55" s="328"/>
      <c r="O55" s="316">
        <f t="shared" si="0"/>
        <v>3</v>
      </c>
    </row>
    <row r="56" spans="1:15" x14ac:dyDescent="0.25">
      <c r="A56" s="313">
        <v>43</v>
      </c>
      <c r="B56" s="330" t="s">
        <v>3663</v>
      </c>
      <c r="C56" s="328"/>
      <c r="D56" s="328"/>
      <c r="E56" s="328">
        <v>1</v>
      </c>
      <c r="F56" s="328">
        <v>1</v>
      </c>
      <c r="G56" s="328"/>
      <c r="H56" s="328">
        <v>1</v>
      </c>
      <c r="I56" s="328"/>
      <c r="J56" s="328"/>
      <c r="K56" s="328" t="s">
        <v>3543</v>
      </c>
      <c r="L56" s="328"/>
      <c r="M56" s="328">
        <v>1</v>
      </c>
      <c r="N56" s="328">
        <v>1</v>
      </c>
      <c r="O56" s="316">
        <f t="shared" si="0"/>
        <v>5</v>
      </c>
    </row>
    <row r="57" spans="1:15" x14ac:dyDescent="0.25">
      <c r="A57" s="313"/>
      <c r="B57" s="317" t="s">
        <v>3565</v>
      </c>
      <c r="C57" s="318">
        <f t="shared" ref="C57:N57" si="4">SUM(C46:C56)</f>
        <v>18</v>
      </c>
      <c r="D57" s="318">
        <f t="shared" si="4"/>
        <v>17</v>
      </c>
      <c r="E57" s="318">
        <f t="shared" si="4"/>
        <v>34</v>
      </c>
      <c r="F57" s="318">
        <f t="shared" si="4"/>
        <v>36</v>
      </c>
      <c r="G57" s="318">
        <f t="shared" si="4"/>
        <v>5</v>
      </c>
      <c r="H57" s="318">
        <f t="shared" si="4"/>
        <v>6</v>
      </c>
      <c r="I57" s="318">
        <f t="shared" si="4"/>
        <v>20</v>
      </c>
      <c r="J57" s="318">
        <f t="shared" si="4"/>
        <v>3</v>
      </c>
      <c r="K57" s="318">
        <f t="shared" si="4"/>
        <v>10</v>
      </c>
      <c r="L57" s="318">
        <f t="shared" si="4"/>
        <v>18</v>
      </c>
      <c r="M57" s="318">
        <f t="shared" si="4"/>
        <v>10</v>
      </c>
      <c r="N57" s="318">
        <f t="shared" si="4"/>
        <v>4</v>
      </c>
      <c r="O57" s="316">
        <f t="shared" si="0"/>
        <v>181</v>
      </c>
    </row>
    <row r="58" spans="1:15" x14ac:dyDescent="0.25">
      <c r="A58" s="313"/>
      <c r="B58" s="331" t="s">
        <v>3600</v>
      </c>
      <c r="C58" s="332"/>
      <c r="D58" s="332"/>
      <c r="E58" s="332"/>
      <c r="F58" s="332"/>
      <c r="G58" s="332"/>
      <c r="H58" s="332"/>
      <c r="I58" s="332"/>
      <c r="J58" s="332"/>
      <c r="K58" s="332"/>
      <c r="L58" s="332"/>
      <c r="M58" s="332"/>
      <c r="N58" s="332"/>
      <c r="O58" s="332"/>
    </row>
    <row r="59" spans="1:15" ht="31.25" x14ac:dyDescent="0.25">
      <c r="A59" s="313">
        <v>44</v>
      </c>
      <c r="B59" s="324" t="s">
        <v>3664</v>
      </c>
      <c r="C59" s="316">
        <v>2</v>
      </c>
      <c r="D59" s="316"/>
      <c r="E59" s="316">
        <v>2</v>
      </c>
      <c r="F59" s="316">
        <v>1</v>
      </c>
      <c r="G59" s="316"/>
      <c r="H59" s="316">
        <v>3</v>
      </c>
      <c r="I59" s="316"/>
      <c r="J59" s="316"/>
      <c r="K59" s="316">
        <v>1</v>
      </c>
      <c r="L59" s="316"/>
      <c r="M59" s="316"/>
      <c r="N59" s="316"/>
      <c r="O59" s="316">
        <f t="shared" ref="O59:O66" si="5">SUM(C59:N59)</f>
        <v>9</v>
      </c>
    </row>
    <row r="60" spans="1:15" ht="46.9" x14ac:dyDescent="0.25">
      <c r="A60" s="313">
        <v>45</v>
      </c>
      <c r="B60" s="324" t="s">
        <v>3665</v>
      </c>
      <c r="C60" s="316"/>
      <c r="D60" s="316"/>
      <c r="E60" s="316"/>
      <c r="F60" s="316">
        <v>1</v>
      </c>
      <c r="G60" s="316"/>
      <c r="H60" s="316"/>
      <c r="I60" s="316"/>
      <c r="J60" s="316"/>
      <c r="K60" s="316"/>
      <c r="L60" s="316"/>
      <c r="M60" s="316"/>
      <c r="N60" s="316"/>
      <c r="O60" s="316">
        <f t="shared" si="5"/>
        <v>1</v>
      </c>
    </row>
    <row r="61" spans="1:15" ht="31.25" x14ac:dyDescent="0.25">
      <c r="A61" s="313">
        <v>46</v>
      </c>
      <c r="B61" s="324" t="s">
        <v>3666</v>
      </c>
      <c r="C61" s="316">
        <v>1</v>
      </c>
      <c r="D61" s="316">
        <v>1</v>
      </c>
      <c r="E61" s="316"/>
      <c r="F61" s="316">
        <v>3</v>
      </c>
      <c r="G61" s="316">
        <v>2</v>
      </c>
      <c r="H61" s="316">
        <v>4</v>
      </c>
      <c r="I61" s="316"/>
      <c r="J61" s="316">
        <v>1</v>
      </c>
      <c r="K61" s="316"/>
      <c r="L61" s="316">
        <v>1</v>
      </c>
      <c r="M61" s="316"/>
      <c r="N61" s="316"/>
      <c r="O61" s="316">
        <f t="shared" si="5"/>
        <v>13</v>
      </c>
    </row>
    <row r="62" spans="1:15" ht="31.25" x14ac:dyDescent="0.25">
      <c r="A62" s="313">
        <v>47</v>
      </c>
      <c r="B62" s="324" t="s">
        <v>3667</v>
      </c>
      <c r="C62" s="316"/>
      <c r="D62" s="316"/>
      <c r="E62" s="316"/>
      <c r="F62" s="316">
        <v>2</v>
      </c>
      <c r="G62" s="316"/>
      <c r="H62" s="316">
        <v>2</v>
      </c>
      <c r="I62" s="316"/>
      <c r="J62" s="316"/>
      <c r="K62" s="316"/>
      <c r="L62" s="316"/>
      <c r="M62" s="316"/>
      <c r="N62" s="316"/>
      <c r="O62" s="316">
        <f t="shared" si="5"/>
        <v>4</v>
      </c>
    </row>
    <row r="63" spans="1:15" x14ac:dyDescent="0.25">
      <c r="A63" s="313">
        <v>48</v>
      </c>
      <c r="B63" s="325" t="s">
        <v>3668</v>
      </c>
      <c r="C63" s="316"/>
      <c r="D63" s="316"/>
      <c r="E63" s="316"/>
      <c r="F63" s="316"/>
      <c r="G63" s="316"/>
      <c r="H63" s="316"/>
      <c r="I63" s="316"/>
      <c r="J63" s="316"/>
      <c r="K63" s="316">
        <v>1</v>
      </c>
      <c r="L63" s="316"/>
      <c r="M63" s="316"/>
      <c r="N63" s="316"/>
      <c r="O63" s="316">
        <f t="shared" si="5"/>
        <v>1</v>
      </c>
    </row>
    <row r="64" spans="1:15" x14ac:dyDescent="0.25">
      <c r="A64" s="313">
        <v>49</v>
      </c>
      <c r="B64" s="330" t="s">
        <v>3669</v>
      </c>
      <c r="C64" s="316"/>
      <c r="D64" s="316"/>
      <c r="E64" s="316"/>
      <c r="F64" s="316"/>
      <c r="G64" s="316"/>
      <c r="H64" s="316"/>
      <c r="I64" s="316"/>
      <c r="J64" s="316"/>
      <c r="K64" s="316"/>
      <c r="L64" s="316"/>
      <c r="M64" s="316"/>
      <c r="N64" s="316"/>
      <c r="O64" s="316">
        <f t="shared" si="5"/>
        <v>0</v>
      </c>
    </row>
    <row r="65" spans="1:15" x14ac:dyDescent="0.25">
      <c r="A65" s="313"/>
      <c r="B65" s="317" t="s">
        <v>3565</v>
      </c>
      <c r="C65" s="318">
        <f t="shared" ref="C65:N65" si="6">SUM(C59:C64)</f>
        <v>3</v>
      </c>
      <c r="D65" s="318">
        <f t="shared" si="6"/>
        <v>1</v>
      </c>
      <c r="E65" s="318">
        <f t="shared" si="6"/>
        <v>2</v>
      </c>
      <c r="F65" s="318">
        <f t="shared" si="6"/>
        <v>7</v>
      </c>
      <c r="G65" s="318">
        <f t="shared" si="6"/>
        <v>2</v>
      </c>
      <c r="H65" s="318">
        <f t="shared" si="6"/>
        <v>9</v>
      </c>
      <c r="I65" s="318">
        <f t="shared" si="6"/>
        <v>0</v>
      </c>
      <c r="J65" s="318">
        <f t="shared" si="6"/>
        <v>1</v>
      </c>
      <c r="K65" s="318">
        <f t="shared" si="6"/>
        <v>2</v>
      </c>
      <c r="L65" s="318">
        <f t="shared" si="6"/>
        <v>1</v>
      </c>
      <c r="M65" s="318">
        <f t="shared" si="6"/>
        <v>0</v>
      </c>
      <c r="N65" s="318">
        <f t="shared" si="6"/>
        <v>0</v>
      </c>
      <c r="O65" s="316">
        <f t="shared" si="5"/>
        <v>28</v>
      </c>
    </row>
    <row r="66" spans="1:15" x14ac:dyDescent="0.25">
      <c r="A66" s="313"/>
      <c r="B66" s="333" t="s">
        <v>3603</v>
      </c>
      <c r="C66" s="334">
        <f t="shared" ref="C66:N66" si="7">SUM(C65+C57+C44+C37+C20)</f>
        <v>44</v>
      </c>
      <c r="D66" s="334">
        <f t="shared" si="7"/>
        <v>36</v>
      </c>
      <c r="E66" s="334">
        <f t="shared" si="7"/>
        <v>42</v>
      </c>
      <c r="F66" s="334">
        <f t="shared" si="7"/>
        <v>47</v>
      </c>
      <c r="G66" s="334">
        <f t="shared" si="7"/>
        <v>15</v>
      </c>
      <c r="H66" s="334">
        <f t="shared" si="7"/>
        <v>25</v>
      </c>
      <c r="I66" s="334">
        <f t="shared" si="7"/>
        <v>27</v>
      </c>
      <c r="J66" s="334">
        <f t="shared" si="7"/>
        <v>17</v>
      </c>
      <c r="K66" s="334">
        <f t="shared" si="7"/>
        <v>24</v>
      </c>
      <c r="L66" s="334">
        <f t="shared" si="7"/>
        <v>22</v>
      </c>
      <c r="M66" s="334">
        <f t="shared" si="7"/>
        <v>14</v>
      </c>
      <c r="N66" s="334">
        <f t="shared" si="7"/>
        <v>11</v>
      </c>
      <c r="O66" s="316">
        <f t="shared" si="5"/>
        <v>324</v>
      </c>
    </row>
    <row r="67" spans="1:15" x14ac:dyDescent="0.25">
      <c r="A67" s="313"/>
      <c r="B67" s="335" t="s">
        <v>3605</v>
      </c>
      <c r="C67" s="336"/>
      <c r="D67" s="336"/>
      <c r="E67" s="336"/>
      <c r="F67" s="336"/>
      <c r="G67" s="336"/>
      <c r="H67" s="336"/>
      <c r="I67" s="336"/>
      <c r="J67" s="336"/>
      <c r="K67" s="336"/>
      <c r="L67" s="336"/>
      <c r="M67" s="336"/>
      <c r="N67" s="336"/>
      <c r="O67" s="337"/>
    </row>
    <row r="68" spans="1:15" x14ac:dyDescent="0.25">
      <c r="A68" s="313">
        <v>1</v>
      </c>
      <c r="B68" s="338" t="s">
        <v>3670</v>
      </c>
      <c r="C68" s="339">
        <v>43</v>
      </c>
      <c r="D68" s="339">
        <v>72</v>
      </c>
      <c r="E68" s="339">
        <v>10</v>
      </c>
      <c r="F68" s="339">
        <v>10</v>
      </c>
      <c r="G68" s="339">
        <v>11</v>
      </c>
      <c r="H68" s="339">
        <v>27</v>
      </c>
      <c r="I68" s="339">
        <v>22</v>
      </c>
      <c r="J68" s="339">
        <v>34</v>
      </c>
      <c r="K68" s="339">
        <v>31</v>
      </c>
      <c r="L68" s="339">
        <v>28</v>
      </c>
      <c r="M68" s="339">
        <v>30</v>
      </c>
      <c r="N68" s="339">
        <v>16</v>
      </c>
      <c r="O68" s="316">
        <f t="shared" ref="O68:O78" si="8">SUM(C68:N68)</f>
        <v>334</v>
      </c>
    </row>
    <row r="69" spans="1:15" x14ac:dyDescent="0.25">
      <c r="A69" s="313">
        <v>2</v>
      </c>
      <c r="B69" s="330" t="s">
        <v>3671</v>
      </c>
      <c r="C69" s="339"/>
      <c r="D69" s="339"/>
      <c r="E69" s="339"/>
      <c r="F69" s="339"/>
      <c r="G69" s="339"/>
      <c r="H69" s="339"/>
      <c r="I69" s="339"/>
      <c r="J69" s="339"/>
      <c r="K69" s="339"/>
      <c r="L69" s="339"/>
      <c r="M69" s="339"/>
      <c r="N69" s="339"/>
      <c r="O69" s="316">
        <f t="shared" si="8"/>
        <v>0</v>
      </c>
    </row>
    <row r="70" spans="1:15" x14ac:dyDescent="0.25">
      <c r="A70" s="313">
        <v>3</v>
      </c>
      <c r="B70" s="330" t="s">
        <v>3672</v>
      </c>
      <c r="C70" s="339">
        <v>1</v>
      </c>
      <c r="D70" s="339">
        <v>1</v>
      </c>
      <c r="E70" s="339">
        <v>1</v>
      </c>
      <c r="F70" s="339">
        <v>3</v>
      </c>
      <c r="G70" s="339"/>
      <c r="H70" s="339"/>
      <c r="I70" s="339">
        <v>2</v>
      </c>
      <c r="J70" s="339"/>
      <c r="K70" s="339">
        <v>1</v>
      </c>
      <c r="L70" s="339"/>
      <c r="M70" s="339"/>
      <c r="N70" s="339"/>
      <c r="O70" s="316">
        <f t="shared" si="8"/>
        <v>9</v>
      </c>
    </row>
    <row r="71" spans="1:15" x14ac:dyDescent="0.25">
      <c r="A71" s="313">
        <v>4</v>
      </c>
      <c r="B71" s="330" t="s">
        <v>3673</v>
      </c>
      <c r="C71" s="339"/>
      <c r="D71" s="339"/>
      <c r="E71" s="339"/>
      <c r="F71" s="339">
        <v>1</v>
      </c>
      <c r="G71" s="339"/>
      <c r="H71" s="339"/>
      <c r="I71" s="339"/>
      <c r="J71" s="339"/>
      <c r="K71" s="339"/>
      <c r="L71" s="339"/>
      <c r="M71" s="339"/>
      <c r="N71" s="339">
        <v>1</v>
      </c>
      <c r="O71" s="316">
        <f t="shared" si="8"/>
        <v>2</v>
      </c>
    </row>
    <row r="72" spans="1:15" x14ac:dyDescent="0.25">
      <c r="A72" s="313">
        <v>5</v>
      </c>
      <c r="B72" s="338" t="s">
        <v>3607</v>
      </c>
      <c r="C72" s="339">
        <v>2</v>
      </c>
      <c r="D72" s="339">
        <v>1</v>
      </c>
      <c r="E72" s="339"/>
      <c r="F72" s="339">
        <v>8</v>
      </c>
      <c r="G72" s="339">
        <v>3</v>
      </c>
      <c r="H72" s="339">
        <v>4</v>
      </c>
      <c r="I72" s="339" t="s">
        <v>3543</v>
      </c>
      <c r="J72" s="339">
        <v>1</v>
      </c>
      <c r="K72" s="339">
        <v>4</v>
      </c>
      <c r="L72" s="339">
        <v>5</v>
      </c>
      <c r="M72" s="339"/>
      <c r="N72" s="339"/>
      <c r="O72" s="316">
        <f t="shared" si="8"/>
        <v>28</v>
      </c>
    </row>
    <row r="73" spans="1:15" x14ac:dyDescent="0.25">
      <c r="A73" s="313">
        <v>6</v>
      </c>
      <c r="B73" s="325" t="s">
        <v>3608</v>
      </c>
      <c r="C73" s="339">
        <v>3</v>
      </c>
      <c r="D73" s="339"/>
      <c r="E73" s="339">
        <v>6</v>
      </c>
      <c r="F73" s="339">
        <v>2</v>
      </c>
      <c r="G73" s="339"/>
      <c r="H73" s="339">
        <v>1</v>
      </c>
      <c r="I73" s="339">
        <v>1</v>
      </c>
      <c r="J73" s="339">
        <v>1</v>
      </c>
      <c r="K73" s="339">
        <v>10</v>
      </c>
      <c r="L73" s="339">
        <v>1</v>
      </c>
      <c r="M73" s="339">
        <v>1</v>
      </c>
      <c r="N73" s="339">
        <v>1</v>
      </c>
      <c r="O73" s="316">
        <f t="shared" si="8"/>
        <v>27</v>
      </c>
    </row>
    <row r="74" spans="1:15" x14ac:dyDescent="0.25">
      <c r="A74" s="313">
        <v>7</v>
      </c>
      <c r="B74" s="325" t="s">
        <v>3609</v>
      </c>
      <c r="C74" s="339">
        <v>1</v>
      </c>
      <c r="D74" s="339">
        <v>2</v>
      </c>
      <c r="E74" s="339"/>
      <c r="F74" s="339"/>
      <c r="G74" s="339"/>
      <c r="H74" s="339"/>
      <c r="I74" s="339"/>
      <c r="J74" s="339">
        <v>3</v>
      </c>
      <c r="K74" s="339">
        <v>1</v>
      </c>
      <c r="L74" s="339">
        <v>3</v>
      </c>
      <c r="M74" s="339"/>
      <c r="N74" s="339"/>
      <c r="O74" s="316">
        <f t="shared" si="8"/>
        <v>10</v>
      </c>
    </row>
    <row r="75" spans="1:15" x14ac:dyDescent="0.25">
      <c r="A75" s="313">
        <v>8</v>
      </c>
      <c r="B75" s="325" t="s">
        <v>3674</v>
      </c>
      <c r="C75" s="339"/>
      <c r="D75" s="339"/>
      <c r="E75" s="339"/>
      <c r="F75" s="339"/>
      <c r="G75" s="339"/>
      <c r="H75" s="339"/>
      <c r="I75" s="339"/>
      <c r="J75" s="339"/>
      <c r="K75" s="339"/>
      <c r="L75" s="339">
        <v>1</v>
      </c>
      <c r="M75" s="339"/>
      <c r="N75" s="339"/>
      <c r="O75" s="316">
        <f t="shared" si="8"/>
        <v>1</v>
      </c>
    </row>
    <row r="76" spans="1:15" x14ac:dyDescent="0.25">
      <c r="A76" s="313">
        <v>9</v>
      </c>
      <c r="B76" s="330" t="s">
        <v>3675</v>
      </c>
      <c r="C76" s="339">
        <v>1</v>
      </c>
      <c r="D76" s="339"/>
      <c r="E76" s="339"/>
      <c r="F76" s="339">
        <v>1</v>
      </c>
      <c r="G76" s="339">
        <v>1</v>
      </c>
      <c r="H76" s="339"/>
      <c r="I76" s="339"/>
      <c r="J76" s="339"/>
      <c r="K76" s="339"/>
      <c r="L76" s="339"/>
      <c r="M76" s="339"/>
      <c r="N76" s="339"/>
      <c r="O76" s="316">
        <f t="shared" si="8"/>
        <v>3</v>
      </c>
    </row>
    <row r="77" spans="1:15" x14ac:dyDescent="0.25">
      <c r="A77" s="313"/>
      <c r="B77" s="317" t="s">
        <v>3676</v>
      </c>
      <c r="C77" s="318">
        <f t="shared" ref="C77:N77" si="9">SUM(C68:C76)</f>
        <v>51</v>
      </c>
      <c r="D77" s="318">
        <f t="shared" si="9"/>
        <v>76</v>
      </c>
      <c r="E77" s="318">
        <f t="shared" si="9"/>
        <v>17</v>
      </c>
      <c r="F77" s="318">
        <f t="shared" si="9"/>
        <v>25</v>
      </c>
      <c r="G77" s="318">
        <f t="shared" si="9"/>
        <v>15</v>
      </c>
      <c r="H77" s="318">
        <f t="shared" si="9"/>
        <v>32</v>
      </c>
      <c r="I77" s="318">
        <f t="shared" si="9"/>
        <v>25</v>
      </c>
      <c r="J77" s="318">
        <f t="shared" si="9"/>
        <v>39</v>
      </c>
      <c r="K77" s="318">
        <f t="shared" si="9"/>
        <v>47</v>
      </c>
      <c r="L77" s="318">
        <f t="shared" si="9"/>
        <v>38</v>
      </c>
      <c r="M77" s="318">
        <f t="shared" si="9"/>
        <v>31</v>
      </c>
      <c r="N77" s="318">
        <f t="shared" si="9"/>
        <v>18</v>
      </c>
      <c r="O77" s="316">
        <f t="shared" si="8"/>
        <v>414</v>
      </c>
    </row>
    <row r="78" spans="1:15" ht="31.25" x14ac:dyDescent="0.25">
      <c r="A78" s="313"/>
      <c r="B78" s="340" t="s">
        <v>3677</v>
      </c>
      <c r="C78" s="341">
        <f t="shared" ref="C78:N78" si="10">SUM(C66+C77)</f>
        <v>95</v>
      </c>
      <c r="D78" s="341">
        <f t="shared" si="10"/>
        <v>112</v>
      </c>
      <c r="E78" s="341">
        <f t="shared" si="10"/>
        <v>59</v>
      </c>
      <c r="F78" s="341">
        <f t="shared" si="10"/>
        <v>72</v>
      </c>
      <c r="G78" s="341">
        <f t="shared" si="10"/>
        <v>30</v>
      </c>
      <c r="H78" s="341">
        <f t="shared" si="10"/>
        <v>57</v>
      </c>
      <c r="I78" s="341">
        <f t="shared" si="10"/>
        <v>52</v>
      </c>
      <c r="J78" s="341">
        <f t="shared" si="10"/>
        <v>56</v>
      </c>
      <c r="K78" s="341">
        <f t="shared" si="10"/>
        <v>71</v>
      </c>
      <c r="L78" s="341">
        <f t="shared" si="10"/>
        <v>60</v>
      </c>
      <c r="M78" s="341">
        <f t="shared" si="10"/>
        <v>45</v>
      </c>
      <c r="N78" s="341">
        <f t="shared" si="10"/>
        <v>29</v>
      </c>
      <c r="O78" s="342">
        <f t="shared" si="8"/>
        <v>738</v>
      </c>
    </row>
    <row r="79" spans="1:15" x14ac:dyDescent="0.25">
      <c r="A79" s="330"/>
      <c r="B79" s="330"/>
      <c r="C79" s="343"/>
      <c r="D79" s="330"/>
      <c r="E79" s="330"/>
      <c r="F79" s="330"/>
      <c r="G79" s="330"/>
      <c r="H79" s="330"/>
      <c r="I79" s="330"/>
      <c r="J79" s="330"/>
      <c r="K79" s="330"/>
      <c r="L79" s="330"/>
      <c r="M79" s="330"/>
      <c r="N79" s="330"/>
      <c r="O79" s="330"/>
    </row>
    <row r="80" spans="1:15" x14ac:dyDescent="0.25">
      <c r="A80" s="330"/>
      <c r="B80" s="344" t="s">
        <v>3678</v>
      </c>
      <c r="C80" s="345"/>
      <c r="D80" s="345"/>
      <c r="E80" s="345"/>
      <c r="F80" s="345"/>
      <c r="G80" s="345"/>
      <c r="H80" s="345"/>
      <c r="I80" s="345"/>
      <c r="J80" s="345"/>
      <c r="K80" s="345"/>
      <c r="L80" s="345"/>
      <c r="M80" s="345"/>
      <c r="N80" s="345"/>
      <c r="O80" s="345"/>
    </row>
    <row r="81" spans="1:15" x14ac:dyDescent="0.25">
      <c r="A81" s="313"/>
      <c r="B81" s="346" t="s">
        <v>3679</v>
      </c>
      <c r="C81" s="347"/>
      <c r="D81" s="348"/>
      <c r="E81" s="348"/>
      <c r="F81" s="348"/>
      <c r="G81" s="348"/>
      <c r="H81" s="348"/>
      <c r="I81" s="348"/>
      <c r="J81" s="348"/>
      <c r="K81" s="348"/>
      <c r="L81" s="348"/>
      <c r="M81" s="348"/>
      <c r="N81" s="348"/>
      <c r="O81" s="348"/>
    </row>
    <row r="82" spans="1:15" x14ac:dyDescent="0.25">
      <c r="A82" s="313" t="s">
        <v>3680</v>
      </c>
      <c r="B82" s="325" t="s">
        <v>3681</v>
      </c>
      <c r="C82" s="328"/>
      <c r="D82" s="330"/>
      <c r="E82" s="330"/>
      <c r="F82" s="330"/>
      <c r="G82" s="330"/>
      <c r="H82" s="330">
        <v>180</v>
      </c>
      <c r="I82" s="330"/>
      <c r="J82" s="330"/>
      <c r="K82" s="330"/>
      <c r="L82" s="330"/>
      <c r="M82" s="330"/>
      <c r="N82" s="330"/>
      <c r="O82" s="330"/>
    </row>
    <row r="83" spans="1:15" ht="31.25" x14ac:dyDescent="0.25">
      <c r="A83" s="313" t="s">
        <v>3682</v>
      </c>
      <c r="B83" s="324" t="s">
        <v>3683</v>
      </c>
      <c r="C83" s="328"/>
      <c r="D83" s="330"/>
      <c r="E83" s="330"/>
      <c r="F83" s="330"/>
      <c r="G83" s="330"/>
      <c r="H83" s="330">
        <v>7</v>
      </c>
      <c r="I83" s="330"/>
      <c r="J83" s="330"/>
      <c r="K83" s="330"/>
      <c r="L83" s="330"/>
      <c r="M83" s="330"/>
      <c r="N83" s="330"/>
      <c r="O83" s="330"/>
    </row>
    <row r="84" spans="1:15" x14ac:dyDescent="0.25">
      <c r="A84" s="313" t="s">
        <v>3684</v>
      </c>
      <c r="B84" s="325" t="s">
        <v>3685</v>
      </c>
      <c r="C84" s="328"/>
      <c r="D84" s="330"/>
      <c r="E84" s="330"/>
      <c r="F84" s="330"/>
      <c r="G84" s="330"/>
      <c r="H84" s="330">
        <v>2</v>
      </c>
      <c r="I84" s="330"/>
      <c r="J84" s="330"/>
      <c r="K84" s="330"/>
      <c r="L84" s="330"/>
      <c r="M84" s="330"/>
      <c r="N84" s="330"/>
      <c r="O84" s="330"/>
    </row>
    <row r="85" spans="1:15" x14ac:dyDescent="0.25">
      <c r="A85" s="313" t="s">
        <v>3686</v>
      </c>
      <c r="B85" s="325" t="s">
        <v>3687</v>
      </c>
      <c r="C85" s="328"/>
      <c r="D85" s="330"/>
      <c r="E85" s="330"/>
      <c r="F85" s="330"/>
      <c r="G85" s="330"/>
      <c r="H85" s="330">
        <v>14</v>
      </c>
      <c r="I85" s="330"/>
      <c r="J85" s="330"/>
      <c r="K85" s="330"/>
      <c r="L85" s="330"/>
      <c r="M85" s="330"/>
      <c r="N85" s="330"/>
      <c r="O85" s="330"/>
    </row>
    <row r="86" spans="1:15" ht="31.25" x14ac:dyDescent="0.25">
      <c r="A86" s="313" t="s">
        <v>3688</v>
      </c>
      <c r="B86" s="324" t="s">
        <v>3689</v>
      </c>
      <c r="C86" s="328"/>
      <c r="D86" s="330"/>
      <c r="E86" s="330"/>
      <c r="F86" s="330"/>
      <c r="G86" s="330"/>
      <c r="H86" s="330">
        <v>8</v>
      </c>
      <c r="I86" s="330"/>
      <c r="J86" s="330"/>
      <c r="K86" s="330"/>
      <c r="L86" s="330"/>
      <c r="M86" s="330"/>
      <c r="N86" s="330"/>
      <c r="O86" s="330"/>
    </row>
    <row r="87" spans="1:15" x14ac:dyDescent="0.25">
      <c r="A87" s="330"/>
      <c r="B87" s="317" t="s">
        <v>3565</v>
      </c>
      <c r="C87" s="318">
        <f>SUM(C82:C86)</f>
        <v>0</v>
      </c>
      <c r="D87" s="318">
        <f t="shared" ref="D87:N87" si="11">SUM(D82:D86)</f>
        <v>0</v>
      </c>
      <c r="E87" s="318">
        <f t="shared" si="11"/>
        <v>0</v>
      </c>
      <c r="F87" s="318">
        <f t="shared" si="11"/>
        <v>0</v>
      </c>
      <c r="G87" s="318">
        <f t="shared" si="11"/>
        <v>0</v>
      </c>
      <c r="H87" s="318">
        <f t="shared" si="11"/>
        <v>211</v>
      </c>
      <c r="I87" s="318">
        <f t="shared" si="11"/>
        <v>0</v>
      </c>
      <c r="J87" s="318">
        <f t="shared" si="11"/>
        <v>0</v>
      </c>
      <c r="K87" s="318">
        <f t="shared" si="11"/>
        <v>0</v>
      </c>
      <c r="L87" s="318">
        <f t="shared" si="11"/>
        <v>0</v>
      </c>
      <c r="M87" s="318">
        <f t="shared" si="11"/>
        <v>0</v>
      </c>
      <c r="N87" s="318">
        <f t="shared" si="11"/>
        <v>0</v>
      </c>
      <c r="O87" s="316">
        <f>SUM(O82:O86)</f>
        <v>0</v>
      </c>
    </row>
    <row r="88" spans="1:15" x14ac:dyDescent="0.25">
      <c r="A88" s="330"/>
      <c r="B88" s="349" t="s">
        <v>3690</v>
      </c>
      <c r="C88" s="350"/>
      <c r="D88" s="351"/>
      <c r="E88" s="351"/>
      <c r="F88" s="351"/>
      <c r="G88" s="351"/>
      <c r="H88" s="351"/>
      <c r="I88" s="351"/>
      <c r="J88" s="351"/>
      <c r="K88" s="351"/>
      <c r="L88" s="351"/>
      <c r="M88" s="351"/>
      <c r="N88" s="351"/>
      <c r="O88" s="351"/>
    </row>
    <row r="89" spans="1:15" x14ac:dyDescent="0.25">
      <c r="A89" s="313" t="s">
        <v>3680</v>
      </c>
      <c r="B89" s="325" t="s">
        <v>3681</v>
      </c>
      <c r="C89" s="328"/>
      <c r="D89" s="330"/>
      <c r="E89" s="330"/>
      <c r="F89" s="330">
        <v>1</v>
      </c>
      <c r="G89" s="330"/>
      <c r="H89" s="330" t="s">
        <v>3543</v>
      </c>
      <c r="I89" s="330"/>
      <c r="J89" s="330"/>
      <c r="K89" s="330"/>
      <c r="L89" s="330"/>
      <c r="M89" s="330">
        <v>55</v>
      </c>
      <c r="N89" s="330"/>
      <c r="O89" s="330"/>
    </row>
    <row r="90" spans="1:15" x14ac:dyDescent="0.25">
      <c r="A90" s="313" t="s">
        <v>3682</v>
      </c>
      <c r="B90" s="325" t="s">
        <v>3693</v>
      </c>
      <c r="C90" s="328"/>
      <c r="D90" s="330"/>
      <c r="E90" s="330">
        <v>4</v>
      </c>
      <c r="F90" s="330">
        <v>2</v>
      </c>
      <c r="G90" s="330"/>
      <c r="H90" s="330" t="s">
        <v>3543</v>
      </c>
      <c r="I90" s="330">
        <v>1</v>
      </c>
      <c r="J90" s="330"/>
      <c r="K90" s="330"/>
      <c r="L90" s="330">
        <v>3</v>
      </c>
      <c r="M90" s="330">
        <v>4</v>
      </c>
      <c r="N90" s="330"/>
      <c r="O90" s="330"/>
    </row>
    <row r="91" spans="1:15" x14ac:dyDescent="0.25">
      <c r="A91" s="313" t="s">
        <v>3684</v>
      </c>
      <c r="B91" s="325" t="s">
        <v>3685</v>
      </c>
      <c r="C91" s="328"/>
      <c r="D91" s="330"/>
      <c r="E91" s="330">
        <v>4</v>
      </c>
      <c r="F91" s="330">
        <v>1</v>
      </c>
      <c r="G91" s="330"/>
      <c r="H91" s="330" t="s">
        <v>3543</v>
      </c>
      <c r="I91" s="330">
        <v>3</v>
      </c>
      <c r="J91" s="330"/>
      <c r="K91" s="330"/>
      <c r="L91" s="330">
        <v>8</v>
      </c>
      <c r="M91" s="330">
        <v>4</v>
      </c>
      <c r="N91" s="330"/>
      <c r="O91" s="330"/>
    </row>
    <row r="92" spans="1:15" ht="31.25" x14ac:dyDescent="0.25">
      <c r="A92" s="313" t="s">
        <v>3686</v>
      </c>
      <c r="B92" s="324" t="s">
        <v>3694</v>
      </c>
      <c r="C92" s="328"/>
      <c r="D92" s="330"/>
      <c r="E92" s="330">
        <v>15</v>
      </c>
      <c r="F92" s="330">
        <v>3</v>
      </c>
      <c r="G92" s="330"/>
      <c r="H92" s="330"/>
      <c r="I92" s="330">
        <v>7</v>
      </c>
      <c r="J92" s="330"/>
      <c r="K92" s="330"/>
      <c r="L92" s="330">
        <v>24</v>
      </c>
      <c r="M92" s="330">
        <v>12</v>
      </c>
      <c r="N92" s="330"/>
      <c r="O92" s="330"/>
    </row>
    <row r="93" spans="1:15" x14ac:dyDescent="0.25">
      <c r="A93" s="330"/>
      <c r="B93" s="317" t="s">
        <v>3565</v>
      </c>
      <c r="C93" s="318">
        <f>SUM(C89:C92)</f>
        <v>0</v>
      </c>
      <c r="D93" s="318">
        <f t="shared" ref="D93:N93" si="12">SUM(D89:D92)</f>
        <v>0</v>
      </c>
      <c r="E93" s="318">
        <f t="shared" si="12"/>
        <v>23</v>
      </c>
      <c r="F93" s="318">
        <f t="shared" si="12"/>
        <v>7</v>
      </c>
      <c r="G93" s="318">
        <f t="shared" si="12"/>
        <v>0</v>
      </c>
      <c r="H93" s="318">
        <f t="shared" si="12"/>
        <v>0</v>
      </c>
      <c r="I93" s="318">
        <f t="shared" si="12"/>
        <v>11</v>
      </c>
      <c r="J93" s="318">
        <f t="shared" si="12"/>
        <v>0</v>
      </c>
      <c r="K93" s="318">
        <f t="shared" si="12"/>
        <v>0</v>
      </c>
      <c r="L93" s="318">
        <f t="shared" si="12"/>
        <v>35</v>
      </c>
      <c r="M93" s="318">
        <f t="shared" si="12"/>
        <v>75</v>
      </c>
      <c r="N93" s="318">
        <f t="shared" si="12"/>
        <v>0</v>
      </c>
      <c r="O93" s="318">
        <f>SUM(O89:O92)</f>
        <v>0</v>
      </c>
    </row>
  </sheetData>
  <sheetProtection sheet="1" objects="1" scenarios="1"/>
  <mergeCells count="4">
    <mergeCell ref="A2:O2"/>
    <mergeCell ref="A3:O3"/>
    <mergeCell ref="A4:O4"/>
    <mergeCell ref="C5:O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P93"/>
  <sheetViews>
    <sheetView topLeftCell="C1" workbookViewId="0">
      <selection activeCell="O9" sqref="O9:O10"/>
    </sheetView>
  </sheetViews>
  <sheetFormatPr baseColWidth="10" defaultColWidth="11" defaultRowHeight="12.9" x14ac:dyDescent="0.2"/>
  <cols>
    <col min="1" max="1" width="8.375" style="67" customWidth="1"/>
    <col min="2" max="2" width="72.375" style="67" bestFit="1" customWidth="1"/>
    <col min="3" max="3" width="11.875" style="67" customWidth="1"/>
    <col min="4" max="4" width="10.625" style="67" customWidth="1"/>
    <col min="5" max="5" width="10.5" style="67" customWidth="1"/>
    <col min="6" max="6" width="11.125" style="67" customWidth="1"/>
    <col min="7" max="7" width="9.5" style="67" customWidth="1"/>
    <col min="8" max="8" width="10.625" style="67" customWidth="1"/>
    <col min="9" max="9" width="10.125" style="67" customWidth="1"/>
    <col min="10" max="10" width="9.75" style="67" customWidth="1"/>
    <col min="11" max="11" width="9.375" style="67" customWidth="1"/>
    <col min="12" max="12" width="10" style="67" customWidth="1"/>
    <col min="13" max="13" width="9.5" style="67" customWidth="1"/>
    <col min="14" max="14" width="10" style="67" customWidth="1"/>
    <col min="15" max="16384" width="11" style="67"/>
  </cols>
  <sheetData>
    <row r="2" spans="1:16" ht="18.350000000000001" x14ac:dyDescent="0.3">
      <c r="B2" s="633" t="s">
        <v>3630</v>
      </c>
      <c r="C2" s="634"/>
      <c r="D2" s="634"/>
      <c r="E2" s="634"/>
      <c r="F2" s="634"/>
      <c r="G2" s="634"/>
      <c r="H2" s="634"/>
      <c r="I2" s="634"/>
      <c r="J2" s="634"/>
      <c r="K2" s="634"/>
      <c r="L2" s="634"/>
      <c r="M2" s="634"/>
      <c r="N2" s="634"/>
      <c r="O2" s="634"/>
      <c r="P2" s="635"/>
    </row>
    <row r="3" spans="1:16" ht="15.65" x14ac:dyDescent="0.25">
      <c r="B3" s="636"/>
      <c r="C3" s="637"/>
      <c r="D3" s="637"/>
      <c r="E3" s="637"/>
      <c r="F3" s="637"/>
      <c r="G3" s="637"/>
      <c r="H3" s="637"/>
      <c r="I3" s="637"/>
      <c r="J3" s="637"/>
      <c r="K3" s="637"/>
      <c r="L3" s="637"/>
      <c r="M3" s="637"/>
      <c r="N3" s="637"/>
      <c r="O3" s="637"/>
      <c r="P3" s="638"/>
    </row>
    <row r="5" spans="1:16" x14ac:dyDescent="0.2">
      <c r="A5" s="262"/>
      <c r="B5" s="263"/>
      <c r="C5" s="639" t="s">
        <v>3631</v>
      </c>
      <c r="D5" s="640"/>
      <c r="E5" s="640"/>
      <c r="F5" s="640"/>
      <c r="G5" s="640"/>
      <c r="H5" s="640"/>
      <c r="I5" s="640"/>
      <c r="J5" s="640"/>
      <c r="K5" s="640"/>
      <c r="L5" s="640"/>
      <c r="M5" s="641"/>
      <c r="N5" s="264" t="s">
        <v>3632</v>
      </c>
      <c r="O5" s="265"/>
    </row>
    <row r="6" spans="1:16" x14ac:dyDescent="0.2">
      <c r="A6" s="266" t="s">
        <v>3548</v>
      </c>
      <c r="B6" s="267" t="s">
        <v>3549</v>
      </c>
      <c r="C6" s="268" t="s">
        <v>3633</v>
      </c>
      <c r="D6" s="268" t="s">
        <v>3634</v>
      </c>
      <c r="E6" s="268" t="s">
        <v>3635</v>
      </c>
      <c r="F6" s="268" t="s">
        <v>3636</v>
      </c>
      <c r="G6" s="268" t="s">
        <v>3637</v>
      </c>
      <c r="H6" s="268" t="s">
        <v>3638</v>
      </c>
      <c r="I6" s="268" t="s">
        <v>3639</v>
      </c>
      <c r="J6" s="268" t="s">
        <v>3640</v>
      </c>
      <c r="K6" s="268" t="s">
        <v>3641</v>
      </c>
      <c r="L6" s="268" t="s">
        <v>3642</v>
      </c>
      <c r="M6" s="268" t="s">
        <v>3643</v>
      </c>
      <c r="N6" s="268" t="s">
        <v>3644</v>
      </c>
      <c r="O6" s="268" t="s">
        <v>2152</v>
      </c>
    </row>
    <row r="7" spans="1:16" x14ac:dyDescent="0.2">
      <c r="A7" s="262"/>
      <c r="B7" s="269" t="s">
        <v>3645</v>
      </c>
      <c r="C7" s="269"/>
      <c r="D7" s="269"/>
      <c r="E7" s="269"/>
      <c r="F7" s="269"/>
      <c r="G7" s="269"/>
      <c r="H7" s="269"/>
      <c r="I7" s="269"/>
      <c r="J7" s="269"/>
      <c r="K7" s="269"/>
      <c r="L7" s="269"/>
      <c r="M7" s="269"/>
      <c r="N7" s="269"/>
      <c r="O7" s="269"/>
    </row>
    <row r="8" spans="1:16" x14ac:dyDescent="0.2">
      <c r="A8" s="262">
        <v>1</v>
      </c>
      <c r="B8" s="270" t="s">
        <v>3554</v>
      </c>
      <c r="C8" s="271"/>
      <c r="D8" s="271">
        <v>1</v>
      </c>
      <c r="E8" s="271"/>
      <c r="F8" s="271">
        <v>1</v>
      </c>
      <c r="G8" s="271"/>
      <c r="H8" s="271"/>
      <c r="I8" s="271"/>
      <c r="J8" s="271"/>
      <c r="K8" s="271"/>
      <c r="L8" s="271">
        <v>2</v>
      </c>
      <c r="M8" s="271"/>
      <c r="N8" s="271">
        <v>2</v>
      </c>
      <c r="O8" s="271">
        <f>SUM(C8:N8)</f>
        <v>6</v>
      </c>
    </row>
    <row r="9" spans="1:16" x14ac:dyDescent="0.2">
      <c r="A9" s="262">
        <v>2</v>
      </c>
      <c r="B9" s="270" t="s">
        <v>3555</v>
      </c>
      <c r="C9" s="271"/>
      <c r="D9" s="271"/>
      <c r="E9" s="271">
        <v>2</v>
      </c>
      <c r="F9" s="271"/>
      <c r="G9" s="271"/>
      <c r="H9" s="271">
        <v>1</v>
      </c>
      <c r="I9" s="271">
        <v>4</v>
      </c>
      <c r="J9" s="271">
        <v>3</v>
      </c>
      <c r="K9" s="271">
        <v>1</v>
      </c>
      <c r="L9" s="271">
        <v>1</v>
      </c>
      <c r="M9" s="271"/>
      <c r="N9" s="271">
        <v>1</v>
      </c>
      <c r="O9" s="271">
        <f t="shared" ref="O9:O57" si="0">SUM(C9:N9)</f>
        <v>13</v>
      </c>
    </row>
    <row r="10" spans="1:16" x14ac:dyDescent="0.2">
      <c r="A10" s="262">
        <v>3</v>
      </c>
      <c r="B10" s="270" t="s">
        <v>3556</v>
      </c>
      <c r="C10" s="271"/>
      <c r="D10" s="271"/>
      <c r="E10" s="271">
        <v>2</v>
      </c>
      <c r="F10" s="271"/>
      <c r="G10" s="271"/>
      <c r="H10" s="271">
        <v>1</v>
      </c>
      <c r="I10" s="271">
        <v>6</v>
      </c>
      <c r="J10" s="271">
        <v>1</v>
      </c>
      <c r="K10" s="271">
        <v>3</v>
      </c>
      <c r="L10" s="271">
        <v>1</v>
      </c>
      <c r="M10" s="271"/>
      <c r="N10" s="271">
        <v>3</v>
      </c>
      <c r="O10" s="271">
        <f t="shared" si="0"/>
        <v>17</v>
      </c>
    </row>
    <row r="11" spans="1:16" x14ac:dyDescent="0.2">
      <c r="A11" s="262">
        <v>4</v>
      </c>
      <c r="B11" s="270" t="s">
        <v>3646</v>
      </c>
      <c r="C11" s="271"/>
      <c r="D11" s="271"/>
      <c r="E11" s="271">
        <v>2</v>
      </c>
      <c r="F11" s="271"/>
      <c r="G11" s="271"/>
      <c r="H11" s="271"/>
      <c r="I11" s="271"/>
      <c r="J11" s="271">
        <v>4</v>
      </c>
      <c r="K11" s="271">
        <v>2</v>
      </c>
      <c r="L11" s="271"/>
      <c r="M11" s="271">
        <v>1</v>
      </c>
      <c r="N11" s="271"/>
      <c r="O11" s="271">
        <f t="shared" si="0"/>
        <v>9</v>
      </c>
    </row>
    <row r="12" spans="1:16" x14ac:dyDescent="0.2">
      <c r="A12" s="262">
        <v>5</v>
      </c>
      <c r="B12" s="270" t="s">
        <v>3557</v>
      </c>
      <c r="C12" s="271">
        <v>1</v>
      </c>
      <c r="D12" s="271"/>
      <c r="E12" s="271">
        <v>1</v>
      </c>
      <c r="F12" s="271">
        <v>1</v>
      </c>
      <c r="G12" s="271"/>
      <c r="H12" s="271"/>
      <c r="I12" s="271"/>
      <c r="J12" s="271"/>
      <c r="K12" s="271"/>
      <c r="L12" s="271"/>
      <c r="M12" s="271"/>
      <c r="N12" s="271">
        <v>1</v>
      </c>
      <c r="O12" s="271">
        <f t="shared" si="0"/>
        <v>4</v>
      </c>
    </row>
    <row r="13" spans="1:16" x14ac:dyDescent="0.2">
      <c r="A13" s="262">
        <v>6</v>
      </c>
      <c r="B13" s="270" t="s">
        <v>3647</v>
      </c>
      <c r="C13" s="271"/>
      <c r="D13" s="271"/>
      <c r="E13" s="271"/>
      <c r="F13" s="271"/>
      <c r="G13" s="271"/>
      <c r="H13" s="271"/>
      <c r="I13" s="271"/>
      <c r="J13" s="271"/>
      <c r="K13" s="271"/>
      <c r="L13" s="271"/>
      <c r="M13" s="271"/>
      <c r="N13" s="271"/>
      <c r="O13" s="271">
        <f t="shared" si="0"/>
        <v>0</v>
      </c>
    </row>
    <row r="14" spans="1:16" x14ac:dyDescent="0.2">
      <c r="A14" s="262">
        <v>7</v>
      </c>
      <c r="B14" s="270" t="s">
        <v>3648</v>
      </c>
      <c r="C14" s="271"/>
      <c r="D14" s="271"/>
      <c r="E14" s="271"/>
      <c r="F14" s="271"/>
      <c r="G14" s="271"/>
      <c r="H14" s="271"/>
      <c r="I14" s="271"/>
      <c r="J14" s="271"/>
      <c r="K14" s="271"/>
      <c r="L14" s="271"/>
      <c r="M14" s="271"/>
      <c r="N14" s="271">
        <v>1</v>
      </c>
      <c r="O14" s="271">
        <f t="shared" si="0"/>
        <v>1</v>
      </c>
    </row>
    <row r="15" spans="1:16" x14ac:dyDescent="0.2">
      <c r="A15" s="262">
        <v>8</v>
      </c>
      <c r="B15" s="270" t="s">
        <v>3649</v>
      </c>
      <c r="C15" s="271"/>
      <c r="D15" s="271"/>
      <c r="E15" s="271"/>
      <c r="F15" s="271"/>
      <c r="G15" s="271"/>
      <c r="H15" s="271"/>
      <c r="I15" s="271"/>
      <c r="J15" s="271"/>
      <c r="K15" s="271"/>
      <c r="L15" s="271"/>
      <c r="M15" s="271"/>
      <c r="N15" s="271"/>
      <c r="O15" s="271">
        <f t="shared" si="0"/>
        <v>0</v>
      </c>
    </row>
    <row r="16" spans="1:16" x14ac:dyDescent="0.2">
      <c r="A16" s="262">
        <v>9</v>
      </c>
      <c r="B16" s="270" t="s">
        <v>3650</v>
      </c>
      <c r="C16" s="271"/>
      <c r="D16" s="271"/>
      <c r="E16" s="271"/>
      <c r="F16" s="271"/>
      <c r="G16" s="271"/>
      <c r="H16" s="271"/>
      <c r="I16" s="271"/>
      <c r="J16" s="271"/>
      <c r="K16" s="271"/>
      <c r="L16" s="271"/>
      <c r="M16" s="271"/>
      <c r="N16" s="271"/>
      <c r="O16" s="271">
        <f t="shared" si="0"/>
        <v>0</v>
      </c>
    </row>
    <row r="17" spans="1:15" x14ac:dyDescent="0.2">
      <c r="A17" s="262">
        <v>10</v>
      </c>
      <c r="B17" s="270" t="s">
        <v>3561</v>
      </c>
      <c r="C17" s="271"/>
      <c r="D17" s="271"/>
      <c r="E17" s="271"/>
      <c r="F17" s="271">
        <v>2</v>
      </c>
      <c r="G17" s="271">
        <v>2</v>
      </c>
      <c r="H17" s="271"/>
      <c r="I17" s="271"/>
      <c r="J17" s="271">
        <v>1</v>
      </c>
      <c r="K17" s="271"/>
      <c r="L17" s="271"/>
      <c r="M17" s="271"/>
      <c r="N17" s="271"/>
      <c r="O17" s="271">
        <f t="shared" si="0"/>
        <v>5</v>
      </c>
    </row>
    <row r="18" spans="1:15" x14ac:dyDescent="0.2">
      <c r="A18" s="262">
        <v>11</v>
      </c>
      <c r="B18" s="270" t="s">
        <v>3651</v>
      </c>
      <c r="C18" s="271"/>
      <c r="D18" s="271"/>
      <c r="E18" s="271"/>
      <c r="F18" s="271"/>
      <c r="G18" s="271"/>
      <c r="H18" s="271"/>
      <c r="I18" s="271"/>
      <c r="J18" s="271"/>
      <c r="K18" s="271"/>
      <c r="L18" s="271"/>
      <c r="M18" s="271"/>
      <c r="N18" s="271"/>
      <c r="O18" s="271">
        <f t="shared" si="0"/>
        <v>0</v>
      </c>
    </row>
    <row r="19" spans="1:15" x14ac:dyDescent="0.2">
      <c r="A19" s="262">
        <v>12</v>
      </c>
      <c r="B19" s="270" t="s">
        <v>3564</v>
      </c>
      <c r="C19" s="271"/>
      <c r="D19" s="271">
        <v>1</v>
      </c>
      <c r="E19" s="271">
        <v>1</v>
      </c>
      <c r="F19" s="271"/>
      <c r="G19" s="271">
        <v>1</v>
      </c>
      <c r="H19" s="271"/>
      <c r="I19" s="271"/>
      <c r="J19" s="271">
        <v>2</v>
      </c>
      <c r="K19" s="271">
        <v>1</v>
      </c>
      <c r="L19" s="271"/>
      <c r="M19" s="271"/>
      <c r="N19" s="271"/>
      <c r="O19" s="271">
        <f t="shared" si="0"/>
        <v>6</v>
      </c>
    </row>
    <row r="20" spans="1:15" x14ac:dyDescent="0.2">
      <c r="A20" s="262"/>
      <c r="B20" s="272" t="s">
        <v>3565</v>
      </c>
      <c r="C20" s="273">
        <f t="shared" ref="C20:N20" si="1">SUM(C8:C19)</f>
        <v>1</v>
      </c>
      <c r="D20" s="273">
        <f t="shared" si="1"/>
        <v>2</v>
      </c>
      <c r="E20" s="273">
        <f t="shared" si="1"/>
        <v>8</v>
      </c>
      <c r="F20" s="273">
        <f t="shared" si="1"/>
        <v>4</v>
      </c>
      <c r="G20" s="273">
        <f t="shared" si="1"/>
        <v>3</v>
      </c>
      <c r="H20" s="273">
        <f t="shared" si="1"/>
        <v>2</v>
      </c>
      <c r="I20" s="273">
        <f t="shared" si="1"/>
        <v>10</v>
      </c>
      <c r="J20" s="273">
        <f t="shared" si="1"/>
        <v>11</v>
      </c>
      <c r="K20" s="273">
        <f t="shared" si="1"/>
        <v>7</v>
      </c>
      <c r="L20" s="273">
        <f t="shared" si="1"/>
        <v>4</v>
      </c>
      <c r="M20" s="273">
        <f t="shared" si="1"/>
        <v>1</v>
      </c>
      <c r="N20" s="273">
        <f t="shared" si="1"/>
        <v>8</v>
      </c>
      <c r="O20" s="271">
        <f t="shared" si="0"/>
        <v>61</v>
      </c>
    </row>
    <row r="21" spans="1:15" x14ac:dyDescent="0.2">
      <c r="A21" s="262"/>
      <c r="B21" s="274" t="s">
        <v>3567</v>
      </c>
      <c r="C21" s="275"/>
      <c r="D21" s="275"/>
      <c r="E21" s="275"/>
      <c r="F21" s="275"/>
      <c r="G21" s="275"/>
      <c r="H21" s="275"/>
      <c r="I21" s="275"/>
      <c r="J21" s="275"/>
      <c r="K21" s="275"/>
      <c r="L21" s="275"/>
      <c r="M21" s="275"/>
      <c r="N21" s="275"/>
      <c r="O21" s="275"/>
    </row>
    <row r="22" spans="1:15" x14ac:dyDescent="0.2">
      <c r="A22" s="262">
        <v>13</v>
      </c>
      <c r="B22" s="276" t="s">
        <v>3652</v>
      </c>
      <c r="C22" s="271"/>
      <c r="D22" s="271"/>
      <c r="E22" s="271"/>
      <c r="F22" s="271"/>
      <c r="G22" s="271"/>
      <c r="H22" s="271"/>
      <c r="I22" s="271"/>
      <c r="J22" s="271"/>
      <c r="K22" s="271"/>
      <c r="L22" s="271"/>
      <c r="M22" s="271"/>
      <c r="N22" s="271"/>
      <c r="O22" s="271">
        <f t="shared" si="0"/>
        <v>0</v>
      </c>
    </row>
    <row r="23" spans="1:15" x14ac:dyDescent="0.2">
      <c r="A23" s="262">
        <v>14</v>
      </c>
      <c r="B23" s="276" t="s">
        <v>3653</v>
      </c>
      <c r="C23" s="271"/>
      <c r="D23" s="271"/>
      <c r="E23" s="271"/>
      <c r="F23" s="271"/>
      <c r="G23" s="271" t="s">
        <v>3543</v>
      </c>
      <c r="H23" s="271"/>
      <c r="I23" s="271"/>
      <c r="J23" s="271"/>
      <c r="K23" s="271"/>
      <c r="L23" s="271">
        <v>1</v>
      </c>
      <c r="M23" s="271">
        <v>1</v>
      </c>
      <c r="N23" s="271"/>
      <c r="O23" s="271">
        <f t="shared" si="0"/>
        <v>2</v>
      </c>
    </row>
    <row r="24" spans="1:15" x14ac:dyDescent="0.2">
      <c r="A24" s="262">
        <v>15</v>
      </c>
      <c r="B24" s="276" t="s">
        <v>3654</v>
      </c>
      <c r="C24" s="271"/>
      <c r="D24" s="271">
        <v>2</v>
      </c>
      <c r="E24" s="271">
        <v>2</v>
      </c>
      <c r="F24" s="271"/>
      <c r="G24" s="271"/>
      <c r="H24" s="271"/>
      <c r="I24" s="271"/>
      <c r="J24" s="271">
        <v>2</v>
      </c>
      <c r="K24" s="271"/>
      <c r="L24" s="271"/>
      <c r="M24" s="271"/>
      <c r="N24" s="271"/>
      <c r="O24" s="271">
        <f t="shared" si="0"/>
        <v>6</v>
      </c>
    </row>
    <row r="25" spans="1:15" x14ac:dyDescent="0.2">
      <c r="A25" s="262">
        <v>16</v>
      </c>
      <c r="B25" s="270" t="s">
        <v>3569</v>
      </c>
      <c r="C25" s="271"/>
      <c r="D25" s="271"/>
      <c r="E25" s="271"/>
      <c r="F25" s="271"/>
      <c r="G25" s="271"/>
      <c r="H25" s="271"/>
      <c r="I25" s="271"/>
      <c r="J25" s="271"/>
      <c r="K25" s="271"/>
      <c r="L25" s="271"/>
      <c r="M25" s="271"/>
      <c r="N25" s="271"/>
      <c r="O25" s="271">
        <f t="shared" si="0"/>
        <v>0</v>
      </c>
    </row>
    <row r="26" spans="1:15" x14ac:dyDescent="0.2">
      <c r="A26" s="262">
        <v>17</v>
      </c>
      <c r="B26" s="270" t="s">
        <v>3570</v>
      </c>
      <c r="C26" s="271">
        <v>1</v>
      </c>
      <c r="D26" s="271">
        <v>1</v>
      </c>
      <c r="E26" s="271">
        <v>1</v>
      </c>
      <c r="F26" s="271"/>
      <c r="G26" s="271">
        <v>1</v>
      </c>
      <c r="H26" s="271"/>
      <c r="I26" s="271">
        <v>2</v>
      </c>
      <c r="J26" s="271"/>
      <c r="K26" s="271">
        <v>1</v>
      </c>
      <c r="L26" s="271">
        <v>2</v>
      </c>
      <c r="M26" s="271">
        <v>1</v>
      </c>
      <c r="N26" s="271">
        <v>2</v>
      </c>
      <c r="O26" s="271">
        <f t="shared" si="0"/>
        <v>12</v>
      </c>
    </row>
    <row r="27" spans="1:15" x14ac:dyDescent="0.2">
      <c r="A27" s="262">
        <v>18</v>
      </c>
      <c r="B27" s="270" t="s">
        <v>3571</v>
      </c>
      <c r="C27" s="271"/>
      <c r="D27" s="271"/>
      <c r="E27" s="271"/>
      <c r="F27" s="271"/>
      <c r="G27" s="271"/>
      <c r="H27" s="271"/>
      <c r="I27" s="271"/>
      <c r="J27" s="271"/>
      <c r="K27" s="271"/>
      <c r="L27" s="271"/>
      <c r="M27" s="271"/>
      <c r="N27" s="271"/>
      <c r="O27" s="271">
        <f t="shared" si="0"/>
        <v>0</v>
      </c>
    </row>
    <row r="28" spans="1:15" x14ac:dyDescent="0.2">
      <c r="A28" s="262">
        <v>19</v>
      </c>
      <c r="B28" s="270" t="s">
        <v>3572</v>
      </c>
      <c r="C28" s="271"/>
      <c r="D28" s="271"/>
      <c r="E28" s="271"/>
      <c r="F28" s="271"/>
      <c r="G28" s="271"/>
      <c r="H28" s="271"/>
      <c r="I28" s="271"/>
      <c r="J28" s="271"/>
      <c r="K28" s="271"/>
      <c r="L28" s="271"/>
      <c r="M28" s="271"/>
      <c r="N28" s="271"/>
      <c r="O28" s="271">
        <f t="shared" si="0"/>
        <v>0</v>
      </c>
    </row>
    <row r="29" spans="1:15" x14ac:dyDescent="0.2">
      <c r="A29" s="262">
        <v>20</v>
      </c>
      <c r="B29" s="270" t="s">
        <v>3573</v>
      </c>
      <c r="C29" s="271"/>
      <c r="D29" s="271"/>
      <c r="E29" s="271"/>
      <c r="F29" s="271"/>
      <c r="G29" s="271"/>
      <c r="H29" s="271"/>
      <c r="I29" s="271"/>
      <c r="J29" s="271"/>
      <c r="K29" s="271"/>
      <c r="L29" s="271"/>
      <c r="M29" s="271"/>
      <c r="N29" s="271"/>
      <c r="O29" s="271">
        <f t="shared" si="0"/>
        <v>0</v>
      </c>
    </row>
    <row r="30" spans="1:15" x14ac:dyDescent="0.2">
      <c r="A30" s="262">
        <v>21</v>
      </c>
      <c r="B30" s="270" t="s">
        <v>3655</v>
      </c>
      <c r="C30" s="271"/>
      <c r="D30" s="271"/>
      <c r="E30" s="271">
        <v>1</v>
      </c>
      <c r="F30" s="271"/>
      <c r="G30" s="271"/>
      <c r="H30" s="271"/>
      <c r="I30" s="271"/>
      <c r="J30" s="271"/>
      <c r="K30" s="271"/>
      <c r="L30" s="271"/>
      <c r="M30" s="271"/>
      <c r="N30" s="271"/>
      <c r="O30" s="271">
        <f t="shared" si="0"/>
        <v>1</v>
      </c>
    </row>
    <row r="31" spans="1:15" x14ac:dyDescent="0.2">
      <c r="A31" s="262">
        <v>22</v>
      </c>
      <c r="B31" s="270" t="s">
        <v>3575</v>
      </c>
      <c r="C31" s="271"/>
      <c r="D31" s="271"/>
      <c r="E31" s="271"/>
      <c r="F31" s="271"/>
      <c r="G31" s="271"/>
      <c r="H31" s="271"/>
      <c r="I31" s="271"/>
      <c r="J31" s="271"/>
      <c r="K31" s="271"/>
      <c r="L31" s="271"/>
      <c r="M31" s="271"/>
      <c r="N31" s="271"/>
      <c r="O31" s="271">
        <f t="shared" si="0"/>
        <v>0</v>
      </c>
    </row>
    <row r="32" spans="1:15" x14ac:dyDescent="0.2">
      <c r="A32" s="262">
        <v>23</v>
      </c>
      <c r="B32" s="270" t="s">
        <v>3576</v>
      </c>
      <c r="C32" s="271"/>
      <c r="D32" s="271"/>
      <c r="E32" s="271"/>
      <c r="F32" s="271"/>
      <c r="G32" s="271"/>
      <c r="H32" s="271"/>
      <c r="I32" s="271"/>
      <c r="J32" s="271"/>
      <c r="K32" s="271"/>
      <c r="L32" s="271"/>
      <c r="M32" s="271"/>
      <c r="N32" s="271"/>
      <c r="O32" s="271">
        <f t="shared" si="0"/>
        <v>0</v>
      </c>
    </row>
    <row r="33" spans="1:15" x14ac:dyDescent="0.2">
      <c r="A33" s="262">
        <v>24</v>
      </c>
      <c r="B33" s="270" t="s">
        <v>3577</v>
      </c>
      <c r="C33" s="271"/>
      <c r="D33" s="271"/>
      <c r="E33" s="271"/>
      <c r="F33" s="271"/>
      <c r="G33" s="271"/>
      <c r="H33" s="271"/>
      <c r="I33" s="271"/>
      <c r="J33" s="271"/>
      <c r="K33" s="271"/>
      <c r="L33" s="271"/>
      <c r="M33" s="271"/>
      <c r="N33" s="271"/>
      <c r="O33" s="271">
        <f t="shared" si="0"/>
        <v>0</v>
      </c>
    </row>
    <row r="34" spans="1:15" x14ac:dyDescent="0.2">
      <c r="A34" s="262">
        <v>25</v>
      </c>
      <c r="B34" s="270" t="s">
        <v>3578</v>
      </c>
      <c r="C34" s="271"/>
      <c r="D34" s="271"/>
      <c r="E34" s="271"/>
      <c r="F34" s="271"/>
      <c r="G34" s="271"/>
      <c r="H34" s="271"/>
      <c r="I34" s="271"/>
      <c r="J34" s="271"/>
      <c r="K34" s="271"/>
      <c r="L34" s="271"/>
      <c r="M34" s="271"/>
      <c r="N34" s="271"/>
      <c r="O34" s="271">
        <f t="shared" si="0"/>
        <v>0</v>
      </c>
    </row>
    <row r="35" spans="1:15" x14ac:dyDescent="0.2">
      <c r="A35" s="262">
        <v>26</v>
      </c>
      <c r="B35" s="270" t="s">
        <v>3656</v>
      </c>
      <c r="C35" s="271"/>
      <c r="D35" s="271"/>
      <c r="E35" s="271"/>
      <c r="F35" s="271"/>
      <c r="G35" s="271"/>
      <c r="H35" s="271"/>
      <c r="I35" s="271"/>
      <c r="J35" s="271"/>
      <c r="K35" s="271"/>
      <c r="L35" s="271"/>
      <c r="M35" s="271"/>
      <c r="N35" s="271"/>
      <c r="O35" s="271">
        <f t="shared" si="0"/>
        <v>0</v>
      </c>
    </row>
    <row r="36" spans="1:15" x14ac:dyDescent="0.2">
      <c r="A36" s="262">
        <v>27</v>
      </c>
      <c r="B36" s="270" t="s">
        <v>3580</v>
      </c>
      <c r="C36" s="271"/>
      <c r="D36" s="271"/>
      <c r="E36" s="271"/>
      <c r="F36" s="271"/>
      <c r="G36" s="271"/>
      <c r="H36" s="271"/>
      <c r="I36" s="271"/>
      <c r="J36" s="271"/>
      <c r="K36" s="271"/>
      <c r="L36" s="271"/>
      <c r="M36" s="271"/>
      <c r="N36" s="271"/>
      <c r="O36" s="271">
        <f t="shared" si="0"/>
        <v>0</v>
      </c>
    </row>
    <row r="37" spans="1:15" x14ac:dyDescent="0.2">
      <c r="A37" s="262"/>
      <c r="B37" s="272" t="s">
        <v>3565</v>
      </c>
      <c r="C37" s="273">
        <f t="shared" ref="C37:N37" si="2">SUM(C22:C36)</f>
        <v>1</v>
      </c>
      <c r="D37" s="273">
        <f t="shared" si="2"/>
        <v>3</v>
      </c>
      <c r="E37" s="273">
        <f t="shared" si="2"/>
        <v>4</v>
      </c>
      <c r="F37" s="273">
        <f t="shared" si="2"/>
        <v>0</v>
      </c>
      <c r="G37" s="273">
        <f t="shared" si="2"/>
        <v>1</v>
      </c>
      <c r="H37" s="273">
        <f t="shared" si="2"/>
        <v>0</v>
      </c>
      <c r="I37" s="273">
        <f t="shared" si="2"/>
        <v>2</v>
      </c>
      <c r="J37" s="273">
        <f t="shared" si="2"/>
        <v>2</v>
      </c>
      <c r="K37" s="273">
        <f t="shared" si="2"/>
        <v>1</v>
      </c>
      <c r="L37" s="273">
        <f t="shared" si="2"/>
        <v>3</v>
      </c>
      <c r="M37" s="273">
        <f t="shared" si="2"/>
        <v>2</v>
      </c>
      <c r="N37" s="273">
        <f t="shared" si="2"/>
        <v>2</v>
      </c>
      <c r="O37" s="271">
        <f t="shared" si="0"/>
        <v>21</v>
      </c>
    </row>
    <row r="38" spans="1:15" x14ac:dyDescent="0.2">
      <c r="A38" s="262"/>
      <c r="B38" s="277" t="s">
        <v>3583</v>
      </c>
      <c r="C38" s="278"/>
      <c r="D38" s="278"/>
      <c r="E38" s="278"/>
      <c r="F38" s="278"/>
      <c r="G38" s="278"/>
      <c r="H38" s="278"/>
      <c r="I38" s="278"/>
      <c r="J38" s="278"/>
      <c r="K38" s="278"/>
      <c r="L38" s="278"/>
      <c r="M38" s="278"/>
      <c r="N38" s="278"/>
      <c r="O38" s="278"/>
    </row>
    <row r="39" spans="1:15" x14ac:dyDescent="0.2">
      <c r="A39" s="262">
        <v>28</v>
      </c>
      <c r="B39" s="270" t="s">
        <v>3657</v>
      </c>
      <c r="C39" s="271"/>
      <c r="D39" s="271"/>
      <c r="E39" s="271"/>
      <c r="F39" s="271"/>
      <c r="G39" s="271"/>
      <c r="H39" s="271"/>
      <c r="I39" s="271"/>
      <c r="J39" s="271"/>
      <c r="K39" s="271"/>
      <c r="L39" s="271"/>
      <c r="M39" s="271"/>
      <c r="N39" s="271"/>
      <c r="O39" s="271">
        <f t="shared" si="0"/>
        <v>0</v>
      </c>
    </row>
    <row r="40" spans="1:15" x14ac:dyDescent="0.2">
      <c r="A40" s="262">
        <v>29</v>
      </c>
      <c r="B40" s="270" t="s">
        <v>3658</v>
      </c>
      <c r="C40" s="271"/>
      <c r="D40" s="271"/>
      <c r="E40" s="271"/>
      <c r="F40" s="271"/>
      <c r="G40" s="271"/>
      <c r="H40" s="271"/>
      <c r="I40" s="271"/>
      <c r="J40" s="271">
        <v>1</v>
      </c>
      <c r="K40" s="271"/>
      <c r="L40" s="271"/>
      <c r="M40" s="271"/>
      <c r="N40" s="271"/>
      <c r="O40" s="271">
        <f t="shared" si="0"/>
        <v>1</v>
      </c>
    </row>
    <row r="41" spans="1:15" x14ac:dyDescent="0.2">
      <c r="A41" s="262">
        <v>30</v>
      </c>
      <c r="B41" s="270" t="s">
        <v>3585</v>
      </c>
      <c r="C41" s="271"/>
      <c r="D41" s="271"/>
      <c r="E41" s="271"/>
      <c r="F41" s="271"/>
      <c r="G41" s="271"/>
      <c r="H41" s="271">
        <v>1</v>
      </c>
      <c r="I41" s="271"/>
      <c r="J41" s="271"/>
      <c r="K41" s="271"/>
      <c r="L41" s="271"/>
      <c r="M41" s="271"/>
      <c r="N41" s="271"/>
      <c r="O41" s="271">
        <f t="shared" si="0"/>
        <v>1</v>
      </c>
    </row>
    <row r="42" spans="1:15" x14ac:dyDescent="0.2">
      <c r="A42" s="262">
        <v>31</v>
      </c>
      <c r="B42" s="270" t="s">
        <v>3659</v>
      </c>
      <c r="C42" s="271"/>
      <c r="D42" s="271"/>
      <c r="E42" s="271">
        <v>2</v>
      </c>
      <c r="F42" s="271">
        <v>1</v>
      </c>
      <c r="G42" s="271">
        <v>2</v>
      </c>
      <c r="H42" s="271"/>
      <c r="I42" s="271"/>
      <c r="J42" s="271"/>
      <c r="K42" s="271">
        <v>2</v>
      </c>
      <c r="L42" s="271"/>
      <c r="M42" s="271"/>
      <c r="N42" s="271"/>
      <c r="O42" s="271">
        <f t="shared" si="0"/>
        <v>7</v>
      </c>
    </row>
    <row r="43" spans="1:15" x14ac:dyDescent="0.2">
      <c r="A43" s="262">
        <v>32</v>
      </c>
      <c r="B43" s="270" t="s">
        <v>3587</v>
      </c>
      <c r="C43" s="271">
        <v>1</v>
      </c>
      <c r="D43" s="271"/>
      <c r="E43" s="271"/>
      <c r="F43" s="271"/>
      <c r="G43" s="271"/>
      <c r="H43" s="271"/>
      <c r="I43" s="271"/>
      <c r="J43" s="271">
        <v>1</v>
      </c>
      <c r="K43" s="271"/>
      <c r="L43" s="271"/>
      <c r="M43" s="271"/>
      <c r="N43" s="271"/>
      <c r="O43" s="271">
        <f t="shared" si="0"/>
        <v>2</v>
      </c>
    </row>
    <row r="44" spans="1:15" x14ac:dyDescent="0.2">
      <c r="A44" s="262"/>
      <c r="B44" s="272" t="s">
        <v>3565</v>
      </c>
      <c r="C44" s="273">
        <f t="shared" ref="C44:N44" si="3">SUM(C39:C43)</f>
        <v>1</v>
      </c>
      <c r="D44" s="273">
        <f t="shared" si="3"/>
        <v>0</v>
      </c>
      <c r="E44" s="273">
        <f t="shared" si="3"/>
        <v>2</v>
      </c>
      <c r="F44" s="273">
        <f t="shared" si="3"/>
        <v>1</v>
      </c>
      <c r="G44" s="273">
        <f t="shared" si="3"/>
        <v>2</v>
      </c>
      <c r="H44" s="273">
        <f t="shared" si="3"/>
        <v>1</v>
      </c>
      <c r="I44" s="273">
        <f t="shared" si="3"/>
        <v>0</v>
      </c>
      <c r="J44" s="273">
        <f t="shared" si="3"/>
        <v>2</v>
      </c>
      <c r="K44" s="273">
        <f t="shared" si="3"/>
        <v>2</v>
      </c>
      <c r="L44" s="273">
        <f t="shared" si="3"/>
        <v>0</v>
      </c>
      <c r="M44" s="273">
        <f t="shared" si="3"/>
        <v>0</v>
      </c>
      <c r="N44" s="273">
        <f t="shared" si="3"/>
        <v>0</v>
      </c>
      <c r="O44" s="271">
        <f t="shared" si="0"/>
        <v>11</v>
      </c>
    </row>
    <row r="45" spans="1:15" x14ac:dyDescent="0.2">
      <c r="A45" s="262"/>
      <c r="B45" s="279" t="s">
        <v>3589</v>
      </c>
      <c r="C45" s="280"/>
      <c r="D45" s="280"/>
      <c r="E45" s="280"/>
      <c r="F45" s="280"/>
      <c r="G45" s="280"/>
      <c r="H45" s="280"/>
      <c r="I45" s="280"/>
      <c r="J45" s="280"/>
      <c r="K45" s="280"/>
      <c r="L45" s="280"/>
      <c r="M45" s="280"/>
      <c r="N45" s="280"/>
      <c r="O45" s="280"/>
    </row>
    <row r="46" spans="1:15" x14ac:dyDescent="0.2">
      <c r="A46" s="262">
        <v>33</v>
      </c>
      <c r="B46" s="270" t="s">
        <v>3590</v>
      </c>
      <c r="C46" s="281"/>
      <c r="D46" s="281"/>
      <c r="E46" s="281"/>
      <c r="F46" s="281"/>
      <c r="G46" s="281"/>
      <c r="H46" s="281"/>
      <c r="I46" s="281"/>
      <c r="J46" s="281"/>
      <c r="K46" s="281"/>
      <c r="L46" s="281"/>
      <c r="M46" s="281"/>
      <c r="N46" s="281"/>
      <c r="O46" s="271">
        <f t="shared" si="0"/>
        <v>0</v>
      </c>
    </row>
    <row r="47" spans="1:15" x14ac:dyDescent="0.2">
      <c r="A47" s="262">
        <v>34</v>
      </c>
      <c r="B47" s="272" t="s">
        <v>3660</v>
      </c>
      <c r="C47" s="281"/>
      <c r="D47" s="281"/>
      <c r="E47" s="281"/>
      <c r="F47" s="281"/>
      <c r="G47" s="281"/>
      <c r="H47" s="281"/>
      <c r="I47" s="281"/>
      <c r="J47" s="281"/>
      <c r="K47" s="281"/>
      <c r="L47" s="281"/>
      <c r="M47" s="281"/>
      <c r="N47" s="281"/>
      <c r="O47" s="271">
        <f t="shared" si="0"/>
        <v>0</v>
      </c>
    </row>
    <row r="48" spans="1:15" x14ac:dyDescent="0.2">
      <c r="A48" s="262">
        <v>35</v>
      </c>
      <c r="B48" s="270" t="s">
        <v>3592</v>
      </c>
      <c r="C48" s="281"/>
      <c r="D48" s="281"/>
      <c r="E48" s="281"/>
      <c r="F48" s="281"/>
      <c r="G48" s="281"/>
      <c r="H48" s="281"/>
      <c r="I48" s="281"/>
      <c r="J48" s="281"/>
      <c r="K48" s="281"/>
      <c r="L48" s="281"/>
      <c r="M48" s="281"/>
      <c r="N48" s="281"/>
      <c r="O48" s="271">
        <f t="shared" si="0"/>
        <v>0</v>
      </c>
    </row>
    <row r="49" spans="1:15" x14ac:dyDescent="0.2">
      <c r="A49" s="262">
        <v>36</v>
      </c>
      <c r="B49" s="270" t="s">
        <v>3593</v>
      </c>
      <c r="C49" s="281"/>
      <c r="D49" s="281"/>
      <c r="E49" s="281"/>
      <c r="F49" s="281"/>
      <c r="G49" s="281"/>
      <c r="H49" s="281"/>
      <c r="I49" s="281"/>
      <c r="J49" s="281"/>
      <c r="K49" s="281"/>
      <c r="L49" s="281"/>
      <c r="M49" s="281"/>
      <c r="N49" s="281"/>
      <c r="O49" s="271">
        <f t="shared" si="0"/>
        <v>0</v>
      </c>
    </row>
    <row r="50" spans="1:15" x14ac:dyDescent="0.2">
      <c r="A50" s="262">
        <v>37</v>
      </c>
      <c r="B50" s="270" t="s">
        <v>3594</v>
      </c>
      <c r="C50" s="281"/>
      <c r="D50" s="281"/>
      <c r="E50" s="281"/>
      <c r="F50" s="281"/>
      <c r="G50" s="281" t="s">
        <v>3543</v>
      </c>
      <c r="H50" s="281">
        <v>1</v>
      </c>
      <c r="I50" s="281"/>
      <c r="J50" s="281"/>
      <c r="K50" s="281"/>
      <c r="L50" s="281"/>
      <c r="M50" s="281">
        <v>1</v>
      </c>
      <c r="N50" s="281"/>
      <c r="O50" s="271">
        <f t="shared" si="0"/>
        <v>2</v>
      </c>
    </row>
    <row r="51" spans="1:15" x14ac:dyDescent="0.2">
      <c r="A51" s="262">
        <v>38</v>
      </c>
      <c r="B51" s="272" t="s">
        <v>3661</v>
      </c>
      <c r="C51" s="281"/>
      <c r="D51" s="281"/>
      <c r="E51" s="281"/>
      <c r="F51" s="281"/>
      <c r="G51" s="281">
        <v>1</v>
      </c>
      <c r="H51" s="281">
        <v>1</v>
      </c>
      <c r="I51" s="281"/>
      <c r="J51" s="281"/>
      <c r="K51" s="281"/>
      <c r="L51" s="281">
        <v>1</v>
      </c>
      <c r="M51" s="281"/>
      <c r="N51" s="281"/>
      <c r="O51" s="271">
        <f t="shared" si="0"/>
        <v>3</v>
      </c>
    </row>
    <row r="52" spans="1:15" x14ac:dyDescent="0.2">
      <c r="A52" s="262">
        <v>39</v>
      </c>
      <c r="B52" s="270" t="s">
        <v>3596</v>
      </c>
      <c r="C52" s="281"/>
      <c r="D52" s="281"/>
      <c r="E52" s="281">
        <v>1</v>
      </c>
      <c r="F52" s="281"/>
      <c r="G52" s="281"/>
      <c r="H52" s="281"/>
      <c r="I52" s="281"/>
      <c r="J52" s="281"/>
      <c r="K52" s="281"/>
      <c r="L52" s="281"/>
      <c r="M52" s="281"/>
      <c r="N52" s="281"/>
      <c r="O52" s="271">
        <f t="shared" si="0"/>
        <v>1</v>
      </c>
    </row>
    <row r="53" spans="1:15" x14ac:dyDescent="0.2">
      <c r="A53" s="262">
        <v>40</v>
      </c>
      <c r="B53" s="270" t="s">
        <v>3597</v>
      </c>
      <c r="C53" s="281">
        <v>6</v>
      </c>
      <c r="D53" s="281">
        <v>3</v>
      </c>
      <c r="E53" s="281">
        <v>8</v>
      </c>
      <c r="F53" s="281">
        <v>6</v>
      </c>
      <c r="G53" s="281">
        <v>3</v>
      </c>
      <c r="H53" s="281">
        <v>2</v>
      </c>
      <c r="I53" s="281">
        <v>2</v>
      </c>
      <c r="J53" s="281">
        <v>9</v>
      </c>
      <c r="K53" s="281">
        <v>2</v>
      </c>
      <c r="L53" s="281">
        <v>4</v>
      </c>
      <c r="M53" s="281">
        <v>4</v>
      </c>
      <c r="N53" s="281">
        <v>10</v>
      </c>
      <c r="O53" s="271">
        <f t="shared" si="0"/>
        <v>59</v>
      </c>
    </row>
    <row r="54" spans="1:15" x14ac:dyDescent="0.2">
      <c r="A54" s="262">
        <v>41</v>
      </c>
      <c r="B54" s="270" t="s">
        <v>3598</v>
      </c>
      <c r="C54" s="271">
        <v>1</v>
      </c>
      <c r="D54" s="271"/>
      <c r="E54" s="271"/>
      <c r="F54" s="271"/>
      <c r="G54" s="271"/>
      <c r="H54" s="271"/>
      <c r="I54" s="271"/>
      <c r="J54" s="271"/>
      <c r="K54" s="271"/>
      <c r="L54" s="271"/>
      <c r="M54" s="271"/>
      <c r="N54" s="271"/>
      <c r="O54" s="271">
        <f t="shared" si="0"/>
        <v>1</v>
      </c>
    </row>
    <row r="55" spans="1:15" x14ac:dyDescent="0.2">
      <c r="A55" s="262">
        <v>42</v>
      </c>
      <c r="B55" s="282" t="s">
        <v>3662</v>
      </c>
      <c r="C55" s="271"/>
      <c r="D55" s="271"/>
      <c r="E55" s="271"/>
      <c r="F55" s="271"/>
      <c r="G55" s="271"/>
      <c r="H55" s="271"/>
      <c r="I55" s="271"/>
      <c r="J55" s="271"/>
      <c r="K55" s="271"/>
      <c r="L55" s="271"/>
      <c r="M55" s="271"/>
      <c r="N55" s="271"/>
      <c r="O55" s="271">
        <f t="shared" si="0"/>
        <v>0</v>
      </c>
    </row>
    <row r="56" spans="1:15" x14ac:dyDescent="0.2">
      <c r="A56" s="262">
        <v>43</v>
      </c>
      <c r="B56" s="283" t="s">
        <v>3663</v>
      </c>
      <c r="C56" s="271"/>
      <c r="D56" s="271"/>
      <c r="E56" s="271"/>
      <c r="F56" s="271">
        <v>1</v>
      </c>
      <c r="G56" s="271"/>
      <c r="H56" s="271"/>
      <c r="I56" s="271">
        <v>3</v>
      </c>
      <c r="J56" s="271"/>
      <c r="K56" s="271"/>
      <c r="L56" s="271"/>
      <c r="M56" s="271"/>
      <c r="N56" s="271"/>
      <c r="O56" s="271">
        <f t="shared" si="0"/>
        <v>4</v>
      </c>
    </row>
    <row r="57" spans="1:15" x14ac:dyDescent="0.2">
      <c r="A57" s="262"/>
      <c r="B57" s="272" t="s">
        <v>3565</v>
      </c>
      <c r="C57" s="273">
        <f t="shared" ref="C57:N57" si="4">SUM(C46:C56)</f>
        <v>7</v>
      </c>
      <c r="D57" s="273">
        <f t="shared" si="4"/>
        <v>3</v>
      </c>
      <c r="E57" s="273">
        <f t="shared" si="4"/>
        <v>9</v>
      </c>
      <c r="F57" s="273">
        <f t="shared" si="4"/>
        <v>7</v>
      </c>
      <c r="G57" s="273">
        <f t="shared" si="4"/>
        <v>4</v>
      </c>
      <c r="H57" s="273">
        <f t="shared" si="4"/>
        <v>4</v>
      </c>
      <c r="I57" s="273">
        <f t="shared" si="4"/>
        <v>5</v>
      </c>
      <c r="J57" s="273">
        <f t="shared" si="4"/>
        <v>9</v>
      </c>
      <c r="K57" s="273">
        <f t="shared" si="4"/>
        <v>2</v>
      </c>
      <c r="L57" s="273">
        <f t="shared" si="4"/>
        <v>5</v>
      </c>
      <c r="M57" s="273">
        <f t="shared" si="4"/>
        <v>5</v>
      </c>
      <c r="N57" s="273">
        <f t="shared" si="4"/>
        <v>10</v>
      </c>
      <c r="O57" s="271">
        <f t="shared" si="0"/>
        <v>70</v>
      </c>
    </row>
    <row r="58" spans="1:15" x14ac:dyDescent="0.2">
      <c r="A58" s="262"/>
      <c r="B58" s="284" t="s">
        <v>3600</v>
      </c>
      <c r="C58" s="285"/>
      <c r="D58" s="285"/>
      <c r="E58" s="285"/>
      <c r="F58" s="285"/>
      <c r="G58" s="285"/>
      <c r="H58" s="285"/>
      <c r="I58" s="285"/>
      <c r="J58" s="285"/>
      <c r="K58" s="285"/>
      <c r="L58" s="285"/>
      <c r="M58" s="285"/>
      <c r="N58" s="285"/>
      <c r="O58" s="285"/>
    </row>
    <row r="59" spans="1:15" x14ac:dyDescent="0.2">
      <c r="A59" s="262">
        <v>44</v>
      </c>
      <c r="B59" s="276" t="s">
        <v>3664</v>
      </c>
      <c r="C59" s="271"/>
      <c r="D59" s="271">
        <v>2</v>
      </c>
      <c r="E59" s="271">
        <v>4</v>
      </c>
      <c r="F59" s="271">
        <v>3</v>
      </c>
      <c r="G59" s="271">
        <v>5</v>
      </c>
      <c r="H59" s="271"/>
      <c r="I59" s="271">
        <v>1</v>
      </c>
      <c r="J59" s="271"/>
      <c r="K59" s="271">
        <v>1</v>
      </c>
      <c r="L59" s="271">
        <v>1</v>
      </c>
      <c r="M59" s="271">
        <v>3</v>
      </c>
      <c r="N59" s="271"/>
      <c r="O59" s="271">
        <f t="shared" ref="O59:O66" si="5">SUM(C59:N59)</f>
        <v>20</v>
      </c>
    </row>
    <row r="60" spans="1:15" ht="23.1" x14ac:dyDescent="0.2">
      <c r="A60" s="262">
        <v>45</v>
      </c>
      <c r="B60" s="276" t="s">
        <v>3665</v>
      </c>
      <c r="C60" s="271"/>
      <c r="D60" s="271"/>
      <c r="E60" s="271"/>
      <c r="F60" s="271"/>
      <c r="G60" s="271"/>
      <c r="H60" s="271"/>
      <c r="I60" s="271"/>
      <c r="J60" s="271"/>
      <c r="K60" s="271"/>
      <c r="L60" s="271">
        <v>1</v>
      </c>
      <c r="M60" s="271"/>
      <c r="N60" s="271"/>
      <c r="O60" s="271">
        <f t="shared" si="5"/>
        <v>1</v>
      </c>
    </row>
    <row r="61" spans="1:15" x14ac:dyDescent="0.2">
      <c r="A61" s="262">
        <v>46</v>
      </c>
      <c r="B61" s="270" t="s">
        <v>3666</v>
      </c>
      <c r="C61" s="271">
        <v>3</v>
      </c>
      <c r="D61" s="271"/>
      <c r="E61" s="271"/>
      <c r="F61" s="271"/>
      <c r="G61" s="271"/>
      <c r="H61" s="271">
        <v>1</v>
      </c>
      <c r="I61" s="271">
        <v>1</v>
      </c>
      <c r="J61" s="271"/>
      <c r="K61" s="271">
        <v>1</v>
      </c>
      <c r="L61" s="271"/>
      <c r="M61" s="271">
        <v>1</v>
      </c>
      <c r="N61" s="271">
        <v>1</v>
      </c>
      <c r="O61" s="271">
        <f t="shared" si="5"/>
        <v>8</v>
      </c>
    </row>
    <row r="62" spans="1:15" x14ac:dyDescent="0.2">
      <c r="A62" s="262">
        <v>47</v>
      </c>
      <c r="B62" s="270" t="s">
        <v>3667</v>
      </c>
      <c r="C62" s="271"/>
      <c r="D62" s="271"/>
      <c r="E62" s="271"/>
      <c r="F62" s="271"/>
      <c r="G62" s="271"/>
      <c r="H62" s="271"/>
      <c r="I62" s="271"/>
      <c r="J62" s="271"/>
      <c r="K62" s="271"/>
      <c r="L62" s="271"/>
      <c r="M62" s="271"/>
      <c r="N62" s="271"/>
      <c r="O62" s="271">
        <f t="shared" si="5"/>
        <v>0</v>
      </c>
    </row>
    <row r="63" spans="1:15" x14ac:dyDescent="0.2">
      <c r="A63" s="262">
        <v>48</v>
      </c>
      <c r="B63" s="270" t="s">
        <v>3668</v>
      </c>
      <c r="C63" s="271">
        <v>1</v>
      </c>
      <c r="D63" s="271"/>
      <c r="E63" s="271"/>
      <c r="F63" s="271"/>
      <c r="G63" s="271">
        <v>1</v>
      </c>
      <c r="H63" s="271"/>
      <c r="I63" s="271"/>
      <c r="J63" s="271"/>
      <c r="K63" s="271"/>
      <c r="L63" s="271"/>
      <c r="M63" s="271"/>
      <c r="N63" s="271"/>
      <c r="O63" s="271">
        <f t="shared" si="5"/>
        <v>2</v>
      </c>
    </row>
    <row r="64" spans="1:15" x14ac:dyDescent="0.2">
      <c r="A64" s="262">
        <v>49</v>
      </c>
      <c r="B64" s="283" t="s">
        <v>3669</v>
      </c>
      <c r="C64" s="262"/>
      <c r="D64" s="262"/>
      <c r="E64" s="262"/>
      <c r="F64" s="262"/>
      <c r="G64" s="262"/>
      <c r="H64" s="262"/>
      <c r="I64" s="262"/>
      <c r="J64" s="262"/>
      <c r="K64" s="262"/>
      <c r="L64" s="262"/>
      <c r="M64" s="262"/>
      <c r="N64" s="262"/>
      <c r="O64" s="271">
        <f t="shared" si="5"/>
        <v>0</v>
      </c>
    </row>
    <row r="65" spans="1:15" x14ac:dyDescent="0.2">
      <c r="A65" s="262"/>
      <c r="B65" s="272" t="s">
        <v>3565</v>
      </c>
      <c r="C65" s="273">
        <f t="shared" ref="C65:N65" si="6">SUM(C59:C64)</f>
        <v>4</v>
      </c>
      <c r="D65" s="273">
        <f t="shared" si="6"/>
        <v>2</v>
      </c>
      <c r="E65" s="273">
        <f t="shared" si="6"/>
        <v>4</v>
      </c>
      <c r="F65" s="273">
        <f t="shared" si="6"/>
        <v>3</v>
      </c>
      <c r="G65" s="273">
        <f t="shared" si="6"/>
        <v>6</v>
      </c>
      <c r="H65" s="273">
        <f t="shared" si="6"/>
        <v>1</v>
      </c>
      <c r="I65" s="273">
        <f t="shared" si="6"/>
        <v>2</v>
      </c>
      <c r="J65" s="273">
        <f t="shared" si="6"/>
        <v>0</v>
      </c>
      <c r="K65" s="273">
        <f t="shared" si="6"/>
        <v>2</v>
      </c>
      <c r="L65" s="273">
        <f t="shared" si="6"/>
        <v>2</v>
      </c>
      <c r="M65" s="273">
        <f t="shared" si="6"/>
        <v>4</v>
      </c>
      <c r="N65" s="273">
        <f t="shared" si="6"/>
        <v>1</v>
      </c>
      <c r="O65" s="271">
        <f t="shared" si="5"/>
        <v>31</v>
      </c>
    </row>
    <row r="66" spans="1:15" ht="14.3" x14ac:dyDescent="0.2">
      <c r="A66" s="262"/>
      <c r="B66" s="286" t="s">
        <v>3603</v>
      </c>
      <c r="C66" s="287">
        <f t="shared" ref="C66:N66" si="7">SUM(C65+C57+C44+C37+C20)</f>
        <v>14</v>
      </c>
      <c r="D66" s="287">
        <f t="shared" si="7"/>
        <v>10</v>
      </c>
      <c r="E66" s="287">
        <f t="shared" si="7"/>
        <v>27</v>
      </c>
      <c r="F66" s="287">
        <f t="shared" si="7"/>
        <v>15</v>
      </c>
      <c r="G66" s="287">
        <f t="shared" si="7"/>
        <v>16</v>
      </c>
      <c r="H66" s="287">
        <f t="shared" si="7"/>
        <v>8</v>
      </c>
      <c r="I66" s="287">
        <f t="shared" si="7"/>
        <v>19</v>
      </c>
      <c r="J66" s="287">
        <f t="shared" si="7"/>
        <v>24</v>
      </c>
      <c r="K66" s="287">
        <f t="shared" si="7"/>
        <v>14</v>
      </c>
      <c r="L66" s="287">
        <f t="shared" si="7"/>
        <v>14</v>
      </c>
      <c r="M66" s="287">
        <f t="shared" si="7"/>
        <v>12</v>
      </c>
      <c r="N66" s="287">
        <f t="shared" si="7"/>
        <v>21</v>
      </c>
      <c r="O66" s="271">
        <f t="shared" si="5"/>
        <v>194</v>
      </c>
    </row>
    <row r="67" spans="1:15" ht="14.3" x14ac:dyDescent="0.2">
      <c r="A67" s="262"/>
      <c r="B67" s="288" t="s">
        <v>3605</v>
      </c>
      <c r="C67" s="289"/>
      <c r="D67" s="289"/>
      <c r="E67" s="289"/>
      <c r="F67" s="289"/>
      <c r="G67" s="289"/>
      <c r="H67" s="289"/>
      <c r="I67" s="289"/>
      <c r="J67" s="289"/>
      <c r="K67" s="289"/>
      <c r="L67" s="289"/>
      <c r="M67" s="289"/>
      <c r="N67" s="289"/>
      <c r="O67" s="289"/>
    </row>
    <row r="68" spans="1:15" x14ac:dyDescent="0.2">
      <c r="A68" s="262">
        <v>1</v>
      </c>
      <c r="B68" s="290" t="s">
        <v>3670</v>
      </c>
      <c r="C68" s="291">
        <v>26</v>
      </c>
      <c r="D68" s="291">
        <v>17</v>
      </c>
      <c r="E68" s="291">
        <v>14</v>
      </c>
      <c r="F68" s="291">
        <v>15</v>
      </c>
      <c r="G68" s="291">
        <v>19</v>
      </c>
      <c r="H68" s="291">
        <v>10</v>
      </c>
      <c r="I68" s="291">
        <v>11</v>
      </c>
      <c r="J68" s="291">
        <v>4</v>
      </c>
      <c r="K68" s="291">
        <v>6</v>
      </c>
      <c r="L68" s="291">
        <v>15</v>
      </c>
      <c r="M68" s="291">
        <v>9</v>
      </c>
      <c r="N68" s="291">
        <v>5</v>
      </c>
      <c r="O68" s="271">
        <f t="shared" ref="O68:O78" si="8">SUM(C68:N68)</f>
        <v>151</v>
      </c>
    </row>
    <row r="69" spans="1:15" x14ac:dyDescent="0.2">
      <c r="A69" s="262">
        <v>2</v>
      </c>
      <c r="B69" s="283" t="s">
        <v>3671</v>
      </c>
      <c r="C69" s="291"/>
      <c r="D69" s="291"/>
      <c r="E69" s="291"/>
      <c r="F69" s="291"/>
      <c r="G69" s="291"/>
      <c r="H69" s="291"/>
      <c r="I69" s="291"/>
      <c r="J69" s="291"/>
      <c r="K69" s="291"/>
      <c r="L69" s="291"/>
      <c r="M69" s="291"/>
      <c r="N69" s="291"/>
      <c r="O69" s="271">
        <f t="shared" si="8"/>
        <v>0</v>
      </c>
    </row>
    <row r="70" spans="1:15" x14ac:dyDescent="0.2">
      <c r="A70" s="262">
        <v>3</v>
      </c>
      <c r="B70" s="283" t="s">
        <v>3672</v>
      </c>
      <c r="C70" s="291"/>
      <c r="D70" s="291">
        <v>1</v>
      </c>
      <c r="E70" s="291">
        <v>3</v>
      </c>
      <c r="F70" s="291">
        <v>1</v>
      </c>
      <c r="G70" s="291">
        <v>3</v>
      </c>
      <c r="H70" s="291">
        <v>2</v>
      </c>
      <c r="I70" s="291">
        <v>4</v>
      </c>
      <c r="J70" s="291">
        <v>2</v>
      </c>
      <c r="K70" s="291">
        <v>1</v>
      </c>
      <c r="L70" s="291">
        <v>2</v>
      </c>
      <c r="M70" s="291"/>
      <c r="N70" s="291">
        <v>3</v>
      </c>
      <c r="O70" s="271">
        <f t="shared" si="8"/>
        <v>22</v>
      </c>
    </row>
    <row r="71" spans="1:15" x14ac:dyDescent="0.2">
      <c r="A71" s="262">
        <v>4</v>
      </c>
      <c r="B71" s="283" t="s">
        <v>3673</v>
      </c>
      <c r="C71" s="291"/>
      <c r="D71" s="291"/>
      <c r="E71" s="291"/>
      <c r="F71" s="291"/>
      <c r="G71" s="291"/>
      <c r="H71" s="291">
        <v>1</v>
      </c>
      <c r="I71" s="291"/>
      <c r="J71" s="291"/>
      <c r="K71" s="291"/>
      <c r="L71" s="291"/>
      <c r="M71" s="291"/>
      <c r="N71" s="291"/>
      <c r="O71" s="271">
        <f t="shared" si="8"/>
        <v>1</v>
      </c>
    </row>
    <row r="72" spans="1:15" x14ac:dyDescent="0.2">
      <c r="A72" s="262">
        <v>5</v>
      </c>
      <c r="B72" s="290" t="s">
        <v>3607</v>
      </c>
      <c r="C72" s="281">
        <v>2</v>
      </c>
      <c r="D72" s="281">
        <v>3</v>
      </c>
      <c r="E72" s="281">
        <v>1</v>
      </c>
      <c r="F72" s="281">
        <v>1</v>
      </c>
      <c r="G72" s="281">
        <v>4</v>
      </c>
      <c r="H72" s="281">
        <v>4</v>
      </c>
      <c r="I72" s="281">
        <v>2</v>
      </c>
      <c r="J72" s="281">
        <v>3</v>
      </c>
      <c r="K72" s="281">
        <v>1</v>
      </c>
      <c r="L72" s="281">
        <v>3</v>
      </c>
      <c r="M72" s="281">
        <v>1</v>
      </c>
      <c r="N72" s="281">
        <v>2</v>
      </c>
      <c r="O72" s="271">
        <f t="shared" si="8"/>
        <v>27</v>
      </c>
    </row>
    <row r="73" spans="1:15" x14ac:dyDescent="0.2">
      <c r="A73" s="262">
        <v>6</v>
      </c>
      <c r="B73" s="270" t="s">
        <v>3608</v>
      </c>
      <c r="C73" s="281"/>
      <c r="D73" s="281"/>
      <c r="E73" s="281">
        <v>7</v>
      </c>
      <c r="F73" s="281">
        <v>6</v>
      </c>
      <c r="G73" s="281">
        <v>1</v>
      </c>
      <c r="H73" s="281"/>
      <c r="I73" s="281">
        <v>1</v>
      </c>
      <c r="J73" s="281"/>
      <c r="K73" s="281"/>
      <c r="L73" s="281">
        <v>3</v>
      </c>
      <c r="M73" s="281"/>
      <c r="N73" s="281"/>
      <c r="O73" s="271">
        <f t="shared" si="8"/>
        <v>18</v>
      </c>
    </row>
    <row r="74" spans="1:15" x14ac:dyDescent="0.2">
      <c r="A74" s="262">
        <v>7</v>
      </c>
      <c r="B74" s="270" t="s">
        <v>3609</v>
      </c>
      <c r="C74" s="281">
        <v>3</v>
      </c>
      <c r="D74" s="281">
        <v>1</v>
      </c>
      <c r="E74" s="281"/>
      <c r="F74" s="281">
        <v>1</v>
      </c>
      <c r="G74" s="281">
        <v>1</v>
      </c>
      <c r="H74" s="281">
        <v>3</v>
      </c>
      <c r="I74" s="281">
        <v>2</v>
      </c>
      <c r="J74" s="281"/>
      <c r="K74" s="281">
        <v>1</v>
      </c>
      <c r="L74" s="281"/>
      <c r="M74" s="281"/>
      <c r="N74" s="281"/>
      <c r="O74" s="271">
        <f t="shared" si="8"/>
        <v>12</v>
      </c>
    </row>
    <row r="75" spans="1:15" x14ac:dyDescent="0.2">
      <c r="A75" s="262">
        <v>8</v>
      </c>
      <c r="B75" s="270" t="s">
        <v>3674</v>
      </c>
      <c r="C75" s="281"/>
      <c r="D75" s="281"/>
      <c r="E75" s="281"/>
      <c r="F75" s="281"/>
      <c r="G75" s="281"/>
      <c r="H75" s="281"/>
      <c r="I75" s="281"/>
      <c r="J75" s="281"/>
      <c r="K75" s="281"/>
      <c r="L75" s="281">
        <v>1</v>
      </c>
      <c r="M75" s="281"/>
      <c r="N75" s="281"/>
      <c r="O75" s="271">
        <f t="shared" si="8"/>
        <v>1</v>
      </c>
    </row>
    <row r="76" spans="1:15" x14ac:dyDescent="0.2">
      <c r="A76" s="262">
        <v>9</v>
      </c>
      <c r="B76" s="283" t="s">
        <v>3675</v>
      </c>
      <c r="C76" s="271"/>
      <c r="D76" s="271"/>
      <c r="E76" s="271"/>
      <c r="F76" s="271"/>
      <c r="G76" s="271"/>
      <c r="H76" s="271"/>
      <c r="I76" s="271">
        <v>5</v>
      </c>
      <c r="J76" s="271">
        <v>1</v>
      </c>
      <c r="K76" s="271">
        <v>2</v>
      </c>
      <c r="L76" s="271"/>
      <c r="M76" s="271"/>
      <c r="N76" s="271"/>
      <c r="O76" s="271">
        <f t="shared" si="8"/>
        <v>8</v>
      </c>
    </row>
    <row r="77" spans="1:15" ht="13.6" x14ac:dyDescent="0.2">
      <c r="A77" s="262"/>
      <c r="B77" s="272" t="s">
        <v>3676</v>
      </c>
      <c r="C77" s="292">
        <f t="shared" ref="C77:N77" si="9">SUM(C68:C76)</f>
        <v>31</v>
      </c>
      <c r="D77" s="292">
        <f t="shared" si="9"/>
        <v>22</v>
      </c>
      <c r="E77" s="292">
        <f t="shared" si="9"/>
        <v>25</v>
      </c>
      <c r="F77" s="292">
        <f t="shared" si="9"/>
        <v>24</v>
      </c>
      <c r="G77" s="292">
        <f t="shared" si="9"/>
        <v>28</v>
      </c>
      <c r="H77" s="292">
        <f t="shared" si="9"/>
        <v>20</v>
      </c>
      <c r="I77" s="292">
        <f t="shared" si="9"/>
        <v>25</v>
      </c>
      <c r="J77" s="292">
        <f t="shared" si="9"/>
        <v>10</v>
      </c>
      <c r="K77" s="292">
        <f t="shared" si="9"/>
        <v>11</v>
      </c>
      <c r="L77" s="292">
        <f t="shared" si="9"/>
        <v>24</v>
      </c>
      <c r="M77" s="292">
        <f t="shared" si="9"/>
        <v>10</v>
      </c>
      <c r="N77" s="292">
        <f t="shared" si="9"/>
        <v>10</v>
      </c>
      <c r="O77" s="271">
        <f t="shared" si="8"/>
        <v>240</v>
      </c>
    </row>
    <row r="78" spans="1:15" ht="27.2" x14ac:dyDescent="0.2">
      <c r="A78" s="262"/>
      <c r="B78" s="293" t="s">
        <v>3677</v>
      </c>
      <c r="C78" s="294">
        <f t="shared" ref="C78:N78" si="10">SUM(C66+C77)</f>
        <v>45</v>
      </c>
      <c r="D78" s="294">
        <f t="shared" si="10"/>
        <v>32</v>
      </c>
      <c r="E78" s="294">
        <f t="shared" si="10"/>
        <v>52</v>
      </c>
      <c r="F78" s="294">
        <f t="shared" si="10"/>
        <v>39</v>
      </c>
      <c r="G78" s="294">
        <f t="shared" si="10"/>
        <v>44</v>
      </c>
      <c r="H78" s="294">
        <f t="shared" si="10"/>
        <v>28</v>
      </c>
      <c r="I78" s="294">
        <f t="shared" si="10"/>
        <v>44</v>
      </c>
      <c r="J78" s="294">
        <f t="shared" si="10"/>
        <v>34</v>
      </c>
      <c r="K78" s="294">
        <f t="shared" si="10"/>
        <v>25</v>
      </c>
      <c r="L78" s="294">
        <f t="shared" si="10"/>
        <v>38</v>
      </c>
      <c r="M78" s="294">
        <f t="shared" si="10"/>
        <v>22</v>
      </c>
      <c r="N78" s="294">
        <f t="shared" si="10"/>
        <v>31</v>
      </c>
      <c r="O78" s="295">
        <f t="shared" si="8"/>
        <v>434</v>
      </c>
    </row>
    <row r="79" spans="1:15" x14ac:dyDescent="0.2">
      <c r="A79" s="282"/>
      <c r="B79" s="282"/>
      <c r="C79" s="296"/>
      <c r="D79" s="282"/>
      <c r="E79" s="282"/>
      <c r="F79" s="282"/>
      <c r="G79" s="282"/>
      <c r="H79" s="282"/>
      <c r="I79" s="282"/>
      <c r="J79" s="282"/>
      <c r="K79" s="282"/>
      <c r="L79" s="282"/>
      <c r="M79" s="282"/>
      <c r="N79" s="282"/>
      <c r="O79" s="282"/>
    </row>
    <row r="80" spans="1:15" ht="18.350000000000001" x14ac:dyDescent="0.3">
      <c r="A80" s="297"/>
      <c r="B80" s="298" t="s">
        <v>3678</v>
      </c>
      <c r="C80" s="299"/>
      <c r="D80" s="300"/>
      <c r="E80" s="300"/>
      <c r="F80" s="300"/>
      <c r="G80" s="300"/>
      <c r="H80" s="300"/>
      <c r="I80" s="300"/>
      <c r="J80" s="300"/>
      <c r="K80" s="300"/>
      <c r="L80" s="300"/>
      <c r="M80" s="300"/>
      <c r="N80" s="300"/>
      <c r="O80" s="300"/>
    </row>
    <row r="81" spans="1:15" ht="14.3" x14ac:dyDescent="0.2">
      <c r="A81" s="262"/>
      <c r="B81" s="301" t="s">
        <v>3679</v>
      </c>
      <c r="C81" s="302"/>
      <c r="D81" s="303"/>
      <c r="E81" s="303"/>
      <c r="F81" s="303"/>
      <c r="G81" s="303"/>
      <c r="H81" s="303"/>
      <c r="I81" s="303"/>
      <c r="J81" s="303"/>
      <c r="K81" s="303"/>
      <c r="L81" s="303"/>
      <c r="M81" s="303"/>
      <c r="N81" s="303"/>
      <c r="O81" s="303"/>
    </row>
    <row r="82" spans="1:15" x14ac:dyDescent="0.2">
      <c r="A82" s="262" t="s">
        <v>3680</v>
      </c>
      <c r="B82" s="270" t="s">
        <v>3681</v>
      </c>
      <c r="C82" s="281"/>
      <c r="D82" s="282"/>
      <c r="E82" s="282"/>
      <c r="F82" s="282"/>
      <c r="G82" s="282"/>
      <c r="H82" s="282"/>
      <c r="I82" s="282"/>
      <c r="J82" s="282"/>
      <c r="K82" s="282"/>
      <c r="L82" s="282"/>
      <c r="M82" s="282"/>
      <c r="N82" s="282"/>
      <c r="O82" s="282"/>
    </row>
    <row r="83" spans="1:15" x14ac:dyDescent="0.2">
      <c r="A83" s="262" t="s">
        <v>3682</v>
      </c>
      <c r="B83" s="270" t="s">
        <v>3683</v>
      </c>
      <c r="C83" s="281"/>
      <c r="D83" s="282"/>
      <c r="E83" s="282"/>
      <c r="F83" s="282"/>
      <c r="G83" s="282"/>
      <c r="H83" s="282"/>
      <c r="I83" s="282"/>
      <c r="J83" s="282"/>
      <c r="K83" s="282"/>
      <c r="L83" s="282"/>
      <c r="M83" s="282"/>
      <c r="N83" s="282"/>
      <c r="O83" s="282"/>
    </row>
    <row r="84" spans="1:15" x14ac:dyDescent="0.2">
      <c r="A84" s="262" t="s">
        <v>3684</v>
      </c>
      <c r="B84" s="270" t="s">
        <v>3685</v>
      </c>
      <c r="C84" s="281"/>
      <c r="D84" s="282"/>
      <c r="E84" s="282"/>
      <c r="F84" s="282"/>
      <c r="G84" s="282"/>
      <c r="H84" s="282"/>
      <c r="I84" s="282"/>
      <c r="J84" s="282"/>
      <c r="K84" s="282"/>
      <c r="L84" s="282"/>
      <c r="M84" s="282"/>
      <c r="N84" s="282"/>
      <c r="O84" s="282"/>
    </row>
    <row r="85" spans="1:15" x14ac:dyDescent="0.2">
      <c r="A85" s="262" t="s">
        <v>3686</v>
      </c>
      <c r="B85" s="270" t="s">
        <v>3687</v>
      </c>
      <c r="C85" s="281"/>
      <c r="D85" s="282"/>
      <c r="E85" s="282"/>
      <c r="F85" s="282"/>
      <c r="G85" s="282"/>
      <c r="H85" s="282"/>
      <c r="I85" s="282"/>
      <c r="J85" s="282"/>
      <c r="K85" s="282"/>
      <c r="L85" s="282"/>
      <c r="M85" s="282"/>
      <c r="N85" s="282"/>
      <c r="O85" s="282"/>
    </row>
    <row r="86" spans="1:15" x14ac:dyDescent="0.2">
      <c r="A86" s="262" t="s">
        <v>3688</v>
      </c>
      <c r="B86" s="270" t="s">
        <v>3689</v>
      </c>
      <c r="C86" s="281"/>
      <c r="D86" s="282"/>
      <c r="E86" s="282"/>
      <c r="F86" s="282"/>
      <c r="G86" s="282"/>
      <c r="H86" s="282"/>
      <c r="I86" s="282"/>
      <c r="J86" s="282"/>
      <c r="K86" s="282"/>
      <c r="L86" s="282"/>
      <c r="M86" s="282"/>
      <c r="N86" s="282"/>
      <c r="O86" s="282"/>
    </row>
    <row r="87" spans="1:15" ht="13.6" x14ac:dyDescent="0.2">
      <c r="A87" s="297"/>
      <c r="B87" s="272" t="s">
        <v>3565</v>
      </c>
      <c r="C87" s="273">
        <f>SUM(C82:C86)</f>
        <v>0</v>
      </c>
      <c r="D87" s="273">
        <f t="shared" ref="D87:N87" si="11">SUM(D82:D86)</f>
        <v>0</v>
      </c>
      <c r="E87" s="273">
        <f t="shared" si="11"/>
        <v>0</v>
      </c>
      <c r="F87" s="273">
        <f t="shared" si="11"/>
        <v>0</v>
      </c>
      <c r="G87" s="273">
        <f t="shared" si="11"/>
        <v>0</v>
      </c>
      <c r="H87" s="273">
        <f t="shared" si="11"/>
        <v>0</v>
      </c>
      <c r="I87" s="273">
        <f t="shared" si="11"/>
        <v>0</v>
      </c>
      <c r="J87" s="273">
        <f t="shared" si="11"/>
        <v>0</v>
      </c>
      <c r="K87" s="273">
        <f t="shared" si="11"/>
        <v>0</v>
      </c>
      <c r="L87" s="273">
        <f t="shared" si="11"/>
        <v>0</v>
      </c>
      <c r="M87" s="273">
        <f t="shared" si="11"/>
        <v>0</v>
      </c>
      <c r="N87" s="273">
        <f t="shared" si="11"/>
        <v>0</v>
      </c>
      <c r="O87" s="271">
        <f>SUM(O82:O86)</f>
        <v>0</v>
      </c>
    </row>
    <row r="88" spans="1:15" ht="14.3" x14ac:dyDescent="0.2">
      <c r="A88" s="297"/>
      <c r="B88" s="304" t="s">
        <v>3690</v>
      </c>
      <c r="C88" s="305"/>
      <c r="D88" s="306"/>
      <c r="E88" s="306"/>
      <c r="F88" s="306"/>
      <c r="G88" s="306"/>
      <c r="H88" s="306"/>
      <c r="I88" s="306"/>
      <c r="J88" s="306"/>
      <c r="K88" s="306"/>
      <c r="L88" s="306"/>
      <c r="M88" s="306"/>
      <c r="N88" s="306"/>
      <c r="O88" s="306"/>
    </row>
    <row r="89" spans="1:15" x14ac:dyDescent="0.2">
      <c r="A89" s="262" t="s">
        <v>3680</v>
      </c>
      <c r="B89" s="270" t="s">
        <v>3681</v>
      </c>
      <c r="C89" s="281"/>
      <c r="D89" s="282"/>
      <c r="E89" s="282"/>
      <c r="F89" s="282"/>
      <c r="G89" s="282" t="s">
        <v>3691</v>
      </c>
      <c r="H89" s="282" t="s">
        <v>3543</v>
      </c>
      <c r="I89" s="282"/>
      <c r="J89" s="282"/>
      <c r="K89" s="282"/>
      <c r="L89" s="282" t="s">
        <v>3692</v>
      </c>
      <c r="M89" s="282"/>
      <c r="N89" s="282"/>
      <c r="O89" s="282"/>
    </row>
    <row r="90" spans="1:15" x14ac:dyDescent="0.2">
      <c r="A90" s="262" t="s">
        <v>3682</v>
      </c>
      <c r="B90" s="270" t="s">
        <v>3693</v>
      </c>
      <c r="C90" s="281"/>
      <c r="D90" s="282"/>
      <c r="E90" s="282"/>
      <c r="F90" s="282"/>
      <c r="G90" s="282"/>
      <c r="H90" s="282" t="s">
        <v>3543</v>
      </c>
      <c r="I90" s="282"/>
      <c r="J90" s="282"/>
      <c r="K90" s="282"/>
      <c r="L90" s="282"/>
      <c r="M90" s="282"/>
      <c r="N90" s="282"/>
      <c r="O90" s="282"/>
    </row>
    <row r="91" spans="1:15" x14ac:dyDescent="0.2">
      <c r="A91" s="262" t="s">
        <v>3684</v>
      </c>
      <c r="B91" s="270" t="s">
        <v>3685</v>
      </c>
      <c r="C91" s="281"/>
      <c r="D91" s="282"/>
      <c r="E91" s="282"/>
      <c r="F91" s="282"/>
      <c r="G91" s="282"/>
      <c r="H91" s="282" t="s">
        <v>3543</v>
      </c>
      <c r="I91" s="282"/>
      <c r="J91" s="282"/>
      <c r="K91" s="282"/>
      <c r="L91" s="282"/>
      <c r="M91" s="282"/>
      <c r="N91" s="282"/>
      <c r="O91" s="282"/>
    </row>
    <row r="92" spans="1:15" x14ac:dyDescent="0.2">
      <c r="A92" s="262" t="s">
        <v>3686</v>
      </c>
      <c r="B92" s="270" t="s">
        <v>3694</v>
      </c>
      <c r="C92" s="281"/>
      <c r="D92" s="282"/>
      <c r="E92" s="282"/>
      <c r="F92" s="282"/>
      <c r="G92" s="282">
        <v>4</v>
      </c>
      <c r="H92" s="282"/>
      <c r="I92" s="282"/>
      <c r="J92" s="282"/>
      <c r="K92" s="282"/>
      <c r="L92" s="282">
        <v>2</v>
      </c>
      <c r="M92" s="282"/>
      <c r="N92" s="282"/>
      <c r="O92" s="282"/>
    </row>
    <row r="93" spans="1:15" x14ac:dyDescent="0.2">
      <c r="A93" s="282"/>
      <c r="B93" s="272" t="s">
        <v>3565</v>
      </c>
      <c r="C93" s="273">
        <f>SUM(C89:C92)</f>
        <v>0</v>
      </c>
      <c r="D93" s="273">
        <f t="shared" ref="D93:N93" si="12">SUM(D89:D92)</f>
        <v>0</v>
      </c>
      <c r="E93" s="273">
        <f t="shared" si="12"/>
        <v>0</v>
      </c>
      <c r="F93" s="273">
        <f t="shared" si="12"/>
        <v>0</v>
      </c>
      <c r="G93" s="273">
        <f t="shared" si="12"/>
        <v>4</v>
      </c>
      <c r="H93" s="273">
        <f t="shared" si="12"/>
        <v>0</v>
      </c>
      <c r="I93" s="273">
        <f t="shared" si="12"/>
        <v>0</v>
      </c>
      <c r="J93" s="273">
        <f t="shared" si="12"/>
        <v>0</v>
      </c>
      <c r="K93" s="273">
        <f t="shared" si="12"/>
        <v>0</v>
      </c>
      <c r="L93" s="273">
        <f t="shared" si="12"/>
        <v>2</v>
      </c>
      <c r="M93" s="273">
        <f t="shared" si="12"/>
        <v>0</v>
      </c>
      <c r="N93" s="273">
        <f t="shared" si="12"/>
        <v>0</v>
      </c>
      <c r="O93" s="273">
        <f>SUM(O89:O92)</f>
        <v>0</v>
      </c>
    </row>
  </sheetData>
  <sheetProtection sheet="1" objects="1" scenarios="1"/>
  <mergeCells count="3">
    <mergeCell ref="B2:P2"/>
    <mergeCell ref="B3:P3"/>
    <mergeCell ref="C5:M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6"/>
  <sheetViews>
    <sheetView workbookViewId="0">
      <selection activeCell="O7" sqref="O7:O8"/>
    </sheetView>
  </sheetViews>
  <sheetFormatPr baseColWidth="10" defaultRowHeight="12.9" x14ac:dyDescent="0.2"/>
  <cols>
    <col min="1" max="1" width="5.125" style="67" bestFit="1" customWidth="1"/>
    <col min="2" max="2" width="50" style="67" bestFit="1" customWidth="1"/>
    <col min="3" max="3" width="8" style="67" customWidth="1"/>
    <col min="4" max="4" width="9" style="67" customWidth="1"/>
    <col min="5" max="14" width="8" style="67" customWidth="1"/>
    <col min="15" max="15" width="7.25" style="67" bestFit="1" customWidth="1"/>
    <col min="16" max="256" width="11" style="67"/>
    <col min="257" max="257" width="5.125" style="67" bestFit="1" customWidth="1"/>
    <col min="258" max="258" width="50" style="67" bestFit="1" customWidth="1"/>
    <col min="259" max="259" width="8" style="67" customWidth="1"/>
    <col min="260" max="260" width="9" style="67" customWidth="1"/>
    <col min="261" max="270" width="8" style="67" customWidth="1"/>
    <col min="271" max="271" width="7.25" style="67" bestFit="1" customWidth="1"/>
    <col min="272" max="512" width="11" style="67"/>
    <col min="513" max="513" width="5.125" style="67" bestFit="1" customWidth="1"/>
    <col min="514" max="514" width="50" style="67" bestFit="1" customWidth="1"/>
    <col min="515" max="515" width="8" style="67" customWidth="1"/>
    <col min="516" max="516" width="9" style="67" customWidth="1"/>
    <col min="517" max="526" width="8" style="67" customWidth="1"/>
    <col min="527" max="527" width="7.25" style="67" bestFit="1" customWidth="1"/>
    <col min="528" max="768" width="11" style="67"/>
    <col min="769" max="769" width="5.125" style="67" bestFit="1" customWidth="1"/>
    <col min="770" max="770" width="50" style="67" bestFit="1" customWidth="1"/>
    <col min="771" max="771" width="8" style="67" customWidth="1"/>
    <col min="772" max="772" width="9" style="67" customWidth="1"/>
    <col min="773" max="782" width="8" style="67" customWidth="1"/>
    <col min="783" max="783" width="7.25" style="67" bestFit="1" customWidth="1"/>
    <col min="784" max="1024" width="11" style="67"/>
    <col min="1025" max="1025" width="5.125" style="67" bestFit="1" customWidth="1"/>
    <col min="1026" max="1026" width="50" style="67" bestFit="1" customWidth="1"/>
    <col min="1027" max="1027" width="8" style="67" customWidth="1"/>
    <col min="1028" max="1028" width="9" style="67" customWidth="1"/>
    <col min="1029" max="1038" width="8" style="67" customWidth="1"/>
    <col min="1039" max="1039" width="7.25" style="67" bestFit="1" customWidth="1"/>
    <col min="1040" max="1280" width="11" style="67"/>
    <col min="1281" max="1281" width="5.125" style="67" bestFit="1" customWidth="1"/>
    <col min="1282" max="1282" width="50" style="67" bestFit="1" customWidth="1"/>
    <col min="1283" max="1283" width="8" style="67" customWidth="1"/>
    <col min="1284" max="1284" width="9" style="67" customWidth="1"/>
    <col min="1285" max="1294" width="8" style="67" customWidth="1"/>
    <col min="1295" max="1295" width="7.25" style="67" bestFit="1" customWidth="1"/>
    <col min="1296" max="1536" width="11" style="67"/>
    <col min="1537" max="1537" width="5.125" style="67" bestFit="1" customWidth="1"/>
    <col min="1538" max="1538" width="50" style="67" bestFit="1" customWidth="1"/>
    <col min="1539" max="1539" width="8" style="67" customWidth="1"/>
    <col min="1540" max="1540" width="9" style="67" customWidth="1"/>
    <col min="1541" max="1550" width="8" style="67" customWidth="1"/>
    <col min="1551" max="1551" width="7.25" style="67" bestFit="1" customWidth="1"/>
    <col min="1552" max="1792" width="11" style="67"/>
    <col min="1793" max="1793" width="5.125" style="67" bestFit="1" customWidth="1"/>
    <col min="1794" max="1794" width="50" style="67" bestFit="1" customWidth="1"/>
    <col min="1795" max="1795" width="8" style="67" customWidth="1"/>
    <col min="1796" max="1796" width="9" style="67" customWidth="1"/>
    <col min="1797" max="1806" width="8" style="67" customWidth="1"/>
    <col min="1807" max="1807" width="7.25" style="67" bestFit="1" customWidth="1"/>
    <col min="1808" max="2048" width="11" style="67"/>
    <col min="2049" max="2049" width="5.125" style="67" bestFit="1" customWidth="1"/>
    <col min="2050" max="2050" width="50" style="67" bestFit="1" customWidth="1"/>
    <col min="2051" max="2051" width="8" style="67" customWidth="1"/>
    <col min="2052" max="2052" width="9" style="67" customWidth="1"/>
    <col min="2053" max="2062" width="8" style="67" customWidth="1"/>
    <col min="2063" max="2063" width="7.25" style="67" bestFit="1" customWidth="1"/>
    <col min="2064" max="2304" width="11" style="67"/>
    <col min="2305" max="2305" width="5.125" style="67" bestFit="1" customWidth="1"/>
    <col min="2306" max="2306" width="50" style="67" bestFit="1" customWidth="1"/>
    <col min="2307" max="2307" width="8" style="67" customWidth="1"/>
    <col min="2308" max="2308" width="9" style="67" customWidth="1"/>
    <col min="2309" max="2318" width="8" style="67" customWidth="1"/>
    <col min="2319" max="2319" width="7.25" style="67" bestFit="1" customWidth="1"/>
    <col min="2320" max="2560" width="11" style="67"/>
    <col min="2561" max="2561" width="5.125" style="67" bestFit="1" customWidth="1"/>
    <col min="2562" max="2562" width="50" style="67" bestFit="1" customWidth="1"/>
    <col min="2563" max="2563" width="8" style="67" customWidth="1"/>
    <col min="2564" max="2564" width="9" style="67" customWidth="1"/>
    <col min="2565" max="2574" width="8" style="67" customWidth="1"/>
    <col min="2575" max="2575" width="7.25" style="67" bestFit="1" customWidth="1"/>
    <col min="2576" max="2816" width="11" style="67"/>
    <col min="2817" max="2817" width="5.125" style="67" bestFit="1" customWidth="1"/>
    <col min="2818" max="2818" width="50" style="67" bestFit="1" customWidth="1"/>
    <col min="2819" max="2819" width="8" style="67" customWidth="1"/>
    <col min="2820" max="2820" width="9" style="67" customWidth="1"/>
    <col min="2821" max="2830" width="8" style="67" customWidth="1"/>
    <col min="2831" max="2831" width="7.25" style="67" bestFit="1" customWidth="1"/>
    <col min="2832" max="3072" width="11" style="67"/>
    <col min="3073" max="3073" width="5.125" style="67" bestFit="1" customWidth="1"/>
    <col min="3074" max="3074" width="50" style="67" bestFit="1" customWidth="1"/>
    <col min="3075" max="3075" width="8" style="67" customWidth="1"/>
    <col min="3076" max="3076" width="9" style="67" customWidth="1"/>
    <col min="3077" max="3086" width="8" style="67" customWidth="1"/>
    <col min="3087" max="3087" width="7.25" style="67" bestFit="1" customWidth="1"/>
    <col min="3088" max="3328" width="11" style="67"/>
    <col min="3329" max="3329" width="5.125" style="67" bestFit="1" customWidth="1"/>
    <col min="3330" max="3330" width="50" style="67" bestFit="1" customWidth="1"/>
    <col min="3331" max="3331" width="8" style="67" customWidth="1"/>
    <col min="3332" max="3332" width="9" style="67" customWidth="1"/>
    <col min="3333" max="3342" width="8" style="67" customWidth="1"/>
    <col min="3343" max="3343" width="7.25" style="67" bestFit="1" customWidth="1"/>
    <col min="3344" max="3584" width="11" style="67"/>
    <col min="3585" max="3585" width="5.125" style="67" bestFit="1" customWidth="1"/>
    <col min="3586" max="3586" width="50" style="67" bestFit="1" customWidth="1"/>
    <col min="3587" max="3587" width="8" style="67" customWidth="1"/>
    <col min="3588" max="3588" width="9" style="67" customWidth="1"/>
    <col min="3589" max="3598" width="8" style="67" customWidth="1"/>
    <col min="3599" max="3599" width="7.25" style="67" bestFit="1" customWidth="1"/>
    <col min="3600" max="3840" width="11" style="67"/>
    <col min="3841" max="3841" width="5.125" style="67" bestFit="1" customWidth="1"/>
    <col min="3842" max="3842" width="50" style="67" bestFit="1" customWidth="1"/>
    <col min="3843" max="3843" width="8" style="67" customWidth="1"/>
    <col min="3844" max="3844" width="9" style="67" customWidth="1"/>
    <col min="3845" max="3854" width="8" style="67" customWidth="1"/>
    <col min="3855" max="3855" width="7.25" style="67" bestFit="1" customWidth="1"/>
    <col min="3856" max="4096" width="11" style="67"/>
    <col min="4097" max="4097" width="5.125" style="67" bestFit="1" customWidth="1"/>
    <col min="4098" max="4098" width="50" style="67" bestFit="1" customWidth="1"/>
    <col min="4099" max="4099" width="8" style="67" customWidth="1"/>
    <col min="4100" max="4100" width="9" style="67" customWidth="1"/>
    <col min="4101" max="4110" width="8" style="67" customWidth="1"/>
    <col min="4111" max="4111" width="7.25" style="67" bestFit="1" customWidth="1"/>
    <col min="4112" max="4352" width="11" style="67"/>
    <col min="4353" max="4353" width="5.125" style="67" bestFit="1" customWidth="1"/>
    <col min="4354" max="4354" width="50" style="67" bestFit="1" customWidth="1"/>
    <col min="4355" max="4355" width="8" style="67" customWidth="1"/>
    <col min="4356" max="4356" width="9" style="67" customWidth="1"/>
    <col min="4357" max="4366" width="8" style="67" customWidth="1"/>
    <col min="4367" max="4367" width="7.25" style="67" bestFit="1" customWidth="1"/>
    <col min="4368" max="4608" width="11" style="67"/>
    <col min="4609" max="4609" width="5.125" style="67" bestFit="1" customWidth="1"/>
    <col min="4610" max="4610" width="50" style="67" bestFit="1" customWidth="1"/>
    <col min="4611" max="4611" width="8" style="67" customWidth="1"/>
    <col min="4612" max="4612" width="9" style="67" customWidth="1"/>
    <col min="4613" max="4622" width="8" style="67" customWidth="1"/>
    <col min="4623" max="4623" width="7.25" style="67" bestFit="1" customWidth="1"/>
    <col min="4624" max="4864" width="11" style="67"/>
    <col min="4865" max="4865" width="5.125" style="67" bestFit="1" customWidth="1"/>
    <col min="4866" max="4866" width="50" style="67" bestFit="1" customWidth="1"/>
    <col min="4867" max="4867" width="8" style="67" customWidth="1"/>
    <col min="4868" max="4868" width="9" style="67" customWidth="1"/>
    <col min="4869" max="4878" width="8" style="67" customWidth="1"/>
    <col min="4879" max="4879" width="7.25" style="67" bestFit="1" customWidth="1"/>
    <col min="4880" max="5120" width="11" style="67"/>
    <col min="5121" max="5121" width="5.125" style="67" bestFit="1" customWidth="1"/>
    <col min="5122" max="5122" width="50" style="67" bestFit="1" customWidth="1"/>
    <col min="5123" max="5123" width="8" style="67" customWidth="1"/>
    <col min="5124" max="5124" width="9" style="67" customWidth="1"/>
    <col min="5125" max="5134" width="8" style="67" customWidth="1"/>
    <col min="5135" max="5135" width="7.25" style="67" bestFit="1" customWidth="1"/>
    <col min="5136" max="5376" width="11" style="67"/>
    <col min="5377" max="5377" width="5.125" style="67" bestFit="1" customWidth="1"/>
    <col min="5378" max="5378" width="50" style="67" bestFit="1" customWidth="1"/>
    <col min="5379" max="5379" width="8" style="67" customWidth="1"/>
    <col min="5380" max="5380" width="9" style="67" customWidth="1"/>
    <col min="5381" max="5390" width="8" style="67" customWidth="1"/>
    <col min="5391" max="5391" width="7.25" style="67" bestFit="1" customWidth="1"/>
    <col min="5392" max="5632" width="11" style="67"/>
    <col min="5633" max="5633" width="5.125" style="67" bestFit="1" customWidth="1"/>
    <col min="5634" max="5634" width="50" style="67" bestFit="1" customWidth="1"/>
    <col min="5635" max="5635" width="8" style="67" customWidth="1"/>
    <col min="5636" max="5636" width="9" style="67" customWidth="1"/>
    <col min="5637" max="5646" width="8" style="67" customWidth="1"/>
    <col min="5647" max="5647" width="7.25" style="67" bestFit="1" customWidth="1"/>
    <col min="5648" max="5888" width="11" style="67"/>
    <col min="5889" max="5889" width="5.125" style="67" bestFit="1" customWidth="1"/>
    <col min="5890" max="5890" width="50" style="67" bestFit="1" customWidth="1"/>
    <col min="5891" max="5891" width="8" style="67" customWidth="1"/>
    <col min="5892" max="5892" width="9" style="67" customWidth="1"/>
    <col min="5893" max="5902" width="8" style="67" customWidth="1"/>
    <col min="5903" max="5903" width="7.25" style="67" bestFit="1" customWidth="1"/>
    <col min="5904" max="6144" width="11" style="67"/>
    <col min="6145" max="6145" width="5.125" style="67" bestFit="1" customWidth="1"/>
    <col min="6146" max="6146" width="50" style="67" bestFit="1" customWidth="1"/>
    <col min="6147" max="6147" width="8" style="67" customWidth="1"/>
    <col min="6148" max="6148" width="9" style="67" customWidth="1"/>
    <col min="6149" max="6158" width="8" style="67" customWidth="1"/>
    <col min="6159" max="6159" width="7.25" style="67" bestFit="1" customWidth="1"/>
    <col min="6160" max="6400" width="11" style="67"/>
    <col min="6401" max="6401" width="5.125" style="67" bestFit="1" customWidth="1"/>
    <col min="6402" max="6402" width="50" style="67" bestFit="1" customWidth="1"/>
    <col min="6403" max="6403" width="8" style="67" customWidth="1"/>
    <col min="6404" max="6404" width="9" style="67" customWidth="1"/>
    <col min="6405" max="6414" width="8" style="67" customWidth="1"/>
    <col min="6415" max="6415" width="7.25" style="67" bestFit="1" customWidth="1"/>
    <col min="6416" max="6656" width="11" style="67"/>
    <col min="6657" max="6657" width="5.125" style="67" bestFit="1" customWidth="1"/>
    <col min="6658" max="6658" width="50" style="67" bestFit="1" customWidth="1"/>
    <col min="6659" max="6659" width="8" style="67" customWidth="1"/>
    <col min="6660" max="6660" width="9" style="67" customWidth="1"/>
    <col min="6661" max="6670" width="8" style="67" customWidth="1"/>
    <col min="6671" max="6671" width="7.25" style="67" bestFit="1" customWidth="1"/>
    <col min="6672" max="6912" width="11" style="67"/>
    <col min="6913" max="6913" width="5.125" style="67" bestFit="1" customWidth="1"/>
    <col min="6914" max="6914" width="50" style="67" bestFit="1" customWidth="1"/>
    <col min="6915" max="6915" width="8" style="67" customWidth="1"/>
    <col min="6916" max="6916" width="9" style="67" customWidth="1"/>
    <col min="6917" max="6926" width="8" style="67" customWidth="1"/>
    <col min="6927" max="6927" width="7.25" style="67" bestFit="1" customWidth="1"/>
    <col min="6928" max="7168" width="11" style="67"/>
    <col min="7169" max="7169" width="5.125" style="67" bestFit="1" customWidth="1"/>
    <col min="7170" max="7170" width="50" style="67" bestFit="1" customWidth="1"/>
    <col min="7171" max="7171" width="8" style="67" customWidth="1"/>
    <col min="7172" max="7172" width="9" style="67" customWidth="1"/>
    <col min="7173" max="7182" width="8" style="67" customWidth="1"/>
    <col min="7183" max="7183" width="7.25" style="67" bestFit="1" customWidth="1"/>
    <col min="7184" max="7424" width="11" style="67"/>
    <col min="7425" max="7425" width="5.125" style="67" bestFit="1" customWidth="1"/>
    <col min="7426" max="7426" width="50" style="67" bestFit="1" customWidth="1"/>
    <col min="7427" max="7427" width="8" style="67" customWidth="1"/>
    <col min="7428" max="7428" width="9" style="67" customWidth="1"/>
    <col min="7429" max="7438" width="8" style="67" customWidth="1"/>
    <col min="7439" max="7439" width="7.25" style="67" bestFit="1" customWidth="1"/>
    <col min="7440" max="7680" width="11" style="67"/>
    <col min="7681" max="7681" width="5.125" style="67" bestFit="1" customWidth="1"/>
    <col min="7682" max="7682" width="50" style="67" bestFit="1" customWidth="1"/>
    <col min="7683" max="7683" width="8" style="67" customWidth="1"/>
    <col min="7684" max="7684" width="9" style="67" customWidth="1"/>
    <col min="7685" max="7694" width="8" style="67" customWidth="1"/>
    <col min="7695" max="7695" width="7.25" style="67" bestFit="1" customWidth="1"/>
    <col min="7696" max="7936" width="11" style="67"/>
    <col min="7937" max="7937" width="5.125" style="67" bestFit="1" customWidth="1"/>
    <col min="7938" max="7938" width="50" style="67" bestFit="1" customWidth="1"/>
    <col min="7939" max="7939" width="8" style="67" customWidth="1"/>
    <col min="7940" max="7940" width="9" style="67" customWidth="1"/>
    <col min="7941" max="7950" width="8" style="67" customWidth="1"/>
    <col min="7951" max="7951" width="7.25" style="67" bestFit="1" customWidth="1"/>
    <col min="7952" max="8192" width="11" style="67"/>
    <col min="8193" max="8193" width="5.125" style="67" bestFit="1" customWidth="1"/>
    <col min="8194" max="8194" width="50" style="67" bestFit="1" customWidth="1"/>
    <col min="8195" max="8195" width="8" style="67" customWidth="1"/>
    <col min="8196" max="8196" width="9" style="67" customWidth="1"/>
    <col min="8197" max="8206" width="8" style="67" customWidth="1"/>
    <col min="8207" max="8207" width="7.25" style="67" bestFit="1" customWidth="1"/>
    <col min="8208" max="8448" width="11" style="67"/>
    <col min="8449" max="8449" width="5.125" style="67" bestFit="1" customWidth="1"/>
    <col min="8450" max="8450" width="50" style="67" bestFit="1" customWidth="1"/>
    <col min="8451" max="8451" width="8" style="67" customWidth="1"/>
    <col min="8452" max="8452" width="9" style="67" customWidth="1"/>
    <col min="8453" max="8462" width="8" style="67" customWidth="1"/>
    <col min="8463" max="8463" width="7.25" style="67" bestFit="1" customWidth="1"/>
    <col min="8464" max="8704" width="11" style="67"/>
    <col min="8705" max="8705" width="5.125" style="67" bestFit="1" customWidth="1"/>
    <col min="8706" max="8706" width="50" style="67" bestFit="1" customWidth="1"/>
    <col min="8707" max="8707" width="8" style="67" customWidth="1"/>
    <col min="8708" max="8708" width="9" style="67" customWidth="1"/>
    <col min="8709" max="8718" width="8" style="67" customWidth="1"/>
    <col min="8719" max="8719" width="7.25" style="67" bestFit="1" customWidth="1"/>
    <col min="8720" max="8960" width="11" style="67"/>
    <col min="8961" max="8961" width="5.125" style="67" bestFit="1" customWidth="1"/>
    <col min="8962" max="8962" width="50" style="67" bestFit="1" customWidth="1"/>
    <col min="8963" max="8963" width="8" style="67" customWidth="1"/>
    <col min="8964" max="8964" width="9" style="67" customWidth="1"/>
    <col min="8965" max="8974" width="8" style="67" customWidth="1"/>
    <col min="8975" max="8975" width="7.25" style="67" bestFit="1" customWidth="1"/>
    <col min="8976" max="9216" width="11" style="67"/>
    <col min="9217" max="9217" width="5.125" style="67" bestFit="1" customWidth="1"/>
    <col min="9218" max="9218" width="50" style="67" bestFit="1" customWidth="1"/>
    <col min="9219" max="9219" width="8" style="67" customWidth="1"/>
    <col min="9220" max="9220" width="9" style="67" customWidth="1"/>
    <col min="9221" max="9230" width="8" style="67" customWidth="1"/>
    <col min="9231" max="9231" width="7.25" style="67" bestFit="1" customWidth="1"/>
    <col min="9232" max="9472" width="11" style="67"/>
    <col min="9473" max="9473" width="5.125" style="67" bestFit="1" customWidth="1"/>
    <col min="9474" max="9474" width="50" style="67" bestFit="1" customWidth="1"/>
    <col min="9475" max="9475" width="8" style="67" customWidth="1"/>
    <col min="9476" max="9476" width="9" style="67" customWidth="1"/>
    <col min="9477" max="9486" width="8" style="67" customWidth="1"/>
    <col min="9487" max="9487" width="7.25" style="67" bestFit="1" customWidth="1"/>
    <col min="9488" max="9728" width="11" style="67"/>
    <col min="9729" max="9729" width="5.125" style="67" bestFit="1" customWidth="1"/>
    <col min="9730" max="9730" width="50" style="67" bestFit="1" customWidth="1"/>
    <col min="9731" max="9731" width="8" style="67" customWidth="1"/>
    <col min="9732" max="9732" width="9" style="67" customWidth="1"/>
    <col min="9733" max="9742" width="8" style="67" customWidth="1"/>
    <col min="9743" max="9743" width="7.25" style="67" bestFit="1" customWidth="1"/>
    <col min="9744" max="9984" width="11" style="67"/>
    <col min="9985" max="9985" width="5.125" style="67" bestFit="1" customWidth="1"/>
    <col min="9986" max="9986" width="50" style="67" bestFit="1" customWidth="1"/>
    <col min="9987" max="9987" width="8" style="67" customWidth="1"/>
    <col min="9988" max="9988" width="9" style="67" customWidth="1"/>
    <col min="9989" max="9998" width="8" style="67" customWidth="1"/>
    <col min="9999" max="9999" width="7.25" style="67" bestFit="1" customWidth="1"/>
    <col min="10000" max="10240" width="11" style="67"/>
    <col min="10241" max="10241" width="5.125" style="67" bestFit="1" customWidth="1"/>
    <col min="10242" max="10242" width="50" style="67" bestFit="1" customWidth="1"/>
    <col min="10243" max="10243" width="8" style="67" customWidth="1"/>
    <col min="10244" max="10244" width="9" style="67" customWidth="1"/>
    <col min="10245" max="10254" width="8" style="67" customWidth="1"/>
    <col min="10255" max="10255" width="7.25" style="67" bestFit="1" customWidth="1"/>
    <col min="10256" max="10496" width="11" style="67"/>
    <col min="10497" max="10497" width="5.125" style="67" bestFit="1" customWidth="1"/>
    <col min="10498" max="10498" width="50" style="67" bestFit="1" customWidth="1"/>
    <col min="10499" max="10499" width="8" style="67" customWidth="1"/>
    <col min="10500" max="10500" width="9" style="67" customWidth="1"/>
    <col min="10501" max="10510" width="8" style="67" customWidth="1"/>
    <col min="10511" max="10511" width="7.25" style="67" bestFit="1" customWidth="1"/>
    <col min="10512" max="10752" width="11" style="67"/>
    <col min="10753" max="10753" width="5.125" style="67" bestFit="1" customWidth="1"/>
    <col min="10754" max="10754" width="50" style="67" bestFit="1" customWidth="1"/>
    <col min="10755" max="10755" width="8" style="67" customWidth="1"/>
    <col min="10756" max="10756" width="9" style="67" customWidth="1"/>
    <col min="10757" max="10766" width="8" style="67" customWidth="1"/>
    <col min="10767" max="10767" width="7.25" style="67" bestFit="1" customWidth="1"/>
    <col min="10768" max="11008" width="11" style="67"/>
    <col min="11009" max="11009" width="5.125" style="67" bestFit="1" customWidth="1"/>
    <col min="11010" max="11010" width="50" style="67" bestFit="1" customWidth="1"/>
    <col min="11011" max="11011" width="8" style="67" customWidth="1"/>
    <col min="11012" max="11012" width="9" style="67" customWidth="1"/>
    <col min="11013" max="11022" width="8" style="67" customWidth="1"/>
    <col min="11023" max="11023" width="7.25" style="67" bestFit="1" customWidth="1"/>
    <col min="11024" max="11264" width="11" style="67"/>
    <col min="11265" max="11265" width="5.125" style="67" bestFit="1" customWidth="1"/>
    <col min="11266" max="11266" width="50" style="67" bestFit="1" customWidth="1"/>
    <col min="11267" max="11267" width="8" style="67" customWidth="1"/>
    <col min="11268" max="11268" width="9" style="67" customWidth="1"/>
    <col min="11269" max="11278" width="8" style="67" customWidth="1"/>
    <col min="11279" max="11279" width="7.25" style="67" bestFit="1" customWidth="1"/>
    <col min="11280" max="11520" width="11" style="67"/>
    <col min="11521" max="11521" width="5.125" style="67" bestFit="1" customWidth="1"/>
    <col min="11522" max="11522" width="50" style="67" bestFit="1" customWidth="1"/>
    <col min="11523" max="11523" width="8" style="67" customWidth="1"/>
    <col min="11524" max="11524" width="9" style="67" customWidth="1"/>
    <col min="11525" max="11534" width="8" style="67" customWidth="1"/>
    <col min="11535" max="11535" width="7.25" style="67" bestFit="1" customWidth="1"/>
    <col min="11536" max="11776" width="11" style="67"/>
    <col min="11777" max="11777" width="5.125" style="67" bestFit="1" customWidth="1"/>
    <col min="11778" max="11778" width="50" style="67" bestFit="1" customWidth="1"/>
    <col min="11779" max="11779" width="8" style="67" customWidth="1"/>
    <col min="11780" max="11780" width="9" style="67" customWidth="1"/>
    <col min="11781" max="11790" width="8" style="67" customWidth="1"/>
    <col min="11791" max="11791" width="7.25" style="67" bestFit="1" customWidth="1"/>
    <col min="11792" max="12032" width="11" style="67"/>
    <col min="12033" max="12033" width="5.125" style="67" bestFit="1" customWidth="1"/>
    <col min="12034" max="12034" width="50" style="67" bestFit="1" customWidth="1"/>
    <col min="12035" max="12035" width="8" style="67" customWidth="1"/>
    <col min="12036" max="12036" width="9" style="67" customWidth="1"/>
    <col min="12037" max="12046" width="8" style="67" customWidth="1"/>
    <col min="12047" max="12047" width="7.25" style="67" bestFit="1" customWidth="1"/>
    <col min="12048" max="12288" width="11" style="67"/>
    <col min="12289" max="12289" width="5.125" style="67" bestFit="1" customWidth="1"/>
    <col min="12290" max="12290" width="50" style="67" bestFit="1" customWidth="1"/>
    <col min="12291" max="12291" width="8" style="67" customWidth="1"/>
    <col min="12292" max="12292" width="9" style="67" customWidth="1"/>
    <col min="12293" max="12302" width="8" style="67" customWidth="1"/>
    <col min="12303" max="12303" width="7.25" style="67" bestFit="1" customWidth="1"/>
    <col min="12304" max="12544" width="11" style="67"/>
    <col min="12545" max="12545" width="5.125" style="67" bestFit="1" customWidth="1"/>
    <col min="12546" max="12546" width="50" style="67" bestFit="1" customWidth="1"/>
    <col min="12547" max="12547" width="8" style="67" customWidth="1"/>
    <col min="12548" max="12548" width="9" style="67" customWidth="1"/>
    <col min="12549" max="12558" width="8" style="67" customWidth="1"/>
    <col min="12559" max="12559" width="7.25" style="67" bestFit="1" customWidth="1"/>
    <col min="12560" max="12800" width="11" style="67"/>
    <col min="12801" max="12801" width="5.125" style="67" bestFit="1" customWidth="1"/>
    <col min="12802" max="12802" width="50" style="67" bestFit="1" customWidth="1"/>
    <col min="12803" max="12803" width="8" style="67" customWidth="1"/>
    <col min="12804" max="12804" width="9" style="67" customWidth="1"/>
    <col min="12805" max="12814" width="8" style="67" customWidth="1"/>
    <col min="12815" max="12815" width="7.25" style="67" bestFit="1" customWidth="1"/>
    <col min="12816" max="13056" width="11" style="67"/>
    <col min="13057" max="13057" width="5.125" style="67" bestFit="1" customWidth="1"/>
    <col min="13058" max="13058" width="50" style="67" bestFit="1" customWidth="1"/>
    <col min="13059" max="13059" width="8" style="67" customWidth="1"/>
    <col min="13060" max="13060" width="9" style="67" customWidth="1"/>
    <col min="13061" max="13070" width="8" style="67" customWidth="1"/>
    <col min="13071" max="13071" width="7.25" style="67" bestFit="1" customWidth="1"/>
    <col min="13072" max="13312" width="11" style="67"/>
    <col min="13313" max="13313" width="5.125" style="67" bestFit="1" customWidth="1"/>
    <col min="13314" max="13314" width="50" style="67" bestFit="1" customWidth="1"/>
    <col min="13315" max="13315" width="8" style="67" customWidth="1"/>
    <col min="13316" max="13316" width="9" style="67" customWidth="1"/>
    <col min="13317" max="13326" width="8" style="67" customWidth="1"/>
    <col min="13327" max="13327" width="7.25" style="67" bestFit="1" customWidth="1"/>
    <col min="13328" max="13568" width="11" style="67"/>
    <col min="13569" max="13569" width="5.125" style="67" bestFit="1" customWidth="1"/>
    <col min="13570" max="13570" width="50" style="67" bestFit="1" customWidth="1"/>
    <col min="13571" max="13571" width="8" style="67" customWidth="1"/>
    <col min="13572" max="13572" width="9" style="67" customWidth="1"/>
    <col min="13573" max="13582" width="8" style="67" customWidth="1"/>
    <col min="13583" max="13583" width="7.25" style="67" bestFit="1" customWidth="1"/>
    <col min="13584" max="13824" width="11" style="67"/>
    <col min="13825" max="13825" width="5.125" style="67" bestFit="1" customWidth="1"/>
    <col min="13826" max="13826" width="50" style="67" bestFit="1" customWidth="1"/>
    <col min="13827" max="13827" width="8" style="67" customWidth="1"/>
    <col min="13828" max="13828" width="9" style="67" customWidth="1"/>
    <col min="13829" max="13838" width="8" style="67" customWidth="1"/>
    <col min="13839" max="13839" width="7.25" style="67" bestFit="1" customWidth="1"/>
    <col min="13840" max="14080" width="11" style="67"/>
    <col min="14081" max="14081" width="5.125" style="67" bestFit="1" customWidth="1"/>
    <col min="14082" max="14082" width="50" style="67" bestFit="1" customWidth="1"/>
    <col min="14083" max="14083" width="8" style="67" customWidth="1"/>
    <col min="14084" max="14084" width="9" style="67" customWidth="1"/>
    <col min="14085" max="14094" width="8" style="67" customWidth="1"/>
    <col min="14095" max="14095" width="7.25" style="67" bestFit="1" customWidth="1"/>
    <col min="14096" max="14336" width="11" style="67"/>
    <col min="14337" max="14337" width="5.125" style="67" bestFit="1" customWidth="1"/>
    <col min="14338" max="14338" width="50" style="67" bestFit="1" customWidth="1"/>
    <col min="14339" max="14339" width="8" style="67" customWidth="1"/>
    <col min="14340" max="14340" width="9" style="67" customWidth="1"/>
    <col min="14341" max="14350" width="8" style="67" customWidth="1"/>
    <col min="14351" max="14351" width="7.25" style="67" bestFit="1" customWidth="1"/>
    <col min="14352" max="14592" width="11" style="67"/>
    <col min="14593" max="14593" width="5.125" style="67" bestFit="1" customWidth="1"/>
    <col min="14594" max="14594" width="50" style="67" bestFit="1" customWidth="1"/>
    <col min="14595" max="14595" width="8" style="67" customWidth="1"/>
    <col min="14596" max="14596" width="9" style="67" customWidth="1"/>
    <col min="14597" max="14606" width="8" style="67" customWidth="1"/>
    <col min="14607" max="14607" width="7.25" style="67" bestFit="1" customWidth="1"/>
    <col min="14608" max="14848" width="11" style="67"/>
    <col min="14849" max="14849" width="5.125" style="67" bestFit="1" customWidth="1"/>
    <col min="14850" max="14850" width="50" style="67" bestFit="1" customWidth="1"/>
    <col min="14851" max="14851" width="8" style="67" customWidth="1"/>
    <col min="14852" max="14852" width="9" style="67" customWidth="1"/>
    <col min="14853" max="14862" width="8" style="67" customWidth="1"/>
    <col min="14863" max="14863" width="7.25" style="67" bestFit="1" customWidth="1"/>
    <col min="14864" max="15104" width="11" style="67"/>
    <col min="15105" max="15105" width="5.125" style="67" bestFit="1" customWidth="1"/>
    <col min="15106" max="15106" width="50" style="67" bestFit="1" customWidth="1"/>
    <col min="15107" max="15107" width="8" style="67" customWidth="1"/>
    <col min="15108" max="15108" width="9" style="67" customWidth="1"/>
    <col min="15109" max="15118" width="8" style="67" customWidth="1"/>
    <col min="15119" max="15119" width="7.25" style="67" bestFit="1" customWidth="1"/>
    <col min="15120" max="15360" width="11" style="67"/>
    <col min="15361" max="15361" width="5.125" style="67" bestFit="1" customWidth="1"/>
    <col min="15362" max="15362" width="50" style="67" bestFit="1" customWidth="1"/>
    <col min="15363" max="15363" width="8" style="67" customWidth="1"/>
    <col min="15364" max="15364" width="9" style="67" customWidth="1"/>
    <col min="15365" max="15374" width="8" style="67" customWidth="1"/>
    <col min="15375" max="15375" width="7.25" style="67" bestFit="1" customWidth="1"/>
    <col min="15376" max="15616" width="11" style="67"/>
    <col min="15617" max="15617" width="5.125" style="67" bestFit="1" customWidth="1"/>
    <col min="15618" max="15618" width="50" style="67" bestFit="1" customWidth="1"/>
    <col min="15619" max="15619" width="8" style="67" customWidth="1"/>
    <col min="15620" max="15620" width="9" style="67" customWidth="1"/>
    <col min="15621" max="15630" width="8" style="67" customWidth="1"/>
    <col min="15631" max="15631" width="7.25" style="67" bestFit="1" customWidth="1"/>
    <col min="15632" max="15872" width="11" style="67"/>
    <col min="15873" max="15873" width="5.125" style="67" bestFit="1" customWidth="1"/>
    <col min="15874" max="15874" width="50" style="67" bestFit="1" customWidth="1"/>
    <col min="15875" max="15875" width="8" style="67" customWidth="1"/>
    <col min="15876" max="15876" width="9" style="67" customWidth="1"/>
    <col min="15877" max="15886" width="8" style="67" customWidth="1"/>
    <col min="15887" max="15887" width="7.25" style="67" bestFit="1" customWidth="1"/>
    <col min="15888" max="16128" width="11" style="67"/>
    <col min="16129" max="16129" width="5.125" style="67" bestFit="1" customWidth="1"/>
    <col min="16130" max="16130" width="50" style="67" bestFit="1" customWidth="1"/>
    <col min="16131" max="16131" width="8" style="67" customWidth="1"/>
    <col min="16132" max="16132" width="9" style="67" customWidth="1"/>
    <col min="16133" max="16142" width="8" style="67" customWidth="1"/>
    <col min="16143" max="16143" width="7.25" style="67" bestFit="1" customWidth="1"/>
    <col min="16144" max="16384" width="11" style="67"/>
  </cols>
  <sheetData>
    <row r="1" spans="1:21" ht="18.350000000000001" x14ac:dyDescent="0.3">
      <c r="A1" s="633" t="s">
        <v>3628</v>
      </c>
      <c r="B1" s="634"/>
      <c r="C1" s="634"/>
      <c r="D1" s="634"/>
      <c r="E1" s="634"/>
      <c r="F1" s="634"/>
      <c r="G1" s="634"/>
      <c r="H1" s="634"/>
      <c r="I1" s="634"/>
      <c r="J1" s="634"/>
      <c r="K1" s="634"/>
      <c r="L1" s="634"/>
      <c r="M1" s="634"/>
      <c r="N1" s="634"/>
      <c r="O1" s="635"/>
      <c r="P1" s="223"/>
    </row>
    <row r="2" spans="1:21" ht="15.65" x14ac:dyDescent="0.25">
      <c r="A2" s="636" t="s">
        <v>3546</v>
      </c>
      <c r="B2" s="637"/>
      <c r="C2" s="637"/>
      <c r="D2" s="637"/>
      <c r="E2" s="637"/>
      <c r="F2" s="637"/>
      <c r="G2" s="637"/>
      <c r="H2" s="637"/>
      <c r="I2" s="637"/>
      <c r="J2" s="637"/>
      <c r="K2" s="637"/>
      <c r="L2" s="637"/>
      <c r="M2" s="637"/>
      <c r="N2" s="637"/>
      <c r="O2" s="638"/>
      <c r="P2" s="223"/>
    </row>
    <row r="3" spans="1:21" ht="14.3" x14ac:dyDescent="0.25">
      <c r="C3" s="644" t="s">
        <v>3629</v>
      </c>
      <c r="D3" s="645"/>
      <c r="E3" s="645"/>
      <c r="F3" s="645"/>
      <c r="G3" s="645"/>
      <c r="H3" s="645"/>
      <c r="I3" s="645"/>
      <c r="J3" s="645"/>
      <c r="K3" s="645"/>
      <c r="L3" s="645"/>
      <c r="M3" s="645"/>
      <c r="N3" s="645"/>
      <c r="O3" s="646"/>
      <c r="Q3" s="647"/>
      <c r="R3" s="647"/>
      <c r="S3" s="647"/>
      <c r="T3" s="647"/>
      <c r="U3" s="647"/>
    </row>
    <row r="4" spans="1:21" ht="17.7" x14ac:dyDescent="0.2">
      <c r="A4" s="225" t="s">
        <v>3548</v>
      </c>
      <c r="B4" s="225" t="s">
        <v>3549</v>
      </c>
      <c r="C4" s="226" t="s">
        <v>9</v>
      </c>
      <c r="D4" s="226" t="s">
        <v>130</v>
      </c>
      <c r="E4" s="226" t="s">
        <v>321</v>
      </c>
      <c r="F4" s="226" t="s">
        <v>3550</v>
      </c>
      <c r="G4" s="226" t="s">
        <v>2145</v>
      </c>
      <c r="H4" s="226" t="s">
        <v>835</v>
      </c>
      <c r="I4" s="227" t="s">
        <v>2146</v>
      </c>
      <c r="J4" s="227" t="s">
        <v>2147</v>
      </c>
      <c r="K4" s="227" t="s">
        <v>2148</v>
      </c>
      <c r="L4" s="227" t="s">
        <v>2149</v>
      </c>
      <c r="M4" s="227" t="s">
        <v>3551</v>
      </c>
      <c r="N4" s="227" t="s">
        <v>2151</v>
      </c>
      <c r="O4" s="228" t="s">
        <v>2152</v>
      </c>
    </row>
    <row r="5" spans="1:21" x14ac:dyDescent="0.2">
      <c r="A5" s="230" t="s">
        <v>3552</v>
      </c>
      <c r="B5" s="230" t="s">
        <v>3553</v>
      </c>
      <c r="C5" s="231"/>
      <c r="D5" s="231"/>
      <c r="E5" s="231"/>
      <c r="F5" s="231"/>
      <c r="G5" s="231"/>
      <c r="H5" s="231"/>
      <c r="I5" s="231"/>
      <c r="J5" s="231"/>
      <c r="K5" s="231"/>
      <c r="L5" s="231"/>
      <c r="M5" s="231"/>
      <c r="N5" s="231"/>
      <c r="O5" s="231"/>
      <c r="P5" s="648"/>
      <c r="Q5" s="647"/>
      <c r="R5" s="647"/>
    </row>
    <row r="6" spans="1:21" ht="13.6" x14ac:dyDescent="0.2">
      <c r="A6" s="232">
        <v>1</v>
      </c>
      <c r="B6" s="233" t="s">
        <v>3554</v>
      </c>
      <c r="C6" s="234">
        <v>2</v>
      </c>
      <c r="D6" s="234">
        <v>2</v>
      </c>
      <c r="E6" s="234">
        <v>1</v>
      </c>
      <c r="F6" s="234"/>
      <c r="G6" s="234"/>
      <c r="H6" s="234">
        <v>1</v>
      </c>
      <c r="I6" s="234">
        <v>3</v>
      </c>
      <c r="J6" s="234">
        <v>2</v>
      </c>
      <c r="K6" s="234">
        <v>2</v>
      </c>
      <c r="L6" s="234"/>
      <c r="M6" s="234"/>
      <c r="N6" s="234">
        <v>2</v>
      </c>
      <c r="O6" s="235">
        <f>SUM(C6:N6)</f>
        <v>15</v>
      </c>
      <c r="P6" s="223"/>
      <c r="Q6" s="261"/>
    </row>
    <row r="7" spans="1:21" ht="13.6" x14ac:dyDescent="0.2">
      <c r="A7" s="232">
        <v>2</v>
      </c>
      <c r="B7" s="233" t="s">
        <v>3555</v>
      </c>
      <c r="C7" s="234">
        <v>3</v>
      </c>
      <c r="D7" s="234">
        <v>5</v>
      </c>
      <c r="E7" s="234"/>
      <c r="F7" s="234"/>
      <c r="G7" s="234"/>
      <c r="H7" s="234"/>
      <c r="I7" s="234"/>
      <c r="J7" s="234">
        <v>7</v>
      </c>
      <c r="K7" s="234" t="s">
        <v>3543</v>
      </c>
      <c r="L7" s="234">
        <v>1</v>
      </c>
      <c r="M7" s="234"/>
      <c r="N7" s="234"/>
      <c r="O7" s="235">
        <f t="shared" ref="O7:O16" si="0">SUM(C7:N7)</f>
        <v>16</v>
      </c>
      <c r="P7" s="223"/>
    </row>
    <row r="8" spans="1:21" ht="13.6" x14ac:dyDescent="0.2">
      <c r="A8" s="232">
        <v>3</v>
      </c>
      <c r="B8" s="233" t="s">
        <v>3556</v>
      </c>
      <c r="C8" s="234"/>
      <c r="D8" s="234">
        <v>2</v>
      </c>
      <c r="E8" s="234"/>
      <c r="F8" s="234"/>
      <c r="G8" s="234"/>
      <c r="H8" s="234">
        <v>1</v>
      </c>
      <c r="I8" s="234">
        <v>3</v>
      </c>
      <c r="J8" s="234">
        <v>4</v>
      </c>
      <c r="K8" s="234"/>
      <c r="L8" s="234"/>
      <c r="M8" s="234"/>
      <c r="N8" s="234">
        <v>3</v>
      </c>
      <c r="O8" s="235">
        <f t="shared" si="0"/>
        <v>13</v>
      </c>
      <c r="P8" s="223"/>
    </row>
    <row r="9" spans="1:21" ht="13.6" x14ac:dyDescent="0.2">
      <c r="A9" s="232">
        <v>4</v>
      </c>
      <c r="B9" s="233" t="s">
        <v>3557</v>
      </c>
      <c r="C9" s="234"/>
      <c r="D9" s="234">
        <v>1</v>
      </c>
      <c r="E9" s="234"/>
      <c r="F9" s="234"/>
      <c r="G9" s="234">
        <v>1</v>
      </c>
      <c r="H9" s="234"/>
      <c r="I9" s="234">
        <v>1</v>
      </c>
      <c r="J9" s="234"/>
      <c r="K9" s="234"/>
      <c r="L9" s="234"/>
      <c r="M9" s="234"/>
      <c r="N9" s="234"/>
      <c r="O9" s="235">
        <f t="shared" si="0"/>
        <v>3</v>
      </c>
      <c r="P9" s="223"/>
    </row>
    <row r="10" spans="1:21" ht="13.6" x14ac:dyDescent="0.2">
      <c r="A10" s="232">
        <v>5</v>
      </c>
      <c r="B10" s="233" t="s">
        <v>3558</v>
      </c>
      <c r="C10" s="234"/>
      <c r="D10" s="234"/>
      <c r="E10" s="234"/>
      <c r="F10" s="234"/>
      <c r="G10" s="234"/>
      <c r="H10" s="234"/>
      <c r="I10" s="234"/>
      <c r="J10" s="234"/>
      <c r="K10" s="234"/>
      <c r="L10" s="234"/>
      <c r="M10" s="234"/>
      <c r="N10" s="234"/>
      <c r="O10" s="235">
        <f t="shared" si="0"/>
        <v>0</v>
      </c>
      <c r="P10" s="223"/>
    </row>
    <row r="11" spans="1:21" ht="13.6" x14ac:dyDescent="0.2">
      <c r="A11" s="232">
        <v>6</v>
      </c>
      <c r="B11" s="233" t="s">
        <v>3559</v>
      </c>
      <c r="C11" s="234"/>
      <c r="D11" s="234"/>
      <c r="E11" s="234"/>
      <c r="F11" s="234"/>
      <c r="G11" s="234"/>
      <c r="H11" s="234"/>
      <c r="I11" s="234"/>
      <c r="J11" s="234"/>
      <c r="K11" s="234"/>
      <c r="L11" s="234"/>
      <c r="M11" s="234"/>
      <c r="N11" s="234"/>
      <c r="O11" s="235">
        <f t="shared" si="0"/>
        <v>0</v>
      </c>
    </row>
    <row r="12" spans="1:21" ht="13.6" x14ac:dyDescent="0.2">
      <c r="A12" s="232">
        <v>7</v>
      </c>
      <c r="B12" s="233" t="s">
        <v>3560</v>
      </c>
      <c r="C12" s="234"/>
      <c r="D12" s="234"/>
      <c r="E12" s="234"/>
      <c r="F12" s="234"/>
      <c r="G12" s="234"/>
      <c r="H12" s="234"/>
      <c r="I12" s="234"/>
      <c r="J12" s="234"/>
      <c r="K12" s="234"/>
      <c r="L12" s="234"/>
      <c r="M12" s="234"/>
      <c r="N12" s="234"/>
      <c r="O12" s="235">
        <f t="shared" si="0"/>
        <v>0</v>
      </c>
      <c r="P12" s="223"/>
    </row>
    <row r="13" spans="1:21" ht="13.6" x14ac:dyDescent="0.2">
      <c r="A13" s="232">
        <v>8</v>
      </c>
      <c r="B13" s="233" t="s">
        <v>3561</v>
      </c>
      <c r="C13" s="234"/>
      <c r="D13" s="234"/>
      <c r="E13" s="234">
        <v>1</v>
      </c>
      <c r="F13" s="234"/>
      <c r="G13" s="234"/>
      <c r="H13" s="234"/>
      <c r="I13" s="234"/>
      <c r="J13" s="234"/>
      <c r="K13" s="234"/>
      <c r="L13" s="234"/>
      <c r="M13" s="234">
        <v>1</v>
      </c>
      <c r="N13" s="234"/>
      <c r="O13" s="235">
        <f t="shared" si="0"/>
        <v>2</v>
      </c>
    </row>
    <row r="14" spans="1:21" ht="13.6" x14ac:dyDescent="0.2">
      <c r="A14" s="232">
        <v>9</v>
      </c>
      <c r="B14" s="233" t="s">
        <v>3562</v>
      </c>
      <c r="C14" s="234"/>
      <c r="D14" s="234"/>
      <c r="E14" s="234"/>
      <c r="F14" s="234"/>
      <c r="G14" s="234"/>
      <c r="H14" s="234">
        <v>1</v>
      </c>
      <c r="I14" s="234"/>
      <c r="J14" s="234"/>
      <c r="K14" s="234"/>
      <c r="L14" s="234"/>
      <c r="M14" s="234"/>
      <c r="N14" s="234"/>
      <c r="O14" s="235">
        <f t="shared" si="0"/>
        <v>1</v>
      </c>
    </row>
    <row r="15" spans="1:21" ht="13.6" x14ac:dyDescent="0.2">
      <c r="A15" s="232">
        <v>10</v>
      </c>
      <c r="B15" s="233" t="s">
        <v>3563</v>
      </c>
      <c r="C15" s="234"/>
      <c r="D15" s="234"/>
      <c r="E15" s="234"/>
      <c r="F15" s="234"/>
      <c r="G15" s="234"/>
      <c r="H15" s="234"/>
      <c r="I15" s="234"/>
      <c r="J15" s="234"/>
      <c r="K15" s="234"/>
      <c r="L15" s="234"/>
      <c r="M15" s="234"/>
      <c r="N15" s="234"/>
      <c r="O15" s="235">
        <f t="shared" si="0"/>
        <v>0</v>
      </c>
    </row>
    <row r="16" spans="1:21" ht="13.6" x14ac:dyDescent="0.2">
      <c r="A16" s="232">
        <v>11</v>
      </c>
      <c r="B16" s="233" t="s">
        <v>3564</v>
      </c>
      <c r="C16" s="234">
        <v>1</v>
      </c>
      <c r="D16" s="234"/>
      <c r="E16" s="234"/>
      <c r="F16" s="234"/>
      <c r="G16" s="234"/>
      <c r="H16" s="234"/>
      <c r="I16" s="234"/>
      <c r="J16" s="234"/>
      <c r="K16" s="234"/>
      <c r="L16" s="234"/>
      <c r="M16" s="234">
        <v>1</v>
      </c>
      <c r="N16" s="234"/>
      <c r="O16" s="235">
        <f t="shared" si="0"/>
        <v>2</v>
      </c>
    </row>
    <row r="17" spans="1:15" x14ac:dyDescent="0.2">
      <c r="A17" s="237"/>
      <c r="B17" s="238" t="s">
        <v>3565</v>
      </c>
      <c r="C17" s="239">
        <f>SUM(C6:C16)</f>
        <v>6</v>
      </c>
      <c r="D17" s="239">
        <f t="shared" ref="D17:N17" si="1">SUM(D6:D16)</f>
        <v>10</v>
      </c>
      <c r="E17" s="239">
        <f t="shared" si="1"/>
        <v>2</v>
      </c>
      <c r="F17" s="239">
        <f t="shared" si="1"/>
        <v>0</v>
      </c>
      <c r="G17" s="239">
        <f t="shared" si="1"/>
        <v>1</v>
      </c>
      <c r="H17" s="239">
        <f t="shared" si="1"/>
        <v>3</v>
      </c>
      <c r="I17" s="239">
        <f t="shared" si="1"/>
        <v>7</v>
      </c>
      <c r="J17" s="239">
        <f t="shared" si="1"/>
        <v>13</v>
      </c>
      <c r="K17" s="239">
        <f t="shared" si="1"/>
        <v>2</v>
      </c>
      <c r="L17" s="239">
        <f t="shared" si="1"/>
        <v>1</v>
      </c>
      <c r="M17" s="239">
        <f t="shared" si="1"/>
        <v>2</v>
      </c>
      <c r="N17" s="239">
        <f t="shared" si="1"/>
        <v>5</v>
      </c>
      <c r="O17" s="239">
        <f>SUM(O6:O16)</f>
        <v>52</v>
      </c>
    </row>
    <row r="18" spans="1:15" ht="13.6" x14ac:dyDescent="0.2">
      <c r="A18" s="240" t="s">
        <v>3566</v>
      </c>
      <c r="B18" s="241" t="s">
        <v>3567</v>
      </c>
      <c r="C18" s="649"/>
      <c r="D18" s="650"/>
      <c r="E18" s="650"/>
      <c r="F18" s="650"/>
      <c r="G18" s="650"/>
      <c r="H18" s="650"/>
      <c r="I18" s="650"/>
      <c r="J18" s="650"/>
      <c r="K18" s="650"/>
      <c r="L18" s="650"/>
      <c r="M18" s="650"/>
      <c r="N18" s="650"/>
      <c r="O18" s="651"/>
    </row>
    <row r="19" spans="1:15" ht="27.2" x14ac:dyDescent="0.2">
      <c r="A19" s="232">
        <v>12</v>
      </c>
      <c r="B19" s="242" t="s">
        <v>3568</v>
      </c>
      <c r="C19" s="234"/>
      <c r="D19" s="234">
        <v>3</v>
      </c>
      <c r="E19" s="234"/>
      <c r="F19" s="234">
        <v>1</v>
      </c>
      <c r="G19" s="234"/>
      <c r="H19" s="234"/>
      <c r="I19" s="234"/>
      <c r="J19" s="234"/>
      <c r="K19" s="234"/>
      <c r="L19" s="234"/>
      <c r="M19" s="234"/>
      <c r="N19" s="234"/>
      <c r="O19" s="235">
        <f>SUM(C19:N19)</f>
        <v>4</v>
      </c>
    </row>
    <row r="20" spans="1:15" ht="13.6" x14ac:dyDescent="0.2">
      <c r="A20" s="232">
        <v>13</v>
      </c>
      <c r="B20" s="233" t="s">
        <v>3569</v>
      </c>
      <c r="C20" s="234"/>
      <c r="D20" s="234"/>
      <c r="E20" s="234"/>
      <c r="F20" s="234"/>
      <c r="G20" s="234"/>
      <c r="H20" s="234"/>
      <c r="I20" s="234"/>
      <c r="J20" s="234"/>
      <c r="K20" s="234"/>
      <c r="L20" s="234"/>
      <c r="M20" s="234"/>
      <c r="N20" s="234"/>
      <c r="O20" s="235">
        <f t="shared" ref="O20:O32" si="2">SUM(C20:N20)</f>
        <v>0</v>
      </c>
    </row>
    <row r="21" spans="1:15" ht="13.6" x14ac:dyDescent="0.2">
      <c r="A21" s="232">
        <v>14</v>
      </c>
      <c r="B21" s="233" t="s">
        <v>3570</v>
      </c>
      <c r="C21" s="234"/>
      <c r="D21" s="234">
        <v>2</v>
      </c>
      <c r="E21" s="234">
        <v>1</v>
      </c>
      <c r="F21" s="234"/>
      <c r="G21" s="234"/>
      <c r="H21" s="234"/>
      <c r="I21" s="234"/>
      <c r="J21" s="234">
        <v>1</v>
      </c>
      <c r="K21" s="234">
        <v>3</v>
      </c>
      <c r="L21" s="234"/>
      <c r="M21" s="234"/>
      <c r="N21" s="234"/>
      <c r="O21" s="235">
        <f t="shared" si="2"/>
        <v>7</v>
      </c>
    </row>
    <row r="22" spans="1:15" ht="13.6" x14ac:dyDescent="0.2">
      <c r="A22" s="232">
        <v>15</v>
      </c>
      <c r="B22" s="233" t="s">
        <v>3571</v>
      </c>
      <c r="C22" s="234"/>
      <c r="D22" s="234"/>
      <c r="E22" s="234"/>
      <c r="F22" s="234"/>
      <c r="G22" s="234"/>
      <c r="H22" s="234"/>
      <c r="I22" s="234"/>
      <c r="J22" s="234"/>
      <c r="K22" s="234"/>
      <c r="L22" s="234"/>
      <c r="M22" s="234"/>
      <c r="N22" s="234"/>
      <c r="O22" s="235">
        <f t="shared" si="2"/>
        <v>0</v>
      </c>
    </row>
    <row r="23" spans="1:15" ht="13.6" x14ac:dyDescent="0.2">
      <c r="A23" s="232">
        <v>16</v>
      </c>
      <c r="B23" s="233" t="s">
        <v>3572</v>
      </c>
      <c r="C23" s="234"/>
      <c r="D23" s="234"/>
      <c r="E23" s="234"/>
      <c r="F23" s="234"/>
      <c r="G23" s="234"/>
      <c r="H23" s="234"/>
      <c r="I23" s="234"/>
      <c r="J23" s="234"/>
      <c r="K23" s="234"/>
      <c r="L23" s="234"/>
      <c r="M23" s="234"/>
      <c r="N23" s="234"/>
      <c r="O23" s="235">
        <f t="shared" si="2"/>
        <v>0</v>
      </c>
    </row>
    <row r="24" spans="1:15" ht="13.6" x14ac:dyDescent="0.2">
      <c r="A24" s="232">
        <v>17</v>
      </c>
      <c r="B24" s="233" t="s">
        <v>3573</v>
      </c>
      <c r="C24" s="234"/>
      <c r="D24" s="234" t="s">
        <v>3543</v>
      </c>
      <c r="E24" s="234">
        <v>1</v>
      </c>
      <c r="F24" s="234"/>
      <c r="G24" s="234"/>
      <c r="H24" s="234"/>
      <c r="I24" s="234"/>
      <c r="J24" s="234"/>
      <c r="K24" s="234"/>
      <c r="L24" s="234"/>
      <c r="M24" s="234"/>
      <c r="N24" s="234"/>
      <c r="O24" s="235">
        <f t="shared" si="2"/>
        <v>1</v>
      </c>
    </row>
    <row r="25" spans="1:15" ht="13.6" x14ac:dyDescent="0.2">
      <c r="A25" s="232">
        <v>18</v>
      </c>
      <c r="B25" s="233" t="s">
        <v>3574</v>
      </c>
      <c r="C25" s="234"/>
      <c r="D25" s="234"/>
      <c r="E25" s="234"/>
      <c r="F25" s="234"/>
      <c r="G25" s="234"/>
      <c r="H25" s="234"/>
      <c r="I25" s="234"/>
      <c r="J25" s="234"/>
      <c r="K25" s="234"/>
      <c r="L25" s="234"/>
      <c r="M25" s="234"/>
      <c r="N25" s="234"/>
      <c r="O25" s="235">
        <f t="shared" si="2"/>
        <v>0</v>
      </c>
    </row>
    <row r="26" spans="1:15" ht="13.6" x14ac:dyDescent="0.2">
      <c r="A26" s="232">
        <v>19</v>
      </c>
      <c r="B26" s="233" t="s">
        <v>3575</v>
      </c>
      <c r="C26" s="234"/>
      <c r="D26" s="234" t="s">
        <v>3543</v>
      </c>
      <c r="E26" s="234">
        <v>1</v>
      </c>
      <c r="F26" s="234" t="s">
        <v>3543</v>
      </c>
      <c r="G26" s="234"/>
      <c r="H26" s="234"/>
      <c r="I26" s="234"/>
      <c r="J26" s="234"/>
      <c r="K26" s="234"/>
      <c r="L26" s="234"/>
      <c r="M26" s="234"/>
      <c r="N26" s="234"/>
      <c r="O26" s="235">
        <f t="shared" si="2"/>
        <v>1</v>
      </c>
    </row>
    <row r="27" spans="1:15" ht="13.6" x14ac:dyDescent="0.2">
      <c r="A27" s="232">
        <v>20</v>
      </c>
      <c r="B27" s="233" t="s">
        <v>3576</v>
      </c>
      <c r="C27" s="234"/>
      <c r="D27" s="234"/>
      <c r="E27" s="234"/>
      <c r="F27" s="234"/>
      <c r="G27" s="234"/>
      <c r="H27" s="234"/>
      <c r="I27" s="234">
        <v>1</v>
      </c>
      <c r="J27" s="234"/>
      <c r="K27" s="234"/>
      <c r="L27" s="234"/>
      <c r="M27" s="234"/>
      <c r="N27" s="234"/>
      <c r="O27" s="235">
        <f t="shared" si="2"/>
        <v>1</v>
      </c>
    </row>
    <row r="28" spans="1:15" ht="13.6" x14ac:dyDescent="0.2">
      <c r="A28" s="232">
        <v>21</v>
      </c>
      <c r="B28" s="233" t="s">
        <v>3577</v>
      </c>
      <c r="C28" s="234"/>
      <c r="D28" s="234"/>
      <c r="E28" s="234"/>
      <c r="F28" s="234"/>
      <c r="G28" s="234"/>
      <c r="H28" s="234"/>
      <c r="I28" s="234"/>
      <c r="J28" s="234"/>
      <c r="K28" s="234"/>
      <c r="L28" s="234"/>
      <c r="M28" s="234"/>
      <c r="N28" s="234"/>
      <c r="O28" s="235">
        <f t="shared" si="2"/>
        <v>0</v>
      </c>
    </row>
    <row r="29" spans="1:15" ht="13.6" x14ac:dyDescent="0.2">
      <c r="A29" s="232">
        <v>22</v>
      </c>
      <c r="B29" s="233" t="s">
        <v>3578</v>
      </c>
      <c r="C29" s="234"/>
      <c r="D29" s="234"/>
      <c r="E29" s="234"/>
      <c r="F29" s="234"/>
      <c r="G29" s="234"/>
      <c r="H29" s="234"/>
      <c r="I29" s="234"/>
      <c r="J29" s="234"/>
      <c r="K29" s="234"/>
      <c r="L29" s="234"/>
      <c r="M29" s="234"/>
      <c r="N29" s="234"/>
      <c r="O29" s="235">
        <f t="shared" si="2"/>
        <v>0</v>
      </c>
    </row>
    <row r="30" spans="1:15" ht="13.6" x14ac:dyDescent="0.2">
      <c r="A30" s="232">
        <v>23</v>
      </c>
      <c r="B30" s="233" t="s">
        <v>3579</v>
      </c>
      <c r="C30" s="234"/>
      <c r="D30" s="234"/>
      <c r="E30" s="234"/>
      <c r="F30" s="234"/>
      <c r="G30" s="234"/>
      <c r="H30" s="234"/>
      <c r="I30" s="234"/>
      <c r="J30" s="234"/>
      <c r="K30" s="234"/>
      <c r="L30" s="234"/>
      <c r="M30" s="234"/>
      <c r="N30" s="234"/>
      <c r="O30" s="235">
        <f t="shared" si="2"/>
        <v>0</v>
      </c>
    </row>
    <row r="31" spans="1:15" ht="13.6" x14ac:dyDescent="0.2">
      <c r="A31" s="232">
        <v>24</v>
      </c>
      <c r="B31" s="233" t="s">
        <v>3580</v>
      </c>
      <c r="C31" s="234"/>
      <c r="D31" s="234"/>
      <c r="E31" s="234"/>
      <c r="F31" s="234"/>
      <c r="G31" s="234"/>
      <c r="H31" s="234"/>
      <c r="I31" s="234"/>
      <c r="J31" s="234"/>
      <c r="K31" s="234"/>
      <c r="L31" s="234"/>
      <c r="M31" s="234"/>
      <c r="N31" s="234"/>
      <c r="O31" s="235">
        <f t="shared" si="2"/>
        <v>0</v>
      </c>
    </row>
    <row r="32" spans="1:15" ht="13.6" x14ac:dyDescent="0.2">
      <c r="A32" s="232">
        <v>25</v>
      </c>
      <c r="B32" s="233" t="s">
        <v>3581</v>
      </c>
      <c r="C32" s="234"/>
      <c r="D32" s="234"/>
      <c r="E32" s="234"/>
      <c r="F32" s="234"/>
      <c r="G32" s="234"/>
      <c r="H32" s="234"/>
      <c r="I32" s="234"/>
      <c r="J32" s="234"/>
      <c r="K32" s="234">
        <v>1</v>
      </c>
      <c r="L32" s="234"/>
      <c r="M32" s="234"/>
      <c r="N32" s="234"/>
      <c r="O32" s="235">
        <f t="shared" si="2"/>
        <v>1</v>
      </c>
    </row>
    <row r="33" spans="1:16" x14ac:dyDescent="0.2">
      <c r="A33" s="243"/>
      <c r="B33" s="238" t="s">
        <v>3565</v>
      </c>
      <c r="C33" s="239">
        <f>SUM(C19:C32)</f>
        <v>0</v>
      </c>
      <c r="D33" s="239">
        <f t="shared" ref="D33:N33" si="3">SUM(D19:D32)</f>
        <v>5</v>
      </c>
      <c r="E33" s="239">
        <f t="shared" si="3"/>
        <v>3</v>
      </c>
      <c r="F33" s="239">
        <f t="shared" si="3"/>
        <v>1</v>
      </c>
      <c r="G33" s="239">
        <f t="shared" si="3"/>
        <v>0</v>
      </c>
      <c r="H33" s="239">
        <f t="shared" si="3"/>
        <v>0</v>
      </c>
      <c r="I33" s="239">
        <f t="shared" si="3"/>
        <v>1</v>
      </c>
      <c r="J33" s="239">
        <f t="shared" si="3"/>
        <v>1</v>
      </c>
      <c r="K33" s="239">
        <f t="shared" si="3"/>
        <v>4</v>
      </c>
      <c r="L33" s="239">
        <f t="shared" si="3"/>
        <v>0</v>
      </c>
      <c r="M33" s="239">
        <f t="shared" si="3"/>
        <v>0</v>
      </c>
      <c r="N33" s="239">
        <f t="shared" si="3"/>
        <v>0</v>
      </c>
      <c r="O33" s="239">
        <f>SUM(O19:O32)</f>
        <v>15</v>
      </c>
    </row>
    <row r="34" spans="1:16" ht="14.3" x14ac:dyDescent="0.2">
      <c r="A34" s="244" t="s">
        <v>3582</v>
      </c>
      <c r="B34" s="245" t="s">
        <v>3583</v>
      </c>
      <c r="C34" s="652"/>
      <c r="D34" s="653"/>
      <c r="E34" s="653"/>
      <c r="F34" s="653"/>
      <c r="G34" s="653"/>
      <c r="H34" s="653"/>
      <c r="I34" s="653"/>
      <c r="J34" s="653"/>
      <c r="K34" s="653"/>
      <c r="L34" s="653"/>
      <c r="M34" s="653"/>
      <c r="N34" s="653"/>
      <c r="O34" s="654"/>
    </row>
    <row r="35" spans="1:16" ht="13.6" x14ac:dyDescent="0.2">
      <c r="A35" s="246">
        <v>26</v>
      </c>
      <c r="B35" s="233" t="s">
        <v>3584</v>
      </c>
      <c r="C35" s="234"/>
      <c r="D35" s="234"/>
      <c r="E35" s="234"/>
      <c r="F35" s="234"/>
      <c r="G35" s="234"/>
      <c r="H35" s="234"/>
      <c r="I35" s="234"/>
      <c r="J35" s="234">
        <v>1</v>
      </c>
      <c r="K35" s="234"/>
      <c r="L35" s="234"/>
      <c r="M35" s="234"/>
      <c r="N35" s="234"/>
      <c r="O35" s="235">
        <f>SUM(C35:N35)</f>
        <v>1</v>
      </c>
      <c r="P35" s="223"/>
    </row>
    <row r="36" spans="1:16" ht="13.6" x14ac:dyDescent="0.2">
      <c r="A36" s="232">
        <v>27</v>
      </c>
      <c r="B36" s="233" t="s">
        <v>3585</v>
      </c>
      <c r="C36" s="234">
        <v>1</v>
      </c>
      <c r="D36" s="234"/>
      <c r="E36" s="234"/>
      <c r="F36" s="234"/>
      <c r="G36" s="234"/>
      <c r="H36" s="234"/>
      <c r="I36" s="234"/>
      <c r="J36" s="234"/>
      <c r="K36" s="234"/>
      <c r="L36" s="234"/>
      <c r="M36" s="234"/>
      <c r="N36" s="234"/>
      <c r="O36" s="235">
        <f>SUM(C36:N36)</f>
        <v>1</v>
      </c>
    </row>
    <row r="37" spans="1:16" ht="13.6" x14ac:dyDescent="0.2">
      <c r="A37" s="232">
        <v>28</v>
      </c>
      <c r="B37" s="233" t="s">
        <v>3586</v>
      </c>
      <c r="C37" s="234">
        <v>2</v>
      </c>
      <c r="D37" s="234"/>
      <c r="E37" s="234">
        <v>1</v>
      </c>
      <c r="F37" s="234">
        <v>1</v>
      </c>
      <c r="G37" s="234"/>
      <c r="H37" s="234">
        <v>2</v>
      </c>
      <c r="I37" s="234">
        <v>2</v>
      </c>
      <c r="J37" s="234"/>
      <c r="K37" s="234">
        <v>2</v>
      </c>
      <c r="L37" s="234">
        <v>2</v>
      </c>
      <c r="M37" s="234">
        <v>3</v>
      </c>
      <c r="N37" s="234">
        <v>1</v>
      </c>
      <c r="O37" s="235">
        <f>SUM(C37:N37)</f>
        <v>16</v>
      </c>
    </row>
    <row r="38" spans="1:16" ht="13.6" x14ac:dyDescent="0.2">
      <c r="A38" s="232">
        <v>29</v>
      </c>
      <c r="B38" s="233" t="s">
        <v>3587</v>
      </c>
      <c r="C38" s="234"/>
      <c r="D38" s="234">
        <v>1</v>
      </c>
      <c r="E38" s="234"/>
      <c r="F38" s="234"/>
      <c r="G38" s="234"/>
      <c r="H38" s="234"/>
      <c r="I38" s="234"/>
      <c r="J38" s="234"/>
      <c r="K38" s="234"/>
      <c r="L38" s="234"/>
      <c r="M38" s="234"/>
      <c r="N38" s="234">
        <v>1</v>
      </c>
      <c r="O38" s="235">
        <f>SUM(C38:N38)</f>
        <v>2</v>
      </c>
    </row>
    <row r="39" spans="1:16" x14ac:dyDescent="0.2">
      <c r="A39" s="243"/>
      <c r="B39" s="238" t="s">
        <v>3565</v>
      </c>
      <c r="C39" s="239">
        <f>SUM(C35:C38)</f>
        <v>3</v>
      </c>
      <c r="D39" s="239">
        <f t="shared" ref="D39:N39" si="4">SUM(D35:D38)</f>
        <v>1</v>
      </c>
      <c r="E39" s="239">
        <f t="shared" si="4"/>
        <v>1</v>
      </c>
      <c r="F39" s="239">
        <f t="shared" si="4"/>
        <v>1</v>
      </c>
      <c r="G39" s="239">
        <f t="shared" si="4"/>
        <v>0</v>
      </c>
      <c r="H39" s="239">
        <f t="shared" si="4"/>
        <v>2</v>
      </c>
      <c r="I39" s="239">
        <f t="shared" si="4"/>
        <v>2</v>
      </c>
      <c r="J39" s="239">
        <f t="shared" si="4"/>
        <v>1</v>
      </c>
      <c r="K39" s="239">
        <f t="shared" si="4"/>
        <v>2</v>
      </c>
      <c r="L39" s="239">
        <f t="shared" si="4"/>
        <v>2</v>
      </c>
      <c r="M39" s="239">
        <f t="shared" si="4"/>
        <v>3</v>
      </c>
      <c r="N39" s="239">
        <f t="shared" si="4"/>
        <v>2</v>
      </c>
      <c r="O39" s="239">
        <f>SUM(O35:O38)</f>
        <v>20</v>
      </c>
    </row>
    <row r="40" spans="1:16" ht="14.3" x14ac:dyDescent="0.2">
      <c r="A40" s="247" t="s">
        <v>3588</v>
      </c>
      <c r="B40" s="248" t="s">
        <v>3589</v>
      </c>
      <c r="C40" s="655"/>
      <c r="D40" s="656"/>
      <c r="E40" s="656"/>
      <c r="F40" s="656"/>
      <c r="G40" s="656"/>
      <c r="H40" s="656"/>
      <c r="I40" s="656"/>
      <c r="J40" s="656"/>
      <c r="K40" s="656"/>
      <c r="L40" s="656"/>
      <c r="M40" s="656"/>
      <c r="N40" s="656"/>
      <c r="O40" s="657"/>
    </row>
    <row r="41" spans="1:16" ht="13.6" x14ac:dyDescent="0.2">
      <c r="A41" s="232">
        <v>30</v>
      </c>
      <c r="B41" s="233" t="s">
        <v>3590</v>
      </c>
      <c r="C41" s="234"/>
      <c r="D41" s="234"/>
      <c r="E41" s="234">
        <v>1</v>
      </c>
      <c r="F41" s="234"/>
      <c r="G41" s="234"/>
      <c r="H41" s="234"/>
      <c r="I41" s="234"/>
      <c r="J41" s="234"/>
      <c r="K41" s="234"/>
      <c r="L41" s="234"/>
      <c r="M41" s="234"/>
      <c r="N41" s="234"/>
      <c r="O41" s="235">
        <f t="shared" ref="O41:O49" si="5">SUM(C41:N41)</f>
        <v>1</v>
      </c>
    </row>
    <row r="42" spans="1:16" ht="13.6" x14ac:dyDescent="0.2">
      <c r="A42" s="232">
        <v>31</v>
      </c>
      <c r="B42" s="233" t="s">
        <v>3591</v>
      </c>
      <c r="C42" s="234"/>
      <c r="D42" s="234"/>
      <c r="E42" s="234"/>
      <c r="F42" s="234"/>
      <c r="G42" s="234"/>
      <c r="H42" s="234"/>
      <c r="I42" s="234"/>
      <c r="J42" s="234"/>
      <c r="K42" s="234"/>
      <c r="L42" s="234"/>
      <c r="M42" s="234">
        <v>2</v>
      </c>
      <c r="N42" s="234"/>
      <c r="O42" s="235">
        <f t="shared" si="5"/>
        <v>2</v>
      </c>
    </row>
    <row r="43" spans="1:16" ht="13.6" x14ac:dyDescent="0.2">
      <c r="A43" s="232">
        <v>32</v>
      </c>
      <c r="B43" s="233" t="s">
        <v>3592</v>
      </c>
      <c r="C43" s="234"/>
      <c r="D43" s="234"/>
      <c r="E43" s="234"/>
      <c r="F43" s="234"/>
      <c r="G43" s="234"/>
      <c r="H43" s="234"/>
      <c r="I43" s="234"/>
      <c r="J43" s="234"/>
      <c r="K43" s="234"/>
      <c r="L43" s="234"/>
      <c r="M43" s="234"/>
      <c r="N43" s="234"/>
      <c r="O43" s="235">
        <f t="shared" si="5"/>
        <v>0</v>
      </c>
    </row>
    <row r="44" spans="1:16" ht="13.6" x14ac:dyDescent="0.2">
      <c r="A44" s="232">
        <v>33</v>
      </c>
      <c r="B44" s="233" t="s">
        <v>3593</v>
      </c>
      <c r="C44" s="234"/>
      <c r="D44" s="234"/>
      <c r="E44" s="234"/>
      <c r="F44" s="234"/>
      <c r="G44" s="234"/>
      <c r="H44" s="234"/>
      <c r="I44" s="234"/>
      <c r="J44" s="234"/>
      <c r="K44" s="234"/>
      <c r="L44" s="234"/>
      <c r="M44" s="234"/>
      <c r="N44" s="234"/>
      <c r="O44" s="235">
        <f t="shared" si="5"/>
        <v>0</v>
      </c>
    </row>
    <row r="45" spans="1:16" ht="13.6" x14ac:dyDescent="0.2">
      <c r="A45" s="232">
        <v>34</v>
      </c>
      <c r="B45" s="233" t="s">
        <v>3594</v>
      </c>
      <c r="C45" s="234"/>
      <c r="D45" s="234"/>
      <c r="E45" s="234"/>
      <c r="F45" s="234"/>
      <c r="G45" s="234"/>
      <c r="H45" s="234"/>
      <c r="I45" s="234"/>
      <c r="J45" s="234"/>
      <c r="K45" s="234"/>
      <c r="L45" s="234"/>
      <c r="M45" s="234">
        <v>1</v>
      </c>
      <c r="N45" s="234"/>
      <c r="O45" s="235">
        <f t="shared" si="5"/>
        <v>1</v>
      </c>
    </row>
    <row r="46" spans="1:16" ht="13.6" x14ac:dyDescent="0.2">
      <c r="A46" s="232">
        <v>35</v>
      </c>
      <c r="B46" s="233" t="s">
        <v>3595</v>
      </c>
      <c r="C46" s="234"/>
      <c r="D46" s="234"/>
      <c r="E46" s="234"/>
      <c r="F46" s="234">
        <v>1</v>
      </c>
      <c r="G46" s="234"/>
      <c r="H46" s="234">
        <v>1</v>
      </c>
      <c r="I46" s="234"/>
      <c r="J46" s="234">
        <v>1</v>
      </c>
      <c r="K46" s="234">
        <v>2</v>
      </c>
      <c r="L46" s="234"/>
      <c r="M46" s="234">
        <v>7</v>
      </c>
      <c r="N46" s="234"/>
      <c r="O46" s="235">
        <f t="shared" si="5"/>
        <v>12</v>
      </c>
    </row>
    <row r="47" spans="1:16" ht="13.6" x14ac:dyDescent="0.2">
      <c r="A47" s="232">
        <v>36</v>
      </c>
      <c r="B47" s="233" t="s">
        <v>3596</v>
      </c>
      <c r="C47" s="234">
        <v>1</v>
      </c>
      <c r="D47" s="234"/>
      <c r="E47" s="234">
        <v>1</v>
      </c>
      <c r="F47" s="234">
        <v>4</v>
      </c>
      <c r="G47" s="234"/>
      <c r="H47" s="234"/>
      <c r="I47" s="234"/>
      <c r="J47" s="234"/>
      <c r="K47" s="234">
        <v>1</v>
      </c>
      <c r="L47" s="234">
        <v>2</v>
      </c>
      <c r="M47" s="234">
        <v>2</v>
      </c>
      <c r="N47" s="234"/>
      <c r="O47" s="235">
        <f t="shared" si="5"/>
        <v>11</v>
      </c>
    </row>
    <row r="48" spans="1:16" ht="13.6" x14ac:dyDescent="0.2">
      <c r="A48" s="232">
        <v>37</v>
      </c>
      <c r="B48" s="233" t="s">
        <v>3597</v>
      </c>
      <c r="C48" s="234">
        <v>5</v>
      </c>
      <c r="D48" s="234">
        <v>4</v>
      </c>
      <c r="E48" s="234">
        <v>11</v>
      </c>
      <c r="F48" s="234">
        <v>6</v>
      </c>
      <c r="G48" s="234">
        <v>3</v>
      </c>
      <c r="H48" s="234">
        <v>2</v>
      </c>
      <c r="I48" s="234">
        <v>6</v>
      </c>
      <c r="J48" s="234">
        <v>4</v>
      </c>
      <c r="K48" s="234"/>
      <c r="L48" s="234">
        <v>2</v>
      </c>
      <c r="M48" s="234">
        <v>3</v>
      </c>
      <c r="N48" s="234"/>
      <c r="O48" s="235">
        <f t="shared" si="5"/>
        <v>46</v>
      </c>
    </row>
    <row r="49" spans="1:16" ht="13.6" x14ac:dyDescent="0.2">
      <c r="A49" s="232">
        <v>38</v>
      </c>
      <c r="B49" s="233" t="s">
        <v>3598</v>
      </c>
      <c r="C49" s="234"/>
      <c r="D49" s="234"/>
      <c r="E49" s="234">
        <v>1</v>
      </c>
      <c r="F49" s="234"/>
      <c r="G49" s="234"/>
      <c r="H49" s="234"/>
      <c r="I49" s="234"/>
      <c r="J49" s="234"/>
      <c r="K49" s="234"/>
      <c r="L49" s="234"/>
      <c r="M49" s="234"/>
      <c r="N49" s="234"/>
      <c r="O49" s="235">
        <f t="shared" si="5"/>
        <v>1</v>
      </c>
    </row>
    <row r="50" spans="1:16" x14ac:dyDescent="0.2">
      <c r="A50" s="243"/>
      <c r="B50" s="238" t="s">
        <v>3565</v>
      </c>
      <c r="C50" s="239">
        <f t="shared" ref="C50:O50" si="6">SUM(C41:C49)</f>
        <v>6</v>
      </c>
      <c r="D50" s="239">
        <f t="shared" si="6"/>
        <v>4</v>
      </c>
      <c r="E50" s="239">
        <f t="shared" si="6"/>
        <v>14</v>
      </c>
      <c r="F50" s="239">
        <f t="shared" si="6"/>
        <v>11</v>
      </c>
      <c r="G50" s="239">
        <f t="shared" si="6"/>
        <v>3</v>
      </c>
      <c r="H50" s="239">
        <f t="shared" si="6"/>
        <v>3</v>
      </c>
      <c r="I50" s="239">
        <f t="shared" si="6"/>
        <v>6</v>
      </c>
      <c r="J50" s="239">
        <f t="shared" si="6"/>
        <v>5</v>
      </c>
      <c r="K50" s="239">
        <f t="shared" si="6"/>
        <v>3</v>
      </c>
      <c r="L50" s="239">
        <f t="shared" si="6"/>
        <v>4</v>
      </c>
      <c r="M50" s="239">
        <f t="shared" si="6"/>
        <v>15</v>
      </c>
      <c r="N50" s="239">
        <f t="shared" si="6"/>
        <v>0</v>
      </c>
      <c r="O50" s="239">
        <f t="shared" si="6"/>
        <v>74</v>
      </c>
    </row>
    <row r="51" spans="1:16" ht="14.3" x14ac:dyDescent="0.2">
      <c r="A51" s="249" t="s">
        <v>3599</v>
      </c>
      <c r="B51" s="250" t="s">
        <v>3600</v>
      </c>
      <c r="C51" s="658"/>
      <c r="D51" s="659"/>
      <c r="E51" s="659"/>
      <c r="F51" s="659"/>
      <c r="G51" s="659"/>
      <c r="H51" s="659"/>
      <c r="I51" s="659"/>
      <c r="J51" s="659"/>
      <c r="K51" s="659"/>
      <c r="L51" s="659"/>
      <c r="M51" s="659"/>
      <c r="N51" s="659"/>
      <c r="O51" s="660"/>
    </row>
    <row r="52" spans="1:16" ht="13.6" x14ac:dyDescent="0.2">
      <c r="A52" s="232">
        <v>39</v>
      </c>
      <c r="B52" s="233" t="s">
        <v>3601</v>
      </c>
      <c r="C52" s="234"/>
      <c r="D52" s="234"/>
      <c r="E52" s="234"/>
      <c r="F52" s="234"/>
      <c r="G52" s="234"/>
      <c r="H52" s="234">
        <v>2</v>
      </c>
      <c r="I52" s="234"/>
      <c r="J52" s="234"/>
      <c r="K52" s="234">
        <v>5</v>
      </c>
      <c r="L52" s="234">
        <v>3</v>
      </c>
      <c r="M52" s="234">
        <v>4</v>
      </c>
      <c r="N52" s="234">
        <v>1</v>
      </c>
      <c r="O52" s="235">
        <f>SUM(C52:N52)</f>
        <v>15</v>
      </c>
      <c r="P52" s="223"/>
    </row>
    <row r="53" spans="1:16" ht="13.6" x14ac:dyDescent="0.2">
      <c r="A53" s="232">
        <v>40</v>
      </c>
      <c r="B53" s="233" t="s">
        <v>3602</v>
      </c>
      <c r="C53" s="234"/>
      <c r="D53" s="234"/>
      <c r="E53" s="234"/>
      <c r="F53" s="234"/>
      <c r="G53" s="234"/>
      <c r="H53" s="234"/>
      <c r="I53" s="234"/>
      <c r="J53" s="234">
        <v>1</v>
      </c>
      <c r="K53" s="234">
        <v>2</v>
      </c>
      <c r="L53" s="234"/>
      <c r="M53" s="234"/>
      <c r="N53" s="234"/>
      <c r="O53" s="235">
        <f>SUM(C53:N53)</f>
        <v>3</v>
      </c>
    </row>
    <row r="54" spans="1:16" x14ac:dyDescent="0.2">
      <c r="A54" s="243"/>
      <c r="B54" s="238" t="s">
        <v>3565</v>
      </c>
      <c r="C54" s="239">
        <f t="shared" ref="C54:O54" si="7">SUM(C52:C53)</f>
        <v>0</v>
      </c>
      <c r="D54" s="239">
        <f t="shared" si="7"/>
        <v>0</v>
      </c>
      <c r="E54" s="239">
        <f t="shared" si="7"/>
        <v>0</v>
      </c>
      <c r="F54" s="239">
        <f t="shared" si="7"/>
        <v>0</v>
      </c>
      <c r="G54" s="239">
        <f t="shared" si="7"/>
        <v>0</v>
      </c>
      <c r="H54" s="239">
        <f t="shared" si="7"/>
        <v>2</v>
      </c>
      <c r="I54" s="239">
        <f t="shared" si="7"/>
        <v>0</v>
      </c>
      <c r="J54" s="239">
        <f t="shared" si="7"/>
        <v>1</v>
      </c>
      <c r="K54" s="239">
        <f t="shared" si="7"/>
        <v>7</v>
      </c>
      <c r="L54" s="239">
        <f t="shared" si="7"/>
        <v>3</v>
      </c>
      <c r="M54" s="239">
        <f t="shared" si="7"/>
        <v>4</v>
      </c>
      <c r="N54" s="239">
        <f t="shared" si="7"/>
        <v>1</v>
      </c>
      <c r="O54" s="239">
        <f t="shared" si="7"/>
        <v>18</v>
      </c>
    </row>
    <row r="55" spans="1:16" ht="14.3" x14ac:dyDescent="0.2">
      <c r="A55" s="251"/>
      <c r="B55" s="251" t="s">
        <v>3603</v>
      </c>
      <c r="C55" s="252">
        <f>SUM(C54+C50+C39+C33+C17)</f>
        <v>15</v>
      </c>
      <c r="D55" s="252">
        <f>SUM(D54+D50+D39+D33+D17)</f>
        <v>20</v>
      </c>
      <c r="E55" s="252">
        <f>SUM(E54+E50+E39+E33+E17)</f>
        <v>20</v>
      </c>
      <c r="F55" s="252">
        <f t="shared" ref="F55:N55" si="8">SUM(F54+F50+F39+F33+F17)</f>
        <v>13</v>
      </c>
      <c r="G55" s="252">
        <f t="shared" si="8"/>
        <v>4</v>
      </c>
      <c r="H55" s="252">
        <f t="shared" si="8"/>
        <v>10</v>
      </c>
      <c r="I55" s="252">
        <f t="shared" si="8"/>
        <v>16</v>
      </c>
      <c r="J55" s="252">
        <f t="shared" si="8"/>
        <v>21</v>
      </c>
      <c r="K55" s="252">
        <f t="shared" si="8"/>
        <v>18</v>
      </c>
      <c r="L55" s="252">
        <f t="shared" si="8"/>
        <v>10</v>
      </c>
      <c r="M55" s="252">
        <f t="shared" si="8"/>
        <v>24</v>
      </c>
      <c r="N55" s="252">
        <f t="shared" si="8"/>
        <v>8</v>
      </c>
      <c r="O55" s="252">
        <f>SUM(O54+O50+O39+O33+O17)</f>
        <v>179</v>
      </c>
    </row>
    <row r="56" spans="1:16" ht="14.3" x14ac:dyDescent="0.2">
      <c r="A56" s="253" t="s">
        <v>3604</v>
      </c>
      <c r="B56" s="254" t="s">
        <v>3605</v>
      </c>
      <c r="C56" s="661"/>
      <c r="D56" s="662"/>
      <c r="E56" s="662"/>
      <c r="F56" s="662"/>
      <c r="G56" s="662"/>
      <c r="H56" s="662"/>
      <c r="I56" s="662"/>
      <c r="J56" s="662"/>
      <c r="K56" s="662"/>
      <c r="L56" s="662"/>
      <c r="M56" s="662"/>
      <c r="N56" s="662"/>
      <c r="O56" s="663"/>
    </row>
    <row r="57" spans="1:16" x14ac:dyDescent="0.2">
      <c r="A57" s="246">
        <v>41</v>
      </c>
      <c r="B57" s="243" t="s">
        <v>3606</v>
      </c>
      <c r="C57" s="252"/>
      <c r="D57" s="252"/>
      <c r="E57" s="252"/>
      <c r="F57" s="252"/>
      <c r="G57" s="252"/>
      <c r="H57" s="252"/>
      <c r="I57" s="252"/>
      <c r="J57" s="252"/>
      <c r="K57" s="252">
        <v>1</v>
      </c>
      <c r="L57" s="252">
        <v>8</v>
      </c>
      <c r="M57" s="252">
        <v>22</v>
      </c>
      <c r="N57" s="252">
        <v>12</v>
      </c>
      <c r="O57" s="252">
        <f t="shared" ref="O57:O62" si="9">SUM(C57:N57)</f>
        <v>43</v>
      </c>
      <c r="P57" s="223"/>
    </row>
    <row r="58" spans="1:16" ht="13.6" x14ac:dyDescent="0.2">
      <c r="A58" s="232">
        <v>42</v>
      </c>
      <c r="B58" s="243" t="s">
        <v>3607</v>
      </c>
      <c r="C58" s="234"/>
      <c r="D58" s="234"/>
      <c r="E58" s="234">
        <v>1</v>
      </c>
      <c r="F58" s="234"/>
      <c r="G58" s="234"/>
      <c r="H58" s="234"/>
      <c r="I58" s="234"/>
      <c r="J58" s="234"/>
      <c r="K58" s="234"/>
      <c r="L58" s="234">
        <v>9</v>
      </c>
      <c r="M58" s="234">
        <v>2</v>
      </c>
      <c r="N58" s="234">
        <v>3</v>
      </c>
      <c r="O58" s="235">
        <f t="shared" si="9"/>
        <v>15</v>
      </c>
    </row>
    <row r="59" spans="1:16" ht="13.6" x14ac:dyDescent="0.2">
      <c r="A59" s="232">
        <v>43</v>
      </c>
      <c r="B59" s="233" t="s">
        <v>3608</v>
      </c>
      <c r="C59" s="234">
        <v>2</v>
      </c>
      <c r="D59" s="234"/>
      <c r="E59" s="234"/>
      <c r="F59" s="234"/>
      <c r="G59" s="234"/>
      <c r="H59" s="234"/>
      <c r="I59" s="234"/>
      <c r="J59" s="234"/>
      <c r="K59" s="234"/>
      <c r="L59" s="234"/>
      <c r="M59" s="234">
        <v>8</v>
      </c>
      <c r="N59" s="234">
        <v>5</v>
      </c>
      <c r="O59" s="235">
        <f t="shared" si="9"/>
        <v>15</v>
      </c>
    </row>
    <row r="60" spans="1:16" ht="13.6" x14ac:dyDescent="0.2">
      <c r="A60" s="232">
        <v>44</v>
      </c>
      <c r="B60" s="233" t="s">
        <v>3609</v>
      </c>
      <c r="C60" s="234">
        <v>1</v>
      </c>
      <c r="D60" s="234">
        <v>1</v>
      </c>
      <c r="E60" s="234"/>
      <c r="F60" s="234"/>
      <c r="G60" s="234"/>
      <c r="H60" s="255">
        <v>1</v>
      </c>
      <c r="I60" s="234">
        <v>2</v>
      </c>
      <c r="J60" s="234">
        <v>3</v>
      </c>
      <c r="K60" s="234">
        <v>3</v>
      </c>
      <c r="L60" s="234">
        <v>3</v>
      </c>
      <c r="M60" s="234">
        <v>2</v>
      </c>
      <c r="N60" s="234">
        <v>2</v>
      </c>
      <c r="O60" s="235">
        <f t="shared" si="9"/>
        <v>18</v>
      </c>
    </row>
    <row r="61" spans="1:16" ht="13.6" x14ac:dyDescent="0.2">
      <c r="A61" s="232">
        <v>45</v>
      </c>
      <c r="B61" s="233" t="s">
        <v>3610</v>
      </c>
      <c r="C61" s="234"/>
      <c r="D61" s="234"/>
      <c r="E61" s="234"/>
      <c r="F61" s="234"/>
      <c r="G61" s="234"/>
      <c r="H61" s="255"/>
      <c r="I61" s="234"/>
      <c r="J61" s="234"/>
      <c r="K61" s="234"/>
      <c r="L61" s="234"/>
      <c r="M61" s="234">
        <v>2</v>
      </c>
      <c r="N61" s="234"/>
      <c r="O61" s="235">
        <f t="shared" si="9"/>
        <v>2</v>
      </c>
    </row>
    <row r="62" spans="1:16" ht="13.6" x14ac:dyDescent="0.2">
      <c r="A62" s="232">
        <v>46</v>
      </c>
      <c r="B62" s="233" t="s">
        <v>3611</v>
      </c>
      <c r="C62" s="234"/>
      <c r="D62" s="234"/>
      <c r="E62" s="234"/>
      <c r="F62" s="234"/>
      <c r="G62" s="234"/>
      <c r="H62" s="255"/>
      <c r="I62" s="234"/>
      <c r="J62" s="234"/>
      <c r="K62" s="234"/>
      <c r="L62" s="234"/>
      <c r="M62" s="234"/>
      <c r="N62" s="234"/>
      <c r="O62" s="235">
        <f t="shared" si="9"/>
        <v>0</v>
      </c>
    </row>
    <row r="63" spans="1:16" x14ac:dyDescent="0.2">
      <c r="A63" s="243"/>
      <c r="B63" s="238" t="s">
        <v>3565</v>
      </c>
      <c r="C63" s="239">
        <f>SUM(C57:C62)</f>
        <v>3</v>
      </c>
      <c r="D63" s="239">
        <f t="shared" ref="D63:N63" si="10">SUM(D57:D62)</f>
        <v>1</v>
      </c>
      <c r="E63" s="239">
        <f t="shared" si="10"/>
        <v>1</v>
      </c>
      <c r="F63" s="239">
        <f t="shared" si="10"/>
        <v>0</v>
      </c>
      <c r="G63" s="239">
        <f t="shared" si="10"/>
        <v>0</v>
      </c>
      <c r="H63" s="239">
        <f t="shared" si="10"/>
        <v>1</v>
      </c>
      <c r="I63" s="239">
        <f t="shared" si="10"/>
        <v>2</v>
      </c>
      <c r="J63" s="239">
        <f t="shared" si="10"/>
        <v>3</v>
      </c>
      <c r="K63" s="239">
        <f t="shared" si="10"/>
        <v>4</v>
      </c>
      <c r="L63" s="239">
        <f t="shared" si="10"/>
        <v>20</v>
      </c>
      <c r="M63" s="239">
        <f t="shared" si="10"/>
        <v>36</v>
      </c>
      <c r="N63" s="239">
        <f t="shared" si="10"/>
        <v>22</v>
      </c>
      <c r="O63" s="239">
        <f>SUM(O57:O61)</f>
        <v>93</v>
      </c>
    </row>
    <row r="64" spans="1:16" ht="15.65" x14ac:dyDescent="0.2">
      <c r="A64" s="256"/>
      <c r="B64" s="257" t="s">
        <v>3612</v>
      </c>
      <c r="C64" s="258">
        <f>SUM(C55+C63)</f>
        <v>18</v>
      </c>
      <c r="D64" s="258">
        <f t="shared" ref="D64:N64" si="11">SUM(D55+D63)</f>
        <v>21</v>
      </c>
      <c r="E64" s="258">
        <f t="shared" si="11"/>
        <v>21</v>
      </c>
      <c r="F64" s="258">
        <f t="shared" si="11"/>
        <v>13</v>
      </c>
      <c r="G64" s="258">
        <f t="shared" si="11"/>
        <v>4</v>
      </c>
      <c r="H64" s="258">
        <f t="shared" si="11"/>
        <v>11</v>
      </c>
      <c r="I64" s="258">
        <f t="shared" si="11"/>
        <v>18</v>
      </c>
      <c r="J64" s="258">
        <f t="shared" si="11"/>
        <v>24</v>
      </c>
      <c r="K64" s="258">
        <f t="shared" si="11"/>
        <v>22</v>
      </c>
      <c r="L64" s="258">
        <f t="shared" si="11"/>
        <v>30</v>
      </c>
      <c r="M64" s="258">
        <f t="shared" si="11"/>
        <v>60</v>
      </c>
      <c r="N64" s="258">
        <f t="shared" si="11"/>
        <v>30</v>
      </c>
      <c r="O64" s="258">
        <f>SUM(O55+O63)</f>
        <v>272</v>
      </c>
    </row>
    <row r="66" spans="1:16" x14ac:dyDescent="0.2">
      <c r="A66" s="664"/>
      <c r="B66" s="665"/>
      <c r="C66" s="665"/>
      <c r="D66" s="665"/>
      <c r="E66" s="665"/>
      <c r="F66" s="665"/>
      <c r="G66" s="665"/>
      <c r="H66" s="665"/>
      <c r="I66" s="665"/>
      <c r="J66" s="665"/>
      <c r="K66" s="665"/>
      <c r="L66" s="665"/>
      <c r="M66" s="665"/>
      <c r="N66" s="665"/>
      <c r="O66" s="666"/>
    </row>
    <row r="67" spans="1:16" ht="15.65" x14ac:dyDescent="0.25">
      <c r="A67" s="642" t="s">
        <v>3619</v>
      </c>
      <c r="B67" s="642"/>
      <c r="C67" s="642"/>
      <c r="D67" s="642"/>
      <c r="E67" s="642"/>
      <c r="F67" s="642"/>
      <c r="G67" s="642"/>
      <c r="H67" s="642"/>
      <c r="I67" s="642"/>
      <c r="J67" s="642"/>
      <c r="K67" s="642"/>
      <c r="L67" s="642"/>
      <c r="M67" s="642"/>
      <c r="N67" s="642"/>
      <c r="O67" s="643"/>
      <c r="P67" s="259"/>
    </row>
    <row r="68" spans="1:16" x14ac:dyDescent="0.2">
      <c r="A68" s="667"/>
      <c r="B68" s="667"/>
      <c r="C68" s="667"/>
      <c r="D68" s="667"/>
      <c r="E68" s="667"/>
      <c r="F68" s="667"/>
      <c r="G68" s="667"/>
      <c r="H68" s="667"/>
      <c r="I68" s="667"/>
      <c r="J68" s="667"/>
      <c r="K68" s="667"/>
      <c r="L68" s="667"/>
      <c r="M68" s="667"/>
      <c r="N68" s="667"/>
      <c r="O68" s="671"/>
    </row>
    <row r="69" spans="1:16" x14ac:dyDescent="0.2">
      <c r="A69" s="668"/>
      <c r="B69" s="667"/>
      <c r="C69" s="667"/>
      <c r="D69" s="667"/>
      <c r="E69" s="667"/>
      <c r="F69" s="667"/>
      <c r="G69" s="667"/>
      <c r="H69" s="667"/>
      <c r="I69" s="667"/>
      <c r="J69" s="667"/>
      <c r="K69" s="667"/>
      <c r="L69" s="667"/>
      <c r="M69" s="667"/>
      <c r="N69" s="667"/>
      <c r="O69" s="671"/>
      <c r="P69" s="259"/>
    </row>
    <row r="70" spans="1:16" x14ac:dyDescent="0.2">
      <c r="A70" s="667"/>
      <c r="B70" s="667"/>
      <c r="C70" s="667"/>
      <c r="D70" s="667"/>
      <c r="E70" s="667"/>
      <c r="F70" s="667"/>
      <c r="G70" s="667"/>
      <c r="H70" s="667"/>
      <c r="I70" s="667"/>
      <c r="J70" s="667"/>
      <c r="K70" s="667"/>
      <c r="L70" s="667"/>
      <c r="M70" s="667"/>
      <c r="N70" s="667"/>
      <c r="O70" s="667"/>
      <c r="P70" s="259"/>
    </row>
    <row r="71" spans="1:16" x14ac:dyDescent="0.2">
      <c r="A71" s="667"/>
      <c r="B71" s="667"/>
      <c r="C71" s="667"/>
      <c r="D71" s="667"/>
      <c r="E71" s="667"/>
      <c r="F71" s="667"/>
      <c r="G71" s="667"/>
      <c r="H71" s="667"/>
      <c r="I71" s="667"/>
      <c r="J71" s="667"/>
      <c r="K71" s="667"/>
      <c r="L71" s="667"/>
      <c r="M71" s="667"/>
      <c r="N71" s="667"/>
      <c r="O71" s="667"/>
      <c r="P71" s="259"/>
    </row>
    <row r="72" spans="1:16" x14ac:dyDescent="0.2">
      <c r="A72" s="667"/>
      <c r="B72" s="667"/>
      <c r="C72" s="667"/>
      <c r="D72" s="667"/>
      <c r="E72" s="667"/>
      <c r="F72" s="667"/>
      <c r="G72" s="667"/>
      <c r="H72" s="667"/>
      <c r="I72" s="667"/>
      <c r="J72" s="667"/>
      <c r="K72" s="667"/>
      <c r="L72" s="667"/>
      <c r="M72" s="667"/>
      <c r="N72" s="667"/>
      <c r="O72" s="671"/>
      <c r="P72" s="259"/>
    </row>
    <row r="73" spans="1:16" x14ac:dyDescent="0.2">
      <c r="A73" s="667"/>
      <c r="B73" s="667"/>
      <c r="C73" s="667"/>
      <c r="D73" s="667"/>
      <c r="E73" s="667"/>
      <c r="F73" s="667"/>
      <c r="G73" s="667"/>
      <c r="H73" s="667"/>
      <c r="I73" s="667"/>
      <c r="J73" s="667"/>
      <c r="K73" s="667"/>
      <c r="L73" s="667"/>
      <c r="M73" s="667"/>
      <c r="N73" s="667"/>
      <c r="O73" s="667"/>
      <c r="P73" s="259"/>
    </row>
    <row r="74" spans="1:16" x14ac:dyDescent="0.2">
      <c r="A74" s="667"/>
      <c r="B74" s="667"/>
      <c r="C74" s="667"/>
      <c r="D74" s="667"/>
      <c r="E74" s="667"/>
      <c r="F74" s="667"/>
      <c r="G74" s="667"/>
      <c r="H74" s="667"/>
      <c r="I74" s="667"/>
      <c r="J74" s="667"/>
      <c r="K74" s="667"/>
      <c r="L74" s="667"/>
      <c r="M74" s="667"/>
      <c r="N74" s="667"/>
      <c r="O74" s="667"/>
      <c r="P74" s="259"/>
    </row>
    <row r="75" spans="1:16" x14ac:dyDescent="0.2">
      <c r="A75" s="668"/>
      <c r="B75" s="667"/>
      <c r="C75" s="667"/>
      <c r="D75" s="667"/>
      <c r="E75" s="667"/>
      <c r="F75" s="667"/>
      <c r="G75" s="667"/>
      <c r="H75" s="667"/>
      <c r="I75" s="667"/>
      <c r="J75" s="667"/>
      <c r="K75" s="667"/>
      <c r="L75" s="667"/>
      <c r="M75" s="667"/>
      <c r="N75" s="667"/>
      <c r="O75" s="667"/>
      <c r="P75" s="259"/>
    </row>
    <row r="76" spans="1:16" ht="13.6" thickBot="1" x14ac:dyDescent="0.25">
      <c r="A76" s="669"/>
      <c r="B76" s="669"/>
      <c r="C76" s="669"/>
      <c r="D76" s="669"/>
      <c r="E76" s="669"/>
      <c r="F76" s="669"/>
      <c r="G76" s="669"/>
      <c r="H76" s="669"/>
      <c r="I76" s="669"/>
      <c r="J76" s="669"/>
      <c r="K76" s="669"/>
      <c r="L76" s="669"/>
      <c r="M76" s="669"/>
      <c r="N76" s="669"/>
      <c r="O76" s="670"/>
    </row>
  </sheetData>
  <sheetProtection sheet="1" objects="1" scenarios="1"/>
  <mergeCells count="21">
    <mergeCell ref="A74:O74"/>
    <mergeCell ref="A75:O75"/>
    <mergeCell ref="A76:O76"/>
    <mergeCell ref="A68:O68"/>
    <mergeCell ref="A69:O69"/>
    <mergeCell ref="A70:O70"/>
    <mergeCell ref="A71:O71"/>
    <mergeCell ref="A72:O72"/>
    <mergeCell ref="A73:O73"/>
    <mergeCell ref="A67:O67"/>
    <mergeCell ref="A1:O1"/>
    <mergeCell ref="A2:O2"/>
    <mergeCell ref="C3:O3"/>
    <mergeCell ref="Q3:U3"/>
    <mergeCell ref="P5:R5"/>
    <mergeCell ref="C18:O18"/>
    <mergeCell ref="C34:O34"/>
    <mergeCell ref="C40:O40"/>
    <mergeCell ref="C51:O51"/>
    <mergeCell ref="C56:O56"/>
    <mergeCell ref="A66:O6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6"/>
  <sheetViews>
    <sheetView workbookViewId="0">
      <selection activeCell="O7" sqref="O7:O8"/>
    </sheetView>
  </sheetViews>
  <sheetFormatPr baseColWidth="10" defaultRowHeight="12.9" x14ac:dyDescent="0.2"/>
  <cols>
    <col min="1" max="1" width="5.125" style="67" bestFit="1" customWidth="1"/>
    <col min="2" max="2" width="50" style="67" bestFit="1" customWidth="1"/>
    <col min="3" max="3" width="8" style="67" customWidth="1"/>
    <col min="4" max="4" width="9" style="67" customWidth="1"/>
    <col min="5" max="14" width="8" style="67" customWidth="1"/>
    <col min="15" max="15" width="7.25" style="67" bestFit="1" customWidth="1"/>
    <col min="16" max="256" width="11" style="67"/>
    <col min="257" max="257" width="5.125" style="67" bestFit="1" customWidth="1"/>
    <col min="258" max="258" width="50" style="67" bestFit="1" customWidth="1"/>
    <col min="259" max="259" width="8" style="67" customWidth="1"/>
    <col min="260" max="260" width="9" style="67" customWidth="1"/>
    <col min="261" max="270" width="8" style="67" customWidth="1"/>
    <col min="271" max="271" width="7.25" style="67" bestFit="1" customWidth="1"/>
    <col min="272" max="512" width="11" style="67"/>
    <col min="513" max="513" width="5.125" style="67" bestFit="1" customWidth="1"/>
    <col min="514" max="514" width="50" style="67" bestFit="1" customWidth="1"/>
    <col min="515" max="515" width="8" style="67" customWidth="1"/>
    <col min="516" max="516" width="9" style="67" customWidth="1"/>
    <col min="517" max="526" width="8" style="67" customWidth="1"/>
    <col min="527" max="527" width="7.25" style="67" bestFit="1" customWidth="1"/>
    <col min="528" max="768" width="11" style="67"/>
    <col min="769" max="769" width="5.125" style="67" bestFit="1" customWidth="1"/>
    <col min="770" max="770" width="50" style="67" bestFit="1" customWidth="1"/>
    <col min="771" max="771" width="8" style="67" customWidth="1"/>
    <col min="772" max="772" width="9" style="67" customWidth="1"/>
    <col min="773" max="782" width="8" style="67" customWidth="1"/>
    <col min="783" max="783" width="7.25" style="67" bestFit="1" customWidth="1"/>
    <col min="784" max="1024" width="11" style="67"/>
    <col min="1025" max="1025" width="5.125" style="67" bestFit="1" customWidth="1"/>
    <col min="1026" max="1026" width="50" style="67" bestFit="1" customWidth="1"/>
    <col min="1027" max="1027" width="8" style="67" customWidth="1"/>
    <col min="1028" max="1028" width="9" style="67" customWidth="1"/>
    <col min="1029" max="1038" width="8" style="67" customWidth="1"/>
    <col min="1039" max="1039" width="7.25" style="67" bestFit="1" customWidth="1"/>
    <col min="1040" max="1280" width="11" style="67"/>
    <col min="1281" max="1281" width="5.125" style="67" bestFit="1" customWidth="1"/>
    <col min="1282" max="1282" width="50" style="67" bestFit="1" customWidth="1"/>
    <col min="1283" max="1283" width="8" style="67" customWidth="1"/>
    <col min="1284" max="1284" width="9" style="67" customWidth="1"/>
    <col min="1285" max="1294" width="8" style="67" customWidth="1"/>
    <col min="1295" max="1295" width="7.25" style="67" bestFit="1" customWidth="1"/>
    <col min="1296" max="1536" width="11" style="67"/>
    <col min="1537" max="1537" width="5.125" style="67" bestFit="1" customWidth="1"/>
    <col min="1538" max="1538" width="50" style="67" bestFit="1" customWidth="1"/>
    <col min="1539" max="1539" width="8" style="67" customWidth="1"/>
    <col min="1540" max="1540" width="9" style="67" customWidth="1"/>
    <col min="1541" max="1550" width="8" style="67" customWidth="1"/>
    <col min="1551" max="1551" width="7.25" style="67" bestFit="1" customWidth="1"/>
    <col min="1552" max="1792" width="11" style="67"/>
    <col min="1793" max="1793" width="5.125" style="67" bestFit="1" customWidth="1"/>
    <col min="1794" max="1794" width="50" style="67" bestFit="1" customWidth="1"/>
    <col min="1795" max="1795" width="8" style="67" customWidth="1"/>
    <col min="1796" max="1796" width="9" style="67" customWidth="1"/>
    <col min="1797" max="1806" width="8" style="67" customWidth="1"/>
    <col min="1807" max="1807" width="7.25" style="67" bestFit="1" customWidth="1"/>
    <col min="1808" max="2048" width="11" style="67"/>
    <col min="2049" max="2049" width="5.125" style="67" bestFit="1" customWidth="1"/>
    <col min="2050" max="2050" width="50" style="67" bestFit="1" customWidth="1"/>
    <col min="2051" max="2051" width="8" style="67" customWidth="1"/>
    <col min="2052" max="2052" width="9" style="67" customWidth="1"/>
    <col min="2053" max="2062" width="8" style="67" customWidth="1"/>
    <col min="2063" max="2063" width="7.25" style="67" bestFit="1" customWidth="1"/>
    <col min="2064" max="2304" width="11" style="67"/>
    <col min="2305" max="2305" width="5.125" style="67" bestFit="1" customWidth="1"/>
    <col min="2306" max="2306" width="50" style="67" bestFit="1" customWidth="1"/>
    <col min="2307" max="2307" width="8" style="67" customWidth="1"/>
    <col min="2308" max="2308" width="9" style="67" customWidth="1"/>
    <col min="2309" max="2318" width="8" style="67" customWidth="1"/>
    <col min="2319" max="2319" width="7.25" style="67" bestFit="1" customWidth="1"/>
    <col min="2320" max="2560" width="11" style="67"/>
    <col min="2561" max="2561" width="5.125" style="67" bestFit="1" customWidth="1"/>
    <col min="2562" max="2562" width="50" style="67" bestFit="1" customWidth="1"/>
    <col min="2563" max="2563" width="8" style="67" customWidth="1"/>
    <col min="2564" max="2564" width="9" style="67" customWidth="1"/>
    <col min="2565" max="2574" width="8" style="67" customWidth="1"/>
    <col min="2575" max="2575" width="7.25" style="67" bestFit="1" customWidth="1"/>
    <col min="2576" max="2816" width="11" style="67"/>
    <col min="2817" max="2817" width="5.125" style="67" bestFit="1" customWidth="1"/>
    <col min="2818" max="2818" width="50" style="67" bestFit="1" customWidth="1"/>
    <col min="2819" max="2819" width="8" style="67" customWidth="1"/>
    <col min="2820" max="2820" width="9" style="67" customWidth="1"/>
    <col min="2821" max="2830" width="8" style="67" customWidth="1"/>
    <col min="2831" max="2831" width="7.25" style="67" bestFit="1" customWidth="1"/>
    <col min="2832" max="3072" width="11" style="67"/>
    <col min="3073" max="3073" width="5.125" style="67" bestFit="1" customWidth="1"/>
    <col min="3074" max="3074" width="50" style="67" bestFit="1" customWidth="1"/>
    <col min="3075" max="3075" width="8" style="67" customWidth="1"/>
    <col min="3076" max="3076" width="9" style="67" customWidth="1"/>
    <col min="3077" max="3086" width="8" style="67" customWidth="1"/>
    <col min="3087" max="3087" width="7.25" style="67" bestFit="1" customWidth="1"/>
    <col min="3088" max="3328" width="11" style="67"/>
    <col min="3329" max="3329" width="5.125" style="67" bestFit="1" customWidth="1"/>
    <col min="3330" max="3330" width="50" style="67" bestFit="1" customWidth="1"/>
    <col min="3331" max="3331" width="8" style="67" customWidth="1"/>
    <col min="3332" max="3332" width="9" style="67" customWidth="1"/>
    <col min="3333" max="3342" width="8" style="67" customWidth="1"/>
    <col min="3343" max="3343" width="7.25" style="67" bestFit="1" customWidth="1"/>
    <col min="3344" max="3584" width="11" style="67"/>
    <col min="3585" max="3585" width="5.125" style="67" bestFit="1" customWidth="1"/>
    <col min="3586" max="3586" width="50" style="67" bestFit="1" customWidth="1"/>
    <col min="3587" max="3587" width="8" style="67" customWidth="1"/>
    <col min="3588" max="3588" width="9" style="67" customWidth="1"/>
    <col min="3589" max="3598" width="8" style="67" customWidth="1"/>
    <col min="3599" max="3599" width="7.25" style="67" bestFit="1" customWidth="1"/>
    <col min="3600" max="3840" width="11" style="67"/>
    <col min="3841" max="3841" width="5.125" style="67" bestFit="1" customWidth="1"/>
    <col min="3842" max="3842" width="50" style="67" bestFit="1" customWidth="1"/>
    <col min="3843" max="3843" width="8" style="67" customWidth="1"/>
    <col min="3844" max="3844" width="9" style="67" customWidth="1"/>
    <col min="3845" max="3854" width="8" style="67" customWidth="1"/>
    <col min="3855" max="3855" width="7.25" style="67" bestFit="1" customWidth="1"/>
    <col min="3856" max="4096" width="11" style="67"/>
    <col min="4097" max="4097" width="5.125" style="67" bestFit="1" customWidth="1"/>
    <col min="4098" max="4098" width="50" style="67" bestFit="1" customWidth="1"/>
    <col min="4099" max="4099" width="8" style="67" customWidth="1"/>
    <col min="4100" max="4100" width="9" style="67" customWidth="1"/>
    <col min="4101" max="4110" width="8" style="67" customWidth="1"/>
    <col min="4111" max="4111" width="7.25" style="67" bestFit="1" customWidth="1"/>
    <col min="4112" max="4352" width="11" style="67"/>
    <col min="4353" max="4353" width="5.125" style="67" bestFit="1" customWidth="1"/>
    <col min="4354" max="4354" width="50" style="67" bestFit="1" customWidth="1"/>
    <col min="4355" max="4355" width="8" style="67" customWidth="1"/>
    <col min="4356" max="4356" width="9" style="67" customWidth="1"/>
    <col min="4357" max="4366" width="8" style="67" customWidth="1"/>
    <col min="4367" max="4367" width="7.25" style="67" bestFit="1" customWidth="1"/>
    <col min="4368" max="4608" width="11" style="67"/>
    <col min="4609" max="4609" width="5.125" style="67" bestFit="1" customWidth="1"/>
    <col min="4610" max="4610" width="50" style="67" bestFit="1" customWidth="1"/>
    <col min="4611" max="4611" width="8" style="67" customWidth="1"/>
    <col min="4612" max="4612" width="9" style="67" customWidth="1"/>
    <col min="4613" max="4622" width="8" style="67" customWidth="1"/>
    <col min="4623" max="4623" width="7.25" style="67" bestFit="1" customWidth="1"/>
    <col min="4624" max="4864" width="11" style="67"/>
    <col min="4865" max="4865" width="5.125" style="67" bestFit="1" customWidth="1"/>
    <col min="4866" max="4866" width="50" style="67" bestFit="1" customWidth="1"/>
    <col min="4867" max="4867" width="8" style="67" customWidth="1"/>
    <col min="4868" max="4868" width="9" style="67" customWidth="1"/>
    <col min="4869" max="4878" width="8" style="67" customWidth="1"/>
    <col min="4879" max="4879" width="7.25" style="67" bestFit="1" customWidth="1"/>
    <col min="4880" max="5120" width="11" style="67"/>
    <col min="5121" max="5121" width="5.125" style="67" bestFit="1" customWidth="1"/>
    <col min="5122" max="5122" width="50" style="67" bestFit="1" customWidth="1"/>
    <col min="5123" max="5123" width="8" style="67" customWidth="1"/>
    <col min="5124" max="5124" width="9" style="67" customWidth="1"/>
    <col min="5125" max="5134" width="8" style="67" customWidth="1"/>
    <col min="5135" max="5135" width="7.25" style="67" bestFit="1" customWidth="1"/>
    <col min="5136" max="5376" width="11" style="67"/>
    <col min="5377" max="5377" width="5.125" style="67" bestFit="1" customWidth="1"/>
    <col min="5378" max="5378" width="50" style="67" bestFit="1" customWidth="1"/>
    <col min="5379" max="5379" width="8" style="67" customWidth="1"/>
    <col min="5380" max="5380" width="9" style="67" customWidth="1"/>
    <col min="5381" max="5390" width="8" style="67" customWidth="1"/>
    <col min="5391" max="5391" width="7.25" style="67" bestFit="1" customWidth="1"/>
    <col min="5392" max="5632" width="11" style="67"/>
    <col min="5633" max="5633" width="5.125" style="67" bestFit="1" customWidth="1"/>
    <col min="5634" max="5634" width="50" style="67" bestFit="1" customWidth="1"/>
    <col min="5635" max="5635" width="8" style="67" customWidth="1"/>
    <col min="5636" max="5636" width="9" style="67" customWidth="1"/>
    <col min="5637" max="5646" width="8" style="67" customWidth="1"/>
    <col min="5647" max="5647" width="7.25" style="67" bestFit="1" customWidth="1"/>
    <col min="5648" max="5888" width="11" style="67"/>
    <col min="5889" max="5889" width="5.125" style="67" bestFit="1" customWidth="1"/>
    <col min="5890" max="5890" width="50" style="67" bestFit="1" customWidth="1"/>
    <col min="5891" max="5891" width="8" style="67" customWidth="1"/>
    <col min="5892" max="5892" width="9" style="67" customWidth="1"/>
    <col min="5893" max="5902" width="8" style="67" customWidth="1"/>
    <col min="5903" max="5903" width="7.25" style="67" bestFit="1" customWidth="1"/>
    <col min="5904" max="6144" width="11" style="67"/>
    <col min="6145" max="6145" width="5.125" style="67" bestFit="1" customWidth="1"/>
    <col min="6146" max="6146" width="50" style="67" bestFit="1" customWidth="1"/>
    <col min="6147" max="6147" width="8" style="67" customWidth="1"/>
    <col min="6148" max="6148" width="9" style="67" customWidth="1"/>
    <col min="6149" max="6158" width="8" style="67" customWidth="1"/>
    <col min="6159" max="6159" width="7.25" style="67" bestFit="1" customWidth="1"/>
    <col min="6160" max="6400" width="11" style="67"/>
    <col min="6401" max="6401" width="5.125" style="67" bestFit="1" customWidth="1"/>
    <col min="6402" max="6402" width="50" style="67" bestFit="1" customWidth="1"/>
    <col min="6403" max="6403" width="8" style="67" customWidth="1"/>
    <col min="6404" max="6404" width="9" style="67" customWidth="1"/>
    <col min="6405" max="6414" width="8" style="67" customWidth="1"/>
    <col min="6415" max="6415" width="7.25" style="67" bestFit="1" customWidth="1"/>
    <col min="6416" max="6656" width="11" style="67"/>
    <col min="6657" max="6657" width="5.125" style="67" bestFit="1" customWidth="1"/>
    <col min="6658" max="6658" width="50" style="67" bestFit="1" customWidth="1"/>
    <col min="6659" max="6659" width="8" style="67" customWidth="1"/>
    <col min="6660" max="6660" width="9" style="67" customWidth="1"/>
    <col min="6661" max="6670" width="8" style="67" customWidth="1"/>
    <col min="6671" max="6671" width="7.25" style="67" bestFit="1" customWidth="1"/>
    <col min="6672" max="6912" width="11" style="67"/>
    <col min="6913" max="6913" width="5.125" style="67" bestFit="1" customWidth="1"/>
    <col min="6914" max="6914" width="50" style="67" bestFit="1" customWidth="1"/>
    <col min="6915" max="6915" width="8" style="67" customWidth="1"/>
    <col min="6916" max="6916" width="9" style="67" customWidth="1"/>
    <col min="6917" max="6926" width="8" style="67" customWidth="1"/>
    <col min="6927" max="6927" width="7.25" style="67" bestFit="1" customWidth="1"/>
    <col min="6928" max="7168" width="11" style="67"/>
    <col min="7169" max="7169" width="5.125" style="67" bestFit="1" customWidth="1"/>
    <col min="7170" max="7170" width="50" style="67" bestFit="1" customWidth="1"/>
    <col min="7171" max="7171" width="8" style="67" customWidth="1"/>
    <col min="7172" max="7172" width="9" style="67" customWidth="1"/>
    <col min="7173" max="7182" width="8" style="67" customWidth="1"/>
    <col min="7183" max="7183" width="7.25" style="67" bestFit="1" customWidth="1"/>
    <col min="7184" max="7424" width="11" style="67"/>
    <col min="7425" max="7425" width="5.125" style="67" bestFit="1" customWidth="1"/>
    <col min="7426" max="7426" width="50" style="67" bestFit="1" customWidth="1"/>
    <col min="7427" max="7427" width="8" style="67" customWidth="1"/>
    <col min="7428" max="7428" width="9" style="67" customWidth="1"/>
    <col min="7429" max="7438" width="8" style="67" customWidth="1"/>
    <col min="7439" max="7439" width="7.25" style="67" bestFit="1" customWidth="1"/>
    <col min="7440" max="7680" width="11" style="67"/>
    <col min="7681" max="7681" width="5.125" style="67" bestFit="1" customWidth="1"/>
    <col min="7682" max="7682" width="50" style="67" bestFit="1" customWidth="1"/>
    <col min="7683" max="7683" width="8" style="67" customWidth="1"/>
    <col min="7684" max="7684" width="9" style="67" customWidth="1"/>
    <col min="7685" max="7694" width="8" style="67" customWidth="1"/>
    <col min="7695" max="7695" width="7.25" style="67" bestFit="1" customWidth="1"/>
    <col min="7696" max="7936" width="11" style="67"/>
    <col min="7937" max="7937" width="5.125" style="67" bestFit="1" customWidth="1"/>
    <col min="7938" max="7938" width="50" style="67" bestFit="1" customWidth="1"/>
    <col min="7939" max="7939" width="8" style="67" customWidth="1"/>
    <col min="7940" max="7940" width="9" style="67" customWidth="1"/>
    <col min="7941" max="7950" width="8" style="67" customWidth="1"/>
    <col min="7951" max="7951" width="7.25" style="67" bestFit="1" customWidth="1"/>
    <col min="7952" max="8192" width="11" style="67"/>
    <col min="8193" max="8193" width="5.125" style="67" bestFit="1" customWidth="1"/>
    <col min="8194" max="8194" width="50" style="67" bestFit="1" customWidth="1"/>
    <col min="8195" max="8195" width="8" style="67" customWidth="1"/>
    <col min="8196" max="8196" width="9" style="67" customWidth="1"/>
    <col min="8197" max="8206" width="8" style="67" customWidth="1"/>
    <col min="8207" max="8207" width="7.25" style="67" bestFit="1" customWidth="1"/>
    <col min="8208" max="8448" width="11" style="67"/>
    <col min="8449" max="8449" width="5.125" style="67" bestFit="1" customWidth="1"/>
    <col min="8450" max="8450" width="50" style="67" bestFit="1" customWidth="1"/>
    <col min="8451" max="8451" width="8" style="67" customWidth="1"/>
    <col min="8452" max="8452" width="9" style="67" customWidth="1"/>
    <col min="8453" max="8462" width="8" style="67" customWidth="1"/>
    <col min="8463" max="8463" width="7.25" style="67" bestFit="1" customWidth="1"/>
    <col min="8464" max="8704" width="11" style="67"/>
    <col min="8705" max="8705" width="5.125" style="67" bestFit="1" customWidth="1"/>
    <col min="8706" max="8706" width="50" style="67" bestFit="1" customWidth="1"/>
    <col min="8707" max="8707" width="8" style="67" customWidth="1"/>
    <col min="8708" max="8708" width="9" style="67" customWidth="1"/>
    <col min="8709" max="8718" width="8" style="67" customWidth="1"/>
    <col min="8719" max="8719" width="7.25" style="67" bestFit="1" customWidth="1"/>
    <col min="8720" max="8960" width="11" style="67"/>
    <col min="8961" max="8961" width="5.125" style="67" bestFit="1" customWidth="1"/>
    <col min="8962" max="8962" width="50" style="67" bestFit="1" customWidth="1"/>
    <col min="8963" max="8963" width="8" style="67" customWidth="1"/>
    <col min="8964" max="8964" width="9" style="67" customWidth="1"/>
    <col min="8965" max="8974" width="8" style="67" customWidth="1"/>
    <col min="8975" max="8975" width="7.25" style="67" bestFit="1" customWidth="1"/>
    <col min="8976" max="9216" width="11" style="67"/>
    <col min="9217" max="9217" width="5.125" style="67" bestFit="1" customWidth="1"/>
    <col min="9218" max="9218" width="50" style="67" bestFit="1" customWidth="1"/>
    <col min="9219" max="9219" width="8" style="67" customWidth="1"/>
    <col min="9220" max="9220" width="9" style="67" customWidth="1"/>
    <col min="9221" max="9230" width="8" style="67" customWidth="1"/>
    <col min="9231" max="9231" width="7.25" style="67" bestFit="1" customWidth="1"/>
    <col min="9232" max="9472" width="11" style="67"/>
    <col min="9473" max="9473" width="5.125" style="67" bestFit="1" customWidth="1"/>
    <col min="9474" max="9474" width="50" style="67" bestFit="1" customWidth="1"/>
    <col min="9475" max="9475" width="8" style="67" customWidth="1"/>
    <col min="9476" max="9476" width="9" style="67" customWidth="1"/>
    <col min="9477" max="9486" width="8" style="67" customWidth="1"/>
    <col min="9487" max="9487" width="7.25" style="67" bestFit="1" customWidth="1"/>
    <col min="9488" max="9728" width="11" style="67"/>
    <col min="9729" max="9729" width="5.125" style="67" bestFit="1" customWidth="1"/>
    <col min="9730" max="9730" width="50" style="67" bestFit="1" customWidth="1"/>
    <col min="9731" max="9731" width="8" style="67" customWidth="1"/>
    <col min="9732" max="9732" width="9" style="67" customWidth="1"/>
    <col min="9733" max="9742" width="8" style="67" customWidth="1"/>
    <col min="9743" max="9743" width="7.25" style="67" bestFit="1" customWidth="1"/>
    <col min="9744" max="9984" width="11" style="67"/>
    <col min="9985" max="9985" width="5.125" style="67" bestFit="1" customWidth="1"/>
    <col min="9986" max="9986" width="50" style="67" bestFit="1" customWidth="1"/>
    <col min="9987" max="9987" width="8" style="67" customWidth="1"/>
    <col min="9988" max="9988" width="9" style="67" customWidth="1"/>
    <col min="9989" max="9998" width="8" style="67" customWidth="1"/>
    <col min="9999" max="9999" width="7.25" style="67" bestFit="1" customWidth="1"/>
    <col min="10000" max="10240" width="11" style="67"/>
    <col min="10241" max="10241" width="5.125" style="67" bestFit="1" customWidth="1"/>
    <col min="10242" max="10242" width="50" style="67" bestFit="1" customWidth="1"/>
    <col min="10243" max="10243" width="8" style="67" customWidth="1"/>
    <col min="10244" max="10244" width="9" style="67" customWidth="1"/>
    <col min="10245" max="10254" width="8" style="67" customWidth="1"/>
    <col min="10255" max="10255" width="7.25" style="67" bestFit="1" customWidth="1"/>
    <col min="10256" max="10496" width="11" style="67"/>
    <col min="10497" max="10497" width="5.125" style="67" bestFit="1" customWidth="1"/>
    <col min="10498" max="10498" width="50" style="67" bestFit="1" customWidth="1"/>
    <col min="10499" max="10499" width="8" style="67" customWidth="1"/>
    <col min="10500" max="10500" width="9" style="67" customWidth="1"/>
    <col min="10501" max="10510" width="8" style="67" customWidth="1"/>
    <col min="10511" max="10511" width="7.25" style="67" bestFit="1" customWidth="1"/>
    <col min="10512" max="10752" width="11" style="67"/>
    <col min="10753" max="10753" width="5.125" style="67" bestFit="1" customWidth="1"/>
    <col min="10754" max="10754" width="50" style="67" bestFit="1" customWidth="1"/>
    <col min="10755" max="10755" width="8" style="67" customWidth="1"/>
    <col min="10756" max="10756" width="9" style="67" customWidth="1"/>
    <col min="10757" max="10766" width="8" style="67" customWidth="1"/>
    <col min="10767" max="10767" width="7.25" style="67" bestFit="1" customWidth="1"/>
    <col min="10768" max="11008" width="11" style="67"/>
    <col min="11009" max="11009" width="5.125" style="67" bestFit="1" customWidth="1"/>
    <col min="11010" max="11010" width="50" style="67" bestFit="1" customWidth="1"/>
    <col min="11011" max="11011" width="8" style="67" customWidth="1"/>
    <col min="11012" max="11012" width="9" style="67" customWidth="1"/>
    <col min="11013" max="11022" width="8" style="67" customWidth="1"/>
    <col min="11023" max="11023" width="7.25" style="67" bestFit="1" customWidth="1"/>
    <col min="11024" max="11264" width="11" style="67"/>
    <col min="11265" max="11265" width="5.125" style="67" bestFit="1" customWidth="1"/>
    <col min="11266" max="11266" width="50" style="67" bestFit="1" customWidth="1"/>
    <col min="11267" max="11267" width="8" style="67" customWidth="1"/>
    <col min="11268" max="11268" width="9" style="67" customWidth="1"/>
    <col min="11269" max="11278" width="8" style="67" customWidth="1"/>
    <col min="11279" max="11279" width="7.25" style="67" bestFit="1" customWidth="1"/>
    <col min="11280" max="11520" width="11" style="67"/>
    <col min="11521" max="11521" width="5.125" style="67" bestFit="1" customWidth="1"/>
    <col min="11522" max="11522" width="50" style="67" bestFit="1" customWidth="1"/>
    <col min="11523" max="11523" width="8" style="67" customWidth="1"/>
    <col min="11524" max="11524" width="9" style="67" customWidth="1"/>
    <col min="11525" max="11534" width="8" style="67" customWidth="1"/>
    <col min="11535" max="11535" width="7.25" style="67" bestFit="1" customWidth="1"/>
    <col min="11536" max="11776" width="11" style="67"/>
    <col min="11777" max="11777" width="5.125" style="67" bestFit="1" customWidth="1"/>
    <col min="11778" max="11778" width="50" style="67" bestFit="1" customWidth="1"/>
    <col min="11779" max="11779" width="8" style="67" customWidth="1"/>
    <col min="11780" max="11780" width="9" style="67" customWidth="1"/>
    <col min="11781" max="11790" width="8" style="67" customWidth="1"/>
    <col min="11791" max="11791" width="7.25" style="67" bestFit="1" customWidth="1"/>
    <col min="11792" max="12032" width="11" style="67"/>
    <col min="12033" max="12033" width="5.125" style="67" bestFit="1" customWidth="1"/>
    <col min="12034" max="12034" width="50" style="67" bestFit="1" customWidth="1"/>
    <col min="12035" max="12035" width="8" style="67" customWidth="1"/>
    <col min="12036" max="12036" width="9" style="67" customWidth="1"/>
    <col min="12037" max="12046" width="8" style="67" customWidth="1"/>
    <col min="12047" max="12047" width="7.25" style="67" bestFit="1" customWidth="1"/>
    <col min="12048" max="12288" width="11" style="67"/>
    <col min="12289" max="12289" width="5.125" style="67" bestFit="1" customWidth="1"/>
    <col min="12290" max="12290" width="50" style="67" bestFit="1" customWidth="1"/>
    <col min="12291" max="12291" width="8" style="67" customWidth="1"/>
    <col min="12292" max="12292" width="9" style="67" customWidth="1"/>
    <col min="12293" max="12302" width="8" style="67" customWidth="1"/>
    <col min="12303" max="12303" width="7.25" style="67" bestFit="1" customWidth="1"/>
    <col min="12304" max="12544" width="11" style="67"/>
    <col min="12545" max="12545" width="5.125" style="67" bestFit="1" customWidth="1"/>
    <col min="12546" max="12546" width="50" style="67" bestFit="1" customWidth="1"/>
    <col min="12547" max="12547" width="8" style="67" customWidth="1"/>
    <col min="12548" max="12548" width="9" style="67" customWidth="1"/>
    <col min="12549" max="12558" width="8" style="67" customWidth="1"/>
    <col min="12559" max="12559" width="7.25" style="67" bestFit="1" customWidth="1"/>
    <col min="12560" max="12800" width="11" style="67"/>
    <col min="12801" max="12801" width="5.125" style="67" bestFit="1" customWidth="1"/>
    <col min="12802" max="12802" width="50" style="67" bestFit="1" customWidth="1"/>
    <col min="12803" max="12803" width="8" style="67" customWidth="1"/>
    <col min="12804" max="12804" width="9" style="67" customWidth="1"/>
    <col min="12805" max="12814" width="8" style="67" customWidth="1"/>
    <col min="12815" max="12815" width="7.25" style="67" bestFit="1" customWidth="1"/>
    <col min="12816" max="13056" width="11" style="67"/>
    <col min="13057" max="13057" width="5.125" style="67" bestFit="1" customWidth="1"/>
    <col min="13058" max="13058" width="50" style="67" bestFit="1" customWidth="1"/>
    <col min="13059" max="13059" width="8" style="67" customWidth="1"/>
    <col min="13060" max="13060" width="9" style="67" customWidth="1"/>
    <col min="13061" max="13070" width="8" style="67" customWidth="1"/>
    <col min="13071" max="13071" width="7.25" style="67" bestFit="1" customWidth="1"/>
    <col min="13072" max="13312" width="11" style="67"/>
    <col min="13313" max="13313" width="5.125" style="67" bestFit="1" customWidth="1"/>
    <col min="13314" max="13314" width="50" style="67" bestFit="1" customWidth="1"/>
    <col min="13315" max="13315" width="8" style="67" customWidth="1"/>
    <col min="13316" max="13316" width="9" style="67" customWidth="1"/>
    <col min="13317" max="13326" width="8" style="67" customWidth="1"/>
    <col min="13327" max="13327" width="7.25" style="67" bestFit="1" customWidth="1"/>
    <col min="13328" max="13568" width="11" style="67"/>
    <col min="13569" max="13569" width="5.125" style="67" bestFit="1" customWidth="1"/>
    <col min="13570" max="13570" width="50" style="67" bestFit="1" customWidth="1"/>
    <col min="13571" max="13571" width="8" style="67" customWidth="1"/>
    <col min="13572" max="13572" width="9" style="67" customWidth="1"/>
    <col min="13573" max="13582" width="8" style="67" customWidth="1"/>
    <col min="13583" max="13583" width="7.25" style="67" bestFit="1" customWidth="1"/>
    <col min="13584" max="13824" width="11" style="67"/>
    <col min="13825" max="13825" width="5.125" style="67" bestFit="1" customWidth="1"/>
    <col min="13826" max="13826" width="50" style="67" bestFit="1" customWidth="1"/>
    <col min="13827" max="13827" width="8" style="67" customWidth="1"/>
    <col min="13828" max="13828" width="9" style="67" customWidth="1"/>
    <col min="13829" max="13838" width="8" style="67" customWidth="1"/>
    <col min="13839" max="13839" width="7.25" style="67" bestFit="1" customWidth="1"/>
    <col min="13840" max="14080" width="11" style="67"/>
    <col min="14081" max="14081" width="5.125" style="67" bestFit="1" customWidth="1"/>
    <col min="14082" max="14082" width="50" style="67" bestFit="1" customWidth="1"/>
    <col min="14083" max="14083" width="8" style="67" customWidth="1"/>
    <col min="14084" max="14084" width="9" style="67" customWidth="1"/>
    <col min="14085" max="14094" width="8" style="67" customWidth="1"/>
    <col min="14095" max="14095" width="7.25" style="67" bestFit="1" customWidth="1"/>
    <col min="14096" max="14336" width="11" style="67"/>
    <col min="14337" max="14337" width="5.125" style="67" bestFit="1" customWidth="1"/>
    <col min="14338" max="14338" width="50" style="67" bestFit="1" customWidth="1"/>
    <col min="14339" max="14339" width="8" style="67" customWidth="1"/>
    <col min="14340" max="14340" width="9" style="67" customWidth="1"/>
    <col min="14341" max="14350" width="8" style="67" customWidth="1"/>
    <col min="14351" max="14351" width="7.25" style="67" bestFit="1" customWidth="1"/>
    <col min="14352" max="14592" width="11" style="67"/>
    <col min="14593" max="14593" width="5.125" style="67" bestFit="1" customWidth="1"/>
    <col min="14594" max="14594" width="50" style="67" bestFit="1" customWidth="1"/>
    <col min="14595" max="14595" width="8" style="67" customWidth="1"/>
    <col min="14596" max="14596" width="9" style="67" customWidth="1"/>
    <col min="14597" max="14606" width="8" style="67" customWidth="1"/>
    <col min="14607" max="14607" width="7.25" style="67" bestFit="1" customWidth="1"/>
    <col min="14608" max="14848" width="11" style="67"/>
    <col min="14849" max="14849" width="5.125" style="67" bestFit="1" customWidth="1"/>
    <col min="14850" max="14850" width="50" style="67" bestFit="1" customWidth="1"/>
    <col min="14851" max="14851" width="8" style="67" customWidth="1"/>
    <col min="14852" max="14852" width="9" style="67" customWidth="1"/>
    <col min="14853" max="14862" width="8" style="67" customWidth="1"/>
    <col min="14863" max="14863" width="7.25" style="67" bestFit="1" customWidth="1"/>
    <col min="14864" max="15104" width="11" style="67"/>
    <col min="15105" max="15105" width="5.125" style="67" bestFit="1" customWidth="1"/>
    <col min="15106" max="15106" width="50" style="67" bestFit="1" customWidth="1"/>
    <col min="15107" max="15107" width="8" style="67" customWidth="1"/>
    <col min="15108" max="15108" width="9" style="67" customWidth="1"/>
    <col min="15109" max="15118" width="8" style="67" customWidth="1"/>
    <col min="15119" max="15119" width="7.25" style="67" bestFit="1" customWidth="1"/>
    <col min="15120" max="15360" width="11" style="67"/>
    <col min="15361" max="15361" width="5.125" style="67" bestFit="1" customWidth="1"/>
    <col min="15362" max="15362" width="50" style="67" bestFit="1" customWidth="1"/>
    <col min="15363" max="15363" width="8" style="67" customWidth="1"/>
    <col min="15364" max="15364" width="9" style="67" customWidth="1"/>
    <col min="15365" max="15374" width="8" style="67" customWidth="1"/>
    <col min="15375" max="15375" width="7.25" style="67" bestFit="1" customWidth="1"/>
    <col min="15376" max="15616" width="11" style="67"/>
    <col min="15617" max="15617" width="5.125" style="67" bestFit="1" customWidth="1"/>
    <col min="15618" max="15618" width="50" style="67" bestFit="1" customWidth="1"/>
    <col min="15619" max="15619" width="8" style="67" customWidth="1"/>
    <col min="15620" max="15620" width="9" style="67" customWidth="1"/>
    <col min="15621" max="15630" width="8" style="67" customWidth="1"/>
    <col min="15631" max="15631" width="7.25" style="67" bestFit="1" customWidth="1"/>
    <col min="15632" max="15872" width="11" style="67"/>
    <col min="15873" max="15873" width="5.125" style="67" bestFit="1" customWidth="1"/>
    <col min="15874" max="15874" width="50" style="67" bestFit="1" customWidth="1"/>
    <col min="15875" max="15875" width="8" style="67" customWidth="1"/>
    <col min="15876" max="15876" width="9" style="67" customWidth="1"/>
    <col min="15877" max="15886" width="8" style="67" customWidth="1"/>
    <col min="15887" max="15887" width="7.25" style="67" bestFit="1" customWidth="1"/>
    <col min="15888" max="16128" width="11" style="67"/>
    <col min="16129" max="16129" width="5.125" style="67" bestFit="1" customWidth="1"/>
    <col min="16130" max="16130" width="50" style="67" bestFit="1" customWidth="1"/>
    <col min="16131" max="16131" width="8" style="67" customWidth="1"/>
    <col min="16132" max="16132" width="9" style="67" customWidth="1"/>
    <col min="16133" max="16142" width="8" style="67" customWidth="1"/>
    <col min="16143" max="16143" width="7.25" style="67" bestFit="1" customWidth="1"/>
    <col min="16144" max="16384" width="11" style="67"/>
  </cols>
  <sheetData>
    <row r="1" spans="1:21" ht="18.350000000000001" x14ac:dyDescent="0.3">
      <c r="A1" s="633" t="s">
        <v>3625</v>
      </c>
      <c r="B1" s="634"/>
      <c r="C1" s="634"/>
      <c r="D1" s="634"/>
      <c r="E1" s="634"/>
      <c r="F1" s="634"/>
      <c r="G1" s="634"/>
      <c r="H1" s="634"/>
      <c r="I1" s="634"/>
      <c r="J1" s="634"/>
      <c r="K1" s="634"/>
      <c r="L1" s="634"/>
      <c r="M1" s="634"/>
      <c r="N1" s="634"/>
      <c r="O1" s="635"/>
      <c r="P1" s="223"/>
    </row>
    <row r="2" spans="1:21" ht="15.65" x14ac:dyDescent="0.25">
      <c r="A2" s="636" t="s">
        <v>3546</v>
      </c>
      <c r="B2" s="637"/>
      <c r="C2" s="637"/>
      <c r="D2" s="637"/>
      <c r="E2" s="637"/>
      <c r="F2" s="637"/>
      <c r="G2" s="637"/>
      <c r="H2" s="637"/>
      <c r="I2" s="637"/>
      <c r="J2" s="637"/>
      <c r="K2" s="637"/>
      <c r="L2" s="637"/>
      <c r="M2" s="637"/>
      <c r="N2" s="637"/>
      <c r="O2" s="638"/>
      <c r="P2" s="223"/>
    </row>
    <row r="3" spans="1:21" ht="14.3" x14ac:dyDescent="0.25">
      <c r="C3" s="644" t="s">
        <v>3626</v>
      </c>
      <c r="D3" s="645"/>
      <c r="E3" s="645"/>
      <c r="F3" s="645"/>
      <c r="G3" s="645"/>
      <c r="H3" s="645"/>
      <c r="I3" s="645"/>
      <c r="J3" s="645"/>
      <c r="K3" s="645"/>
      <c r="L3" s="645"/>
      <c r="M3" s="645"/>
      <c r="N3" s="645"/>
      <c r="O3" s="646"/>
      <c r="Q3" s="647"/>
      <c r="R3" s="647"/>
      <c r="S3" s="647"/>
      <c r="T3" s="647"/>
      <c r="U3" s="647"/>
    </row>
    <row r="4" spans="1:21" ht="17.7" x14ac:dyDescent="0.2">
      <c r="A4" s="225" t="s">
        <v>3548</v>
      </c>
      <c r="B4" s="225" t="s">
        <v>3549</v>
      </c>
      <c r="C4" s="226" t="s">
        <v>9</v>
      </c>
      <c r="D4" s="226" t="s">
        <v>130</v>
      </c>
      <c r="E4" s="226" t="s">
        <v>321</v>
      </c>
      <c r="F4" s="226" t="s">
        <v>3550</v>
      </c>
      <c r="G4" s="226" t="s">
        <v>2145</v>
      </c>
      <c r="H4" s="226" t="s">
        <v>835</v>
      </c>
      <c r="I4" s="227" t="s">
        <v>2146</v>
      </c>
      <c r="J4" s="227" t="s">
        <v>2147</v>
      </c>
      <c r="K4" s="227" t="s">
        <v>2148</v>
      </c>
      <c r="L4" s="227" t="s">
        <v>2149</v>
      </c>
      <c r="M4" s="227" t="s">
        <v>3551</v>
      </c>
      <c r="N4" s="227" t="s">
        <v>2151</v>
      </c>
      <c r="O4" s="228" t="s">
        <v>2152</v>
      </c>
    </row>
    <row r="5" spans="1:21" x14ac:dyDescent="0.2">
      <c r="A5" s="230" t="s">
        <v>3552</v>
      </c>
      <c r="B5" s="230" t="s">
        <v>3553</v>
      </c>
      <c r="C5" s="231"/>
      <c r="D5" s="231"/>
      <c r="E5" s="231"/>
      <c r="F5" s="231"/>
      <c r="G5" s="231"/>
      <c r="H5" s="231"/>
      <c r="I5" s="231"/>
      <c r="J5" s="231"/>
      <c r="K5" s="231"/>
      <c r="L5" s="231"/>
      <c r="M5" s="231"/>
      <c r="N5" s="231"/>
      <c r="O5" s="231"/>
      <c r="P5" s="648"/>
      <c r="Q5" s="647"/>
      <c r="R5" s="647"/>
    </row>
    <row r="6" spans="1:21" ht="13.6" x14ac:dyDescent="0.2">
      <c r="A6" s="232">
        <v>1</v>
      </c>
      <c r="B6" s="233" t="s">
        <v>3554</v>
      </c>
      <c r="C6" s="234"/>
      <c r="D6" s="234">
        <v>1</v>
      </c>
      <c r="E6" s="234"/>
      <c r="F6" s="234"/>
      <c r="G6" s="234"/>
      <c r="H6" s="234"/>
      <c r="I6" s="234"/>
      <c r="J6" s="234"/>
      <c r="K6" s="234"/>
      <c r="L6" s="234">
        <v>1</v>
      </c>
      <c r="M6" s="234"/>
      <c r="N6" s="234">
        <v>3</v>
      </c>
      <c r="O6" s="235">
        <f>SUM(C6:N6)</f>
        <v>5</v>
      </c>
      <c r="P6" s="223"/>
      <c r="Q6" s="261"/>
    </row>
    <row r="7" spans="1:21" ht="13.6" x14ac:dyDescent="0.2">
      <c r="A7" s="232">
        <v>2</v>
      </c>
      <c r="B7" s="233" t="s">
        <v>3555</v>
      </c>
      <c r="C7" s="234">
        <v>1</v>
      </c>
      <c r="D7" s="234">
        <v>3</v>
      </c>
      <c r="E7" s="234">
        <v>3</v>
      </c>
      <c r="F7" s="234"/>
      <c r="G7" s="234"/>
      <c r="H7" s="234"/>
      <c r="I7" s="234"/>
      <c r="J7" s="234">
        <v>2</v>
      </c>
      <c r="K7" s="234"/>
      <c r="L7" s="234">
        <v>1</v>
      </c>
      <c r="M7" s="234"/>
      <c r="N7" s="234"/>
      <c r="O7" s="235">
        <f t="shared" ref="O7:O16" si="0">SUM(C7:N7)</f>
        <v>10</v>
      </c>
      <c r="P7" s="223"/>
    </row>
    <row r="8" spans="1:21" ht="13.6" x14ac:dyDescent="0.2">
      <c r="A8" s="232">
        <v>3</v>
      </c>
      <c r="B8" s="233" t="s">
        <v>3556</v>
      </c>
      <c r="C8" s="234">
        <v>1</v>
      </c>
      <c r="D8" s="234">
        <v>4</v>
      </c>
      <c r="E8" s="234">
        <v>1</v>
      </c>
      <c r="F8" s="234"/>
      <c r="G8" s="234"/>
      <c r="H8" s="234"/>
      <c r="I8" s="234"/>
      <c r="J8" s="234">
        <v>3</v>
      </c>
      <c r="K8" s="234">
        <v>1</v>
      </c>
      <c r="L8" s="234">
        <v>1</v>
      </c>
      <c r="M8" s="234"/>
      <c r="N8" s="234"/>
      <c r="O8" s="235">
        <f t="shared" si="0"/>
        <v>11</v>
      </c>
      <c r="P8" s="223"/>
    </row>
    <row r="9" spans="1:21" ht="13.6" x14ac:dyDescent="0.2">
      <c r="A9" s="232">
        <v>4</v>
      </c>
      <c r="B9" s="233" t="s">
        <v>3557</v>
      </c>
      <c r="C9" s="234"/>
      <c r="D9" s="234"/>
      <c r="E9" s="234"/>
      <c r="F9" s="234"/>
      <c r="G9" s="234"/>
      <c r="H9" s="234"/>
      <c r="I9" s="234"/>
      <c r="J9" s="234"/>
      <c r="K9" s="234"/>
      <c r="L9" s="234"/>
      <c r="M9" s="234"/>
      <c r="N9" s="234"/>
      <c r="O9" s="235">
        <f t="shared" si="0"/>
        <v>0</v>
      </c>
      <c r="P9" s="223"/>
    </row>
    <row r="10" spans="1:21" ht="13.6" x14ac:dyDescent="0.2">
      <c r="A10" s="232">
        <v>5</v>
      </c>
      <c r="B10" s="233" t="s">
        <v>3558</v>
      </c>
      <c r="C10" s="234"/>
      <c r="D10" s="234"/>
      <c r="E10" s="234"/>
      <c r="F10" s="234"/>
      <c r="G10" s="234"/>
      <c r="H10" s="234"/>
      <c r="I10" s="234"/>
      <c r="J10" s="234"/>
      <c r="K10" s="234"/>
      <c r="L10" s="234"/>
      <c r="M10" s="234"/>
      <c r="N10" s="234"/>
      <c r="O10" s="235">
        <f t="shared" si="0"/>
        <v>0</v>
      </c>
      <c r="P10" s="223"/>
    </row>
    <row r="11" spans="1:21" ht="13.6" x14ac:dyDescent="0.2">
      <c r="A11" s="232">
        <v>6</v>
      </c>
      <c r="B11" s="233" t="s">
        <v>3559</v>
      </c>
      <c r="C11" s="234"/>
      <c r="D11" s="234"/>
      <c r="E11" s="234"/>
      <c r="F11" s="234"/>
      <c r="G11" s="234"/>
      <c r="H11" s="234"/>
      <c r="I11" s="234"/>
      <c r="J11" s="234"/>
      <c r="K11" s="234"/>
      <c r="L11" s="234"/>
      <c r="M11" s="234"/>
      <c r="N11" s="234"/>
      <c r="O11" s="235">
        <f t="shared" si="0"/>
        <v>0</v>
      </c>
    </row>
    <row r="12" spans="1:21" ht="13.6" x14ac:dyDescent="0.2">
      <c r="A12" s="232">
        <v>7</v>
      </c>
      <c r="B12" s="233" t="s">
        <v>3560</v>
      </c>
      <c r="C12" s="234"/>
      <c r="D12" s="234"/>
      <c r="E12" s="234"/>
      <c r="F12" s="234"/>
      <c r="G12" s="234"/>
      <c r="H12" s="234"/>
      <c r="I12" s="234"/>
      <c r="J12" s="234"/>
      <c r="K12" s="234"/>
      <c r="L12" s="234"/>
      <c r="M12" s="234"/>
      <c r="N12" s="234"/>
      <c r="O12" s="235">
        <f t="shared" si="0"/>
        <v>0</v>
      </c>
      <c r="P12" s="223"/>
    </row>
    <row r="13" spans="1:21" ht="13.6" x14ac:dyDescent="0.2">
      <c r="A13" s="232">
        <v>8</v>
      </c>
      <c r="B13" s="233" t="s">
        <v>3561</v>
      </c>
      <c r="C13" s="234"/>
      <c r="D13" s="234">
        <v>1</v>
      </c>
      <c r="E13" s="234">
        <v>1</v>
      </c>
      <c r="F13" s="234"/>
      <c r="G13" s="234"/>
      <c r="H13" s="234"/>
      <c r="I13" s="234"/>
      <c r="J13" s="234">
        <v>1</v>
      </c>
      <c r="K13" s="234"/>
      <c r="L13" s="234"/>
      <c r="M13" s="234">
        <v>1</v>
      </c>
      <c r="N13" s="234"/>
      <c r="O13" s="235">
        <f t="shared" si="0"/>
        <v>4</v>
      </c>
    </row>
    <row r="14" spans="1:21" ht="13.6" x14ac:dyDescent="0.2">
      <c r="A14" s="232">
        <v>9</v>
      </c>
      <c r="B14" s="233" t="s">
        <v>3562</v>
      </c>
      <c r="C14" s="234">
        <v>5</v>
      </c>
      <c r="D14" s="234"/>
      <c r="E14" s="234"/>
      <c r="F14" s="234"/>
      <c r="G14" s="234"/>
      <c r="H14" s="234"/>
      <c r="I14" s="234"/>
      <c r="J14" s="234">
        <v>1</v>
      </c>
      <c r="K14" s="234"/>
      <c r="L14" s="234"/>
      <c r="M14" s="234">
        <v>1</v>
      </c>
      <c r="N14" s="234"/>
      <c r="O14" s="235">
        <f t="shared" si="0"/>
        <v>7</v>
      </c>
    </row>
    <row r="15" spans="1:21" ht="13.6" x14ac:dyDescent="0.2">
      <c r="A15" s="232">
        <v>10</v>
      </c>
      <c r="B15" s="233" t="s">
        <v>3563</v>
      </c>
      <c r="C15" s="234"/>
      <c r="D15" s="234"/>
      <c r="E15" s="234"/>
      <c r="F15" s="234"/>
      <c r="G15" s="234"/>
      <c r="H15" s="234"/>
      <c r="I15" s="234"/>
      <c r="J15" s="234"/>
      <c r="K15" s="234"/>
      <c r="L15" s="234"/>
      <c r="M15" s="234"/>
      <c r="N15" s="234"/>
      <c r="O15" s="235">
        <f t="shared" si="0"/>
        <v>0</v>
      </c>
    </row>
    <row r="16" spans="1:21" ht="13.6" x14ac:dyDescent="0.2">
      <c r="A16" s="232">
        <v>11</v>
      </c>
      <c r="B16" s="233" t="s">
        <v>3564</v>
      </c>
      <c r="C16" s="234">
        <v>4</v>
      </c>
      <c r="D16" s="234">
        <v>2</v>
      </c>
      <c r="E16" s="234">
        <v>2</v>
      </c>
      <c r="F16" s="234">
        <v>1</v>
      </c>
      <c r="G16" s="234"/>
      <c r="H16" s="234"/>
      <c r="I16" s="234"/>
      <c r="J16" s="234">
        <v>2</v>
      </c>
      <c r="K16" s="234"/>
      <c r="L16" s="234"/>
      <c r="M16" s="234"/>
      <c r="N16" s="234"/>
      <c r="O16" s="235">
        <f t="shared" si="0"/>
        <v>11</v>
      </c>
    </row>
    <row r="17" spans="1:15" x14ac:dyDescent="0.2">
      <c r="A17" s="237"/>
      <c r="B17" s="238" t="s">
        <v>3565</v>
      </c>
      <c r="C17" s="239">
        <f>SUM(C6:C16)</f>
        <v>11</v>
      </c>
      <c r="D17" s="239">
        <f t="shared" ref="D17:N17" si="1">SUM(D6:D16)</f>
        <v>11</v>
      </c>
      <c r="E17" s="239">
        <f t="shared" si="1"/>
        <v>7</v>
      </c>
      <c r="F17" s="239">
        <f t="shared" si="1"/>
        <v>1</v>
      </c>
      <c r="G17" s="239">
        <f t="shared" si="1"/>
        <v>0</v>
      </c>
      <c r="H17" s="239">
        <f t="shared" si="1"/>
        <v>0</v>
      </c>
      <c r="I17" s="239">
        <f t="shared" si="1"/>
        <v>0</v>
      </c>
      <c r="J17" s="239">
        <f t="shared" si="1"/>
        <v>9</v>
      </c>
      <c r="K17" s="239">
        <f t="shared" si="1"/>
        <v>1</v>
      </c>
      <c r="L17" s="239">
        <f t="shared" si="1"/>
        <v>3</v>
      </c>
      <c r="M17" s="239">
        <f t="shared" si="1"/>
        <v>2</v>
      </c>
      <c r="N17" s="239">
        <f t="shared" si="1"/>
        <v>3</v>
      </c>
      <c r="O17" s="239">
        <f>SUM(O6:O16)</f>
        <v>48</v>
      </c>
    </row>
    <row r="18" spans="1:15" ht="13.6" x14ac:dyDescent="0.2">
      <c r="A18" s="240" t="s">
        <v>3566</v>
      </c>
      <c r="B18" s="241" t="s">
        <v>3567</v>
      </c>
      <c r="C18" s="649"/>
      <c r="D18" s="650"/>
      <c r="E18" s="650"/>
      <c r="F18" s="650"/>
      <c r="G18" s="650"/>
      <c r="H18" s="650"/>
      <c r="I18" s="650"/>
      <c r="J18" s="650"/>
      <c r="K18" s="650"/>
      <c r="L18" s="650"/>
      <c r="M18" s="650"/>
      <c r="N18" s="650"/>
      <c r="O18" s="651"/>
    </row>
    <row r="19" spans="1:15" ht="27.2" x14ac:dyDescent="0.2">
      <c r="A19" s="232">
        <v>12</v>
      </c>
      <c r="B19" s="242" t="s">
        <v>3568</v>
      </c>
      <c r="C19" s="234">
        <v>4</v>
      </c>
      <c r="D19" s="234">
        <v>1</v>
      </c>
      <c r="E19" s="234"/>
      <c r="F19" s="234">
        <v>4</v>
      </c>
      <c r="G19" s="234">
        <v>1</v>
      </c>
      <c r="H19" s="234">
        <v>1</v>
      </c>
      <c r="I19" s="234"/>
      <c r="J19" s="234">
        <v>2</v>
      </c>
      <c r="K19" s="234">
        <v>1</v>
      </c>
      <c r="L19" s="234"/>
      <c r="M19" s="234">
        <v>2</v>
      </c>
      <c r="N19" s="234">
        <v>1</v>
      </c>
      <c r="O19" s="235">
        <f>SUM(C19:N19)</f>
        <v>17</v>
      </c>
    </row>
    <row r="20" spans="1:15" ht="13.6" x14ac:dyDescent="0.2">
      <c r="A20" s="232">
        <v>13</v>
      </c>
      <c r="B20" s="233" t="s">
        <v>3569</v>
      </c>
      <c r="C20" s="234"/>
      <c r="D20" s="234"/>
      <c r="E20" s="234"/>
      <c r="F20" s="234"/>
      <c r="G20" s="234"/>
      <c r="H20" s="234"/>
      <c r="I20" s="234"/>
      <c r="J20" s="234"/>
      <c r="K20" s="234"/>
      <c r="L20" s="234"/>
      <c r="M20" s="234"/>
      <c r="N20" s="234"/>
      <c r="O20" s="235">
        <f t="shared" ref="O20:O32" si="2">SUM(C20:N20)</f>
        <v>0</v>
      </c>
    </row>
    <row r="21" spans="1:15" ht="13.6" x14ac:dyDescent="0.2">
      <c r="A21" s="232">
        <v>14</v>
      </c>
      <c r="B21" s="233" t="s">
        <v>3570</v>
      </c>
      <c r="C21" s="234"/>
      <c r="D21" s="234"/>
      <c r="E21" s="234">
        <v>2</v>
      </c>
      <c r="F21" s="234"/>
      <c r="G21" s="234">
        <v>3</v>
      </c>
      <c r="H21" s="234"/>
      <c r="I21" s="234">
        <v>2</v>
      </c>
      <c r="J21" s="234"/>
      <c r="K21" s="234"/>
      <c r="L21" s="234"/>
      <c r="M21" s="234"/>
      <c r="N21" s="234">
        <v>1</v>
      </c>
      <c r="O21" s="235">
        <f t="shared" si="2"/>
        <v>8</v>
      </c>
    </row>
    <row r="22" spans="1:15" ht="13.6" x14ac:dyDescent="0.2">
      <c r="A22" s="232">
        <v>15</v>
      </c>
      <c r="B22" s="233" t="s">
        <v>3571</v>
      </c>
      <c r="C22" s="234"/>
      <c r="D22" s="234"/>
      <c r="E22" s="234"/>
      <c r="F22" s="234"/>
      <c r="G22" s="234"/>
      <c r="H22" s="234"/>
      <c r="I22" s="234"/>
      <c r="J22" s="234"/>
      <c r="K22" s="234"/>
      <c r="L22" s="234"/>
      <c r="M22" s="234"/>
      <c r="N22" s="234"/>
      <c r="O22" s="235">
        <f t="shared" si="2"/>
        <v>0</v>
      </c>
    </row>
    <row r="23" spans="1:15" ht="13.6" x14ac:dyDescent="0.2">
      <c r="A23" s="232">
        <v>16</v>
      </c>
      <c r="B23" s="233" t="s">
        <v>3572</v>
      </c>
      <c r="C23" s="234"/>
      <c r="D23" s="234"/>
      <c r="E23" s="234"/>
      <c r="F23" s="234"/>
      <c r="G23" s="234"/>
      <c r="H23" s="234"/>
      <c r="I23" s="234"/>
      <c r="J23" s="234"/>
      <c r="K23" s="234"/>
      <c r="L23" s="234"/>
      <c r="M23" s="234"/>
      <c r="N23" s="234"/>
      <c r="O23" s="235">
        <f t="shared" si="2"/>
        <v>0</v>
      </c>
    </row>
    <row r="24" spans="1:15" ht="13.6" x14ac:dyDescent="0.2">
      <c r="A24" s="232">
        <v>17</v>
      </c>
      <c r="B24" s="233" t="s">
        <v>3573</v>
      </c>
      <c r="C24" s="234">
        <v>1</v>
      </c>
      <c r="D24" s="234"/>
      <c r="E24" s="234"/>
      <c r="F24" s="234"/>
      <c r="G24" s="234"/>
      <c r="H24" s="234"/>
      <c r="I24" s="234"/>
      <c r="J24" s="234"/>
      <c r="K24" s="234"/>
      <c r="L24" s="234"/>
      <c r="M24" s="234"/>
      <c r="N24" s="234"/>
      <c r="O24" s="235">
        <f t="shared" si="2"/>
        <v>1</v>
      </c>
    </row>
    <row r="25" spans="1:15" ht="13.6" x14ac:dyDescent="0.2">
      <c r="A25" s="232">
        <v>18</v>
      </c>
      <c r="B25" s="233" t="s">
        <v>3574</v>
      </c>
      <c r="C25" s="234"/>
      <c r="D25" s="234"/>
      <c r="E25" s="234"/>
      <c r="F25" s="234"/>
      <c r="G25" s="234"/>
      <c r="H25" s="234"/>
      <c r="I25" s="234"/>
      <c r="J25" s="234"/>
      <c r="K25" s="234"/>
      <c r="L25" s="234"/>
      <c r="M25" s="234"/>
      <c r="N25" s="234"/>
      <c r="O25" s="235">
        <f t="shared" si="2"/>
        <v>0</v>
      </c>
    </row>
    <row r="26" spans="1:15" ht="13.6" x14ac:dyDescent="0.2">
      <c r="A26" s="232">
        <v>19</v>
      </c>
      <c r="B26" s="233" t="s">
        <v>3575</v>
      </c>
      <c r="C26" s="234"/>
      <c r="D26" s="234"/>
      <c r="E26" s="234"/>
      <c r="F26" s="234"/>
      <c r="G26" s="234"/>
      <c r="H26" s="234"/>
      <c r="I26" s="234"/>
      <c r="J26" s="234"/>
      <c r="K26" s="234"/>
      <c r="L26" s="234"/>
      <c r="M26" s="234"/>
      <c r="N26" s="234"/>
      <c r="O26" s="235">
        <f t="shared" si="2"/>
        <v>0</v>
      </c>
    </row>
    <row r="27" spans="1:15" ht="13.6" x14ac:dyDescent="0.2">
      <c r="A27" s="232">
        <v>20</v>
      </c>
      <c r="B27" s="233" t="s">
        <v>3576</v>
      </c>
      <c r="C27" s="234"/>
      <c r="D27" s="234"/>
      <c r="E27" s="234"/>
      <c r="F27" s="234"/>
      <c r="G27" s="234"/>
      <c r="H27" s="234"/>
      <c r="I27" s="234"/>
      <c r="J27" s="234"/>
      <c r="K27" s="234"/>
      <c r="L27" s="234"/>
      <c r="M27" s="234"/>
      <c r="N27" s="234"/>
      <c r="O27" s="235">
        <f t="shared" si="2"/>
        <v>0</v>
      </c>
    </row>
    <row r="28" spans="1:15" ht="13.6" x14ac:dyDescent="0.2">
      <c r="A28" s="232">
        <v>21</v>
      </c>
      <c r="B28" s="233" t="s">
        <v>3577</v>
      </c>
      <c r="C28" s="234"/>
      <c r="D28" s="234"/>
      <c r="E28" s="234"/>
      <c r="F28" s="234"/>
      <c r="G28" s="234"/>
      <c r="H28" s="234"/>
      <c r="I28" s="234"/>
      <c r="J28" s="234"/>
      <c r="K28" s="234"/>
      <c r="L28" s="234"/>
      <c r="M28" s="234"/>
      <c r="N28" s="234"/>
      <c r="O28" s="235">
        <f t="shared" si="2"/>
        <v>0</v>
      </c>
    </row>
    <row r="29" spans="1:15" ht="13.6" x14ac:dyDescent="0.2">
      <c r="A29" s="232">
        <v>22</v>
      </c>
      <c r="B29" s="233" t="s">
        <v>3578</v>
      </c>
      <c r="C29" s="234"/>
      <c r="D29" s="234"/>
      <c r="E29" s="234"/>
      <c r="F29" s="234"/>
      <c r="G29" s="234"/>
      <c r="H29" s="234"/>
      <c r="I29" s="234"/>
      <c r="J29" s="234"/>
      <c r="K29" s="234"/>
      <c r="L29" s="234"/>
      <c r="M29" s="234"/>
      <c r="N29" s="234"/>
      <c r="O29" s="235">
        <f t="shared" si="2"/>
        <v>0</v>
      </c>
    </row>
    <row r="30" spans="1:15" ht="13.6" x14ac:dyDescent="0.2">
      <c r="A30" s="232">
        <v>23</v>
      </c>
      <c r="B30" s="233" t="s">
        <v>3579</v>
      </c>
      <c r="C30" s="234"/>
      <c r="D30" s="234"/>
      <c r="E30" s="234"/>
      <c r="F30" s="234"/>
      <c r="G30" s="234"/>
      <c r="H30" s="234">
        <v>1</v>
      </c>
      <c r="I30" s="234"/>
      <c r="J30" s="234"/>
      <c r="K30" s="234"/>
      <c r="L30" s="234"/>
      <c r="M30" s="234"/>
      <c r="N30" s="234"/>
      <c r="O30" s="235">
        <f t="shared" si="2"/>
        <v>1</v>
      </c>
    </row>
    <row r="31" spans="1:15" ht="13.6" x14ac:dyDescent="0.2">
      <c r="A31" s="232">
        <v>24</v>
      </c>
      <c r="B31" s="233" t="s">
        <v>3580</v>
      </c>
      <c r="C31" s="234"/>
      <c r="D31" s="234"/>
      <c r="E31" s="234"/>
      <c r="F31" s="234"/>
      <c r="G31" s="234"/>
      <c r="H31" s="234"/>
      <c r="I31" s="234"/>
      <c r="J31" s="234"/>
      <c r="K31" s="234"/>
      <c r="L31" s="234"/>
      <c r="M31" s="234"/>
      <c r="N31" s="234"/>
      <c r="O31" s="235">
        <f t="shared" si="2"/>
        <v>0</v>
      </c>
    </row>
    <row r="32" spans="1:15" ht="13.6" x14ac:dyDescent="0.2">
      <c r="A32" s="232">
        <v>25</v>
      </c>
      <c r="B32" s="233" t="s">
        <v>3581</v>
      </c>
      <c r="C32" s="234"/>
      <c r="D32" s="234"/>
      <c r="E32" s="234"/>
      <c r="F32" s="234"/>
      <c r="G32" s="234"/>
      <c r="H32" s="234"/>
      <c r="I32" s="234"/>
      <c r="J32" s="234"/>
      <c r="K32" s="234"/>
      <c r="L32" s="234">
        <v>1</v>
      </c>
      <c r="M32" s="234"/>
      <c r="N32" s="234"/>
      <c r="O32" s="235">
        <f t="shared" si="2"/>
        <v>1</v>
      </c>
    </row>
    <row r="33" spans="1:16" x14ac:dyDescent="0.2">
      <c r="A33" s="243"/>
      <c r="B33" s="238" t="s">
        <v>3565</v>
      </c>
      <c r="C33" s="239">
        <f>SUM(C19:C32)</f>
        <v>5</v>
      </c>
      <c r="D33" s="239">
        <f t="shared" ref="D33:N33" si="3">SUM(D19:D32)</f>
        <v>1</v>
      </c>
      <c r="E33" s="239">
        <f t="shared" si="3"/>
        <v>2</v>
      </c>
      <c r="F33" s="239">
        <f t="shared" si="3"/>
        <v>4</v>
      </c>
      <c r="G33" s="239">
        <f t="shared" si="3"/>
        <v>4</v>
      </c>
      <c r="H33" s="239">
        <f t="shared" si="3"/>
        <v>2</v>
      </c>
      <c r="I33" s="239">
        <f t="shared" si="3"/>
        <v>2</v>
      </c>
      <c r="J33" s="239">
        <f t="shared" si="3"/>
        <v>2</v>
      </c>
      <c r="K33" s="239">
        <f t="shared" si="3"/>
        <v>1</v>
      </c>
      <c r="L33" s="239">
        <f t="shared" si="3"/>
        <v>1</v>
      </c>
      <c r="M33" s="239">
        <f t="shared" si="3"/>
        <v>2</v>
      </c>
      <c r="N33" s="239">
        <f t="shared" si="3"/>
        <v>2</v>
      </c>
      <c r="O33" s="239">
        <f>SUM(O19:O32)</f>
        <v>28</v>
      </c>
    </row>
    <row r="34" spans="1:16" ht="14.3" x14ac:dyDescent="0.2">
      <c r="A34" s="244" t="s">
        <v>3582</v>
      </c>
      <c r="B34" s="245" t="s">
        <v>3583</v>
      </c>
      <c r="C34" s="652"/>
      <c r="D34" s="653"/>
      <c r="E34" s="653"/>
      <c r="F34" s="653"/>
      <c r="G34" s="653"/>
      <c r="H34" s="653"/>
      <c r="I34" s="653"/>
      <c r="J34" s="653"/>
      <c r="K34" s="653"/>
      <c r="L34" s="653"/>
      <c r="M34" s="653"/>
      <c r="N34" s="653"/>
      <c r="O34" s="654"/>
    </row>
    <row r="35" spans="1:16" ht="13.6" x14ac:dyDescent="0.2">
      <c r="A35" s="246">
        <v>26</v>
      </c>
      <c r="B35" s="233" t="s">
        <v>3584</v>
      </c>
      <c r="C35" s="234"/>
      <c r="D35" s="234"/>
      <c r="E35" s="234"/>
      <c r="F35" s="234"/>
      <c r="G35" s="234"/>
      <c r="H35" s="234"/>
      <c r="I35" s="234"/>
      <c r="J35" s="234"/>
      <c r="K35" s="234"/>
      <c r="L35" s="234"/>
      <c r="M35" s="234"/>
      <c r="N35" s="234"/>
      <c r="O35" s="235">
        <f>SUM(C35:N35)</f>
        <v>0</v>
      </c>
      <c r="P35" s="223"/>
    </row>
    <row r="36" spans="1:16" ht="13.6" x14ac:dyDescent="0.2">
      <c r="A36" s="232">
        <v>27</v>
      </c>
      <c r="B36" s="233" t="s">
        <v>3585</v>
      </c>
      <c r="C36" s="234"/>
      <c r="D36" s="234"/>
      <c r="E36" s="234"/>
      <c r="F36" s="234"/>
      <c r="G36" s="234"/>
      <c r="H36" s="234"/>
      <c r="I36" s="234"/>
      <c r="J36" s="234"/>
      <c r="K36" s="234"/>
      <c r="L36" s="234"/>
      <c r="M36" s="234"/>
      <c r="N36" s="234">
        <v>1</v>
      </c>
      <c r="O36" s="235">
        <f>SUM(C36:N36)</f>
        <v>1</v>
      </c>
    </row>
    <row r="37" spans="1:16" ht="13.6" x14ac:dyDescent="0.2">
      <c r="A37" s="232">
        <v>28</v>
      </c>
      <c r="B37" s="233" t="s">
        <v>3586</v>
      </c>
      <c r="C37" s="234">
        <v>1</v>
      </c>
      <c r="D37" s="234"/>
      <c r="E37" s="234">
        <v>1</v>
      </c>
      <c r="F37" s="234"/>
      <c r="G37" s="234"/>
      <c r="H37" s="234">
        <v>1</v>
      </c>
      <c r="I37" s="234">
        <v>1</v>
      </c>
      <c r="J37" s="234">
        <v>1</v>
      </c>
      <c r="K37" s="234"/>
      <c r="L37" s="234"/>
      <c r="M37" s="234">
        <v>1</v>
      </c>
      <c r="N37" s="234">
        <v>3</v>
      </c>
      <c r="O37" s="235">
        <f>SUM(C37:N37)</f>
        <v>9</v>
      </c>
    </row>
    <row r="38" spans="1:16" ht="13.6" x14ac:dyDescent="0.2">
      <c r="A38" s="232">
        <v>29</v>
      </c>
      <c r="B38" s="233" t="s">
        <v>3587</v>
      </c>
      <c r="C38" s="234">
        <v>1</v>
      </c>
      <c r="D38" s="234"/>
      <c r="E38" s="234"/>
      <c r="F38" s="234"/>
      <c r="G38" s="234"/>
      <c r="H38" s="234">
        <v>1</v>
      </c>
      <c r="I38" s="234"/>
      <c r="J38" s="234"/>
      <c r="K38" s="234"/>
      <c r="L38" s="234"/>
      <c r="M38" s="234">
        <v>1</v>
      </c>
      <c r="N38" s="234">
        <v>1</v>
      </c>
      <c r="O38" s="235">
        <f>SUM(C38:N38)</f>
        <v>4</v>
      </c>
    </row>
    <row r="39" spans="1:16" x14ac:dyDescent="0.2">
      <c r="A39" s="243"/>
      <c r="B39" s="238" t="s">
        <v>3565</v>
      </c>
      <c r="C39" s="239">
        <f>SUM(C35:C38)</f>
        <v>2</v>
      </c>
      <c r="D39" s="239">
        <f t="shared" ref="D39:N39" si="4">SUM(D35:D38)</f>
        <v>0</v>
      </c>
      <c r="E39" s="239">
        <f t="shared" si="4"/>
        <v>1</v>
      </c>
      <c r="F39" s="239">
        <f t="shared" si="4"/>
        <v>0</v>
      </c>
      <c r="G39" s="239">
        <f t="shared" si="4"/>
        <v>0</v>
      </c>
      <c r="H39" s="239">
        <f t="shared" si="4"/>
        <v>2</v>
      </c>
      <c r="I39" s="239">
        <f t="shared" si="4"/>
        <v>1</v>
      </c>
      <c r="J39" s="239">
        <f t="shared" si="4"/>
        <v>1</v>
      </c>
      <c r="K39" s="239">
        <f t="shared" si="4"/>
        <v>0</v>
      </c>
      <c r="L39" s="239">
        <f t="shared" si="4"/>
        <v>0</v>
      </c>
      <c r="M39" s="239">
        <f t="shared" si="4"/>
        <v>2</v>
      </c>
      <c r="N39" s="239">
        <f t="shared" si="4"/>
        <v>5</v>
      </c>
      <c r="O39" s="239">
        <f>SUM(O35:O38)</f>
        <v>14</v>
      </c>
    </row>
    <row r="40" spans="1:16" ht="14.3" x14ac:dyDescent="0.2">
      <c r="A40" s="247" t="s">
        <v>3588</v>
      </c>
      <c r="B40" s="248" t="s">
        <v>3589</v>
      </c>
      <c r="C40" s="655"/>
      <c r="D40" s="656"/>
      <c r="E40" s="656"/>
      <c r="F40" s="656"/>
      <c r="G40" s="656"/>
      <c r="H40" s="656"/>
      <c r="I40" s="656"/>
      <c r="J40" s="656"/>
      <c r="K40" s="656"/>
      <c r="L40" s="656"/>
      <c r="M40" s="656"/>
      <c r="N40" s="656"/>
      <c r="O40" s="657"/>
    </row>
    <row r="41" spans="1:16" ht="13.6" x14ac:dyDescent="0.2">
      <c r="A41" s="232">
        <v>30</v>
      </c>
      <c r="B41" s="233" t="s">
        <v>3590</v>
      </c>
      <c r="C41" s="234"/>
      <c r="D41" s="234"/>
      <c r="E41" s="234"/>
      <c r="F41" s="234"/>
      <c r="G41" s="234"/>
      <c r="H41" s="234"/>
      <c r="I41" s="234">
        <v>1</v>
      </c>
      <c r="J41" s="234"/>
      <c r="K41" s="234">
        <v>1</v>
      </c>
      <c r="L41" s="234"/>
      <c r="M41" s="234"/>
      <c r="N41" s="234"/>
      <c r="O41" s="235">
        <f t="shared" ref="O41:O49" si="5">SUM(C41:N41)</f>
        <v>2</v>
      </c>
    </row>
    <row r="42" spans="1:16" ht="13.6" x14ac:dyDescent="0.2">
      <c r="A42" s="232">
        <v>31</v>
      </c>
      <c r="B42" s="233" t="s">
        <v>3591</v>
      </c>
      <c r="C42" s="234"/>
      <c r="D42" s="234"/>
      <c r="E42" s="234"/>
      <c r="F42" s="234"/>
      <c r="G42" s="234"/>
      <c r="H42" s="234"/>
      <c r="I42" s="234"/>
      <c r="J42" s="234"/>
      <c r="K42" s="234"/>
      <c r="L42" s="234"/>
      <c r="M42" s="234"/>
      <c r="N42" s="234"/>
      <c r="O42" s="235">
        <f t="shared" si="5"/>
        <v>0</v>
      </c>
    </row>
    <row r="43" spans="1:16" ht="13.6" x14ac:dyDescent="0.2">
      <c r="A43" s="232">
        <v>32</v>
      </c>
      <c r="B43" s="233" t="s">
        <v>3592</v>
      </c>
      <c r="C43" s="234"/>
      <c r="D43" s="234"/>
      <c r="E43" s="234"/>
      <c r="F43" s="234"/>
      <c r="G43" s="234"/>
      <c r="H43" s="234"/>
      <c r="I43" s="234"/>
      <c r="J43" s="234"/>
      <c r="K43" s="234"/>
      <c r="L43" s="234"/>
      <c r="M43" s="234"/>
      <c r="N43" s="234"/>
      <c r="O43" s="235">
        <f t="shared" si="5"/>
        <v>0</v>
      </c>
    </row>
    <row r="44" spans="1:16" ht="13.6" x14ac:dyDescent="0.2">
      <c r="A44" s="232">
        <v>33</v>
      </c>
      <c r="B44" s="233" t="s">
        <v>3593</v>
      </c>
      <c r="C44" s="234"/>
      <c r="D44" s="234"/>
      <c r="E44" s="234"/>
      <c r="F44" s="234"/>
      <c r="G44" s="234"/>
      <c r="H44" s="234"/>
      <c r="I44" s="234"/>
      <c r="J44" s="234"/>
      <c r="K44" s="234"/>
      <c r="L44" s="234"/>
      <c r="M44" s="234"/>
      <c r="N44" s="234"/>
      <c r="O44" s="235">
        <f t="shared" si="5"/>
        <v>0</v>
      </c>
    </row>
    <row r="45" spans="1:16" ht="13.6" x14ac:dyDescent="0.2">
      <c r="A45" s="232">
        <v>34</v>
      </c>
      <c r="B45" s="233" t="s">
        <v>3594</v>
      </c>
      <c r="C45" s="234"/>
      <c r="D45" s="234"/>
      <c r="E45" s="234"/>
      <c r="F45" s="234"/>
      <c r="G45" s="234"/>
      <c r="H45" s="234"/>
      <c r="I45" s="234"/>
      <c r="J45" s="234"/>
      <c r="K45" s="234"/>
      <c r="L45" s="234"/>
      <c r="M45" s="234"/>
      <c r="N45" s="234"/>
      <c r="O45" s="235">
        <f t="shared" si="5"/>
        <v>0</v>
      </c>
    </row>
    <row r="46" spans="1:16" ht="13.6" x14ac:dyDescent="0.2">
      <c r="A46" s="232">
        <v>35</v>
      </c>
      <c r="B46" s="233" t="s">
        <v>3595</v>
      </c>
      <c r="C46" s="234"/>
      <c r="D46" s="234"/>
      <c r="E46" s="234"/>
      <c r="F46" s="234">
        <v>2</v>
      </c>
      <c r="G46" s="234">
        <v>1</v>
      </c>
      <c r="H46" s="234">
        <v>1</v>
      </c>
      <c r="I46" s="234">
        <v>1</v>
      </c>
      <c r="J46" s="234">
        <v>1</v>
      </c>
      <c r="K46" s="234"/>
      <c r="L46" s="234">
        <v>2</v>
      </c>
      <c r="M46" s="234">
        <v>1</v>
      </c>
      <c r="N46" s="234"/>
      <c r="O46" s="235">
        <f t="shared" si="5"/>
        <v>9</v>
      </c>
    </row>
    <row r="47" spans="1:16" ht="13.6" x14ac:dyDescent="0.2">
      <c r="A47" s="232">
        <v>36</v>
      </c>
      <c r="B47" s="233" t="s">
        <v>3596</v>
      </c>
      <c r="C47" s="234"/>
      <c r="D47" s="234"/>
      <c r="E47" s="234"/>
      <c r="F47" s="234"/>
      <c r="G47" s="234"/>
      <c r="H47" s="234">
        <v>7</v>
      </c>
      <c r="I47" s="234"/>
      <c r="J47" s="234">
        <v>3</v>
      </c>
      <c r="K47" s="234"/>
      <c r="L47" s="234">
        <v>3</v>
      </c>
      <c r="M47" s="234">
        <v>2</v>
      </c>
      <c r="N47" s="234">
        <v>1</v>
      </c>
      <c r="O47" s="235">
        <f t="shared" si="5"/>
        <v>16</v>
      </c>
    </row>
    <row r="48" spans="1:16" ht="13.6" x14ac:dyDescent="0.2">
      <c r="A48" s="232">
        <v>37</v>
      </c>
      <c r="B48" s="233" t="s">
        <v>3597</v>
      </c>
      <c r="C48" s="234">
        <v>1</v>
      </c>
      <c r="D48" s="234">
        <v>5</v>
      </c>
      <c r="E48" s="234">
        <v>7</v>
      </c>
      <c r="F48" s="234">
        <v>12</v>
      </c>
      <c r="G48" s="234">
        <v>5</v>
      </c>
      <c r="H48" s="234">
        <v>10</v>
      </c>
      <c r="I48" s="234">
        <v>6</v>
      </c>
      <c r="J48" s="234">
        <v>3</v>
      </c>
      <c r="K48" s="234">
        <v>6</v>
      </c>
      <c r="L48" s="234">
        <v>3</v>
      </c>
      <c r="M48" s="234">
        <v>4</v>
      </c>
      <c r="N48" s="234">
        <v>5</v>
      </c>
      <c r="O48" s="235">
        <f t="shared" si="5"/>
        <v>67</v>
      </c>
    </row>
    <row r="49" spans="1:16" ht="13.6" x14ac:dyDescent="0.2">
      <c r="A49" s="232">
        <v>38</v>
      </c>
      <c r="B49" s="233" t="s">
        <v>3598</v>
      </c>
      <c r="C49" s="234"/>
      <c r="D49" s="234"/>
      <c r="E49" s="234"/>
      <c r="F49" s="234"/>
      <c r="G49" s="234"/>
      <c r="H49" s="234"/>
      <c r="I49" s="234"/>
      <c r="J49" s="234"/>
      <c r="K49" s="234"/>
      <c r="L49" s="234"/>
      <c r="M49" s="234"/>
      <c r="N49" s="234"/>
      <c r="O49" s="235">
        <f t="shared" si="5"/>
        <v>0</v>
      </c>
    </row>
    <row r="50" spans="1:16" x14ac:dyDescent="0.2">
      <c r="A50" s="243"/>
      <c r="B50" s="238" t="s">
        <v>3565</v>
      </c>
      <c r="C50" s="239">
        <f t="shared" ref="C50:O50" si="6">SUM(C41:C49)</f>
        <v>1</v>
      </c>
      <c r="D50" s="239">
        <f t="shared" si="6"/>
        <v>5</v>
      </c>
      <c r="E50" s="239">
        <f t="shared" si="6"/>
        <v>7</v>
      </c>
      <c r="F50" s="239">
        <f t="shared" si="6"/>
        <v>14</v>
      </c>
      <c r="G50" s="239">
        <f t="shared" si="6"/>
        <v>6</v>
      </c>
      <c r="H50" s="239">
        <f t="shared" si="6"/>
        <v>18</v>
      </c>
      <c r="I50" s="239">
        <f t="shared" si="6"/>
        <v>8</v>
      </c>
      <c r="J50" s="239">
        <f t="shared" si="6"/>
        <v>7</v>
      </c>
      <c r="K50" s="239">
        <f t="shared" si="6"/>
        <v>7</v>
      </c>
      <c r="L50" s="239">
        <f t="shared" si="6"/>
        <v>8</v>
      </c>
      <c r="M50" s="239">
        <f t="shared" si="6"/>
        <v>7</v>
      </c>
      <c r="N50" s="239">
        <f t="shared" si="6"/>
        <v>6</v>
      </c>
      <c r="O50" s="239">
        <f t="shared" si="6"/>
        <v>94</v>
      </c>
    </row>
    <row r="51" spans="1:16" ht="14.3" x14ac:dyDescent="0.2">
      <c r="A51" s="249" t="s">
        <v>3599</v>
      </c>
      <c r="B51" s="250" t="s">
        <v>3600</v>
      </c>
      <c r="C51" s="658"/>
      <c r="D51" s="659"/>
      <c r="E51" s="659"/>
      <c r="F51" s="659"/>
      <c r="G51" s="659"/>
      <c r="H51" s="659"/>
      <c r="I51" s="659"/>
      <c r="J51" s="659"/>
      <c r="K51" s="659"/>
      <c r="L51" s="659"/>
      <c r="M51" s="659"/>
      <c r="N51" s="659"/>
      <c r="O51" s="660"/>
    </row>
    <row r="52" spans="1:16" ht="13.6" x14ac:dyDescent="0.2">
      <c r="A52" s="232">
        <v>39</v>
      </c>
      <c r="B52" s="233" t="s">
        <v>3601</v>
      </c>
      <c r="C52" s="234"/>
      <c r="D52" s="234">
        <v>1</v>
      </c>
      <c r="E52" s="234"/>
      <c r="F52" s="234"/>
      <c r="G52" s="234"/>
      <c r="H52" s="234"/>
      <c r="I52" s="234"/>
      <c r="J52" s="234"/>
      <c r="K52" s="234"/>
      <c r="L52" s="234">
        <v>1</v>
      </c>
      <c r="M52" s="234"/>
      <c r="N52" s="234"/>
      <c r="O52" s="235">
        <f>SUM(C52:N52)</f>
        <v>2</v>
      </c>
      <c r="P52" s="223"/>
    </row>
    <row r="53" spans="1:16" ht="13.6" x14ac:dyDescent="0.2">
      <c r="A53" s="232">
        <v>40</v>
      </c>
      <c r="B53" s="233" t="s">
        <v>3602</v>
      </c>
      <c r="C53" s="234"/>
      <c r="D53" s="234"/>
      <c r="E53" s="234"/>
      <c r="F53" s="234"/>
      <c r="G53" s="234">
        <v>1</v>
      </c>
      <c r="H53" s="234"/>
      <c r="I53" s="234"/>
      <c r="J53" s="234"/>
      <c r="K53" s="234"/>
      <c r="L53" s="234"/>
      <c r="M53" s="234"/>
      <c r="N53" s="234"/>
      <c r="O53" s="235">
        <f>SUM(C53:N53)</f>
        <v>1</v>
      </c>
    </row>
    <row r="54" spans="1:16" x14ac:dyDescent="0.2">
      <c r="A54" s="243"/>
      <c r="B54" s="238" t="s">
        <v>3565</v>
      </c>
      <c r="C54" s="239">
        <f t="shared" ref="C54:O54" si="7">SUM(C52:C53)</f>
        <v>0</v>
      </c>
      <c r="D54" s="239">
        <f t="shared" si="7"/>
        <v>1</v>
      </c>
      <c r="E54" s="239">
        <f t="shared" si="7"/>
        <v>0</v>
      </c>
      <c r="F54" s="239">
        <f t="shared" si="7"/>
        <v>0</v>
      </c>
      <c r="G54" s="239">
        <f t="shared" si="7"/>
        <v>1</v>
      </c>
      <c r="H54" s="239">
        <f t="shared" si="7"/>
        <v>0</v>
      </c>
      <c r="I54" s="239">
        <f t="shared" si="7"/>
        <v>0</v>
      </c>
      <c r="J54" s="239">
        <f t="shared" si="7"/>
        <v>0</v>
      </c>
      <c r="K54" s="239">
        <f t="shared" si="7"/>
        <v>0</v>
      </c>
      <c r="L54" s="239">
        <f t="shared" si="7"/>
        <v>1</v>
      </c>
      <c r="M54" s="239">
        <f t="shared" si="7"/>
        <v>0</v>
      </c>
      <c r="N54" s="239">
        <f t="shared" si="7"/>
        <v>0</v>
      </c>
      <c r="O54" s="239">
        <f t="shared" si="7"/>
        <v>3</v>
      </c>
    </row>
    <row r="55" spans="1:16" ht="14.3" x14ac:dyDescent="0.2">
      <c r="A55" s="251"/>
      <c r="B55" s="251" t="s">
        <v>3603</v>
      </c>
      <c r="C55" s="252">
        <f>SUM(C54+C50+C39+C33+C17)</f>
        <v>19</v>
      </c>
      <c r="D55" s="252">
        <f>SUM(D54+D50+D39+D33+D17)</f>
        <v>18</v>
      </c>
      <c r="E55" s="252">
        <f>SUM(E54+E50+E39+E33+E17)</f>
        <v>17</v>
      </c>
      <c r="F55" s="252">
        <f t="shared" ref="F55:N55" si="8">SUM(F54+F50+F39+F33+F17)</f>
        <v>19</v>
      </c>
      <c r="G55" s="252">
        <f t="shared" si="8"/>
        <v>11</v>
      </c>
      <c r="H55" s="252">
        <f t="shared" si="8"/>
        <v>22</v>
      </c>
      <c r="I55" s="252">
        <f t="shared" si="8"/>
        <v>11</v>
      </c>
      <c r="J55" s="252">
        <f t="shared" si="8"/>
        <v>19</v>
      </c>
      <c r="K55" s="252">
        <f t="shared" si="8"/>
        <v>9</v>
      </c>
      <c r="L55" s="252">
        <f t="shared" si="8"/>
        <v>13</v>
      </c>
      <c r="M55" s="252">
        <f t="shared" si="8"/>
        <v>13</v>
      </c>
      <c r="N55" s="252">
        <f t="shared" si="8"/>
        <v>16</v>
      </c>
      <c r="O55" s="252">
        <f>SUM(O54+O50+O39+O33+O17)</f>
        <v>187</v>
      </c>
    </row>
    <row r="56" spans="1:16" ht="14.3" x14ac:dyDescent="0.2">
      <c r="A56" s="253" t="s">
        <v>3604</v>
      </c>
      <c r="B56" s="254" t="s">
        <v>3605</v>
      </c>
      <c r="C56" s="661"/>
      <c r="D56" s="662"/>
      <c r="E56" s="662"/>
      <c r="F56" s="662"/>
      <c r="G56" s="662"/>
      <c r="H56" s="662"/>
      <c r="I56" s="662"/>
      <c r="J56" s="662"/>
      <c r="K56" s="662"/>
      <c r="L56" s="662"/>
      <c r="M56" s="662"/>
      <c r="N56" s="662"/>
      <c r="O56" s="663"/>
    </row>
    <row r="57" spans="1:16" x14ac:dyDescent="0.2">
      <c r="A57" s="246">
        <v>41</v>
      </c>
      <c r="B57" s="243" t="s">
        <v>3606</v>
      </c>
      <c r="C57" s="252"/>
      <c r="D57" s="252"/>
      <c r="E57" s="252"/>
      <c r="F57" s="252"/>
      <c r="G57" s="252">
        <v>1</v>
      </c>
      <c r="H57" s="252"/>
      <c r="I57" s="252"/>
      <c r="J57" s="252"/>
      <c r="K57" s="252"/>
      <c r="L57" s="252"/>
      <c r="M57" s="252"/>
      <c r="N57" s="252"/>
      <c r="O57" s="252"/>
      <c r="P57" s="223"/>
    </row>
    <row r="58" spans="1:16" ht="13.6" x14ac:dyDescent="0.2">
      <c r="A58" s="232">
        <v>42</v>
      </c>
      <c r="B58" s="243" t="s">
        <v>3607</v>
      </c>
      <c r="C58" s="234"/>
      <c r="D58" s="234"/>
      <c r="E58" s="234"/>
      <c r="F58" s="234"/>
      <c r="G58" s="234"/>
      <c r="H58" s="234"/>
      <c r="I58" s="234"/>
      <c r="J58" s="234"/>
      <c r="K58" s="234"/>
      <c r="L58" s="234"/>
      <c r="M58" s="234"/>
      <c r="N58" s="234"/>
      <c r="O58" s="235">
        <f>SUM(C58:N58)</f>
        <v>0</v>
      </c>
    </row>
    <row r="59" spans="1:16" ht="13.6" x14ac:dyDescent="0.2">
      <c r="A59" s="232">
        <v>43</v>
      </c>
      <c r="B59" s="233" t="s">
        <v>3608</v>
      </c>
      <c r="C59" s="234"/>
      <c r="D59" s="234"/>
      <c r="E59" s="234"/>
      <c r="F59" s="234"/>
      <c r="G59" s="234"/>
      <c r="H59" s="234"/>
      <c r="I59" s="234"/>
      <c r="J59" s="234">
        <v>1</v>
      </c>
      <c r="K59" s="234">
        <v>1</v>
      </c>
      <c r="L59" s="234"/>
      <c r="M59" s="234"/>
      <c r="N59" s="234"/>
      <c r="O59" s="235">
        <f>SUM(C59:N59)</f>
        <v>2</v>
      </c>
    </row>
    <row r="60" spans="1:16" ht="13.6" x14ac:dyDescent="0.2">
      <c r="A60" s="232">
        <v>44</v>
      </c>
      <c r="B60" s="233" t="s">
        <v>3609</v>
      </c>
      <c r="C60" s="234">
        <v>1</v>
      </c>
      <c r="D60" s="234">
        <v>1</v>
      </c>
      <c r="E60" s="234">
        <v>3</v>
      </c>
      <c r="F60" s="234"/>
      <c r="G60" s="234"/>
      <c r="H60" s="255"/>
      <c r="I60" s="234"/>
      <c r="J60" s="234"/>
      <c r="K60" s="234">
        <v>1</v>
      </c>
      <c r="L60" s="234"/>
      <c r="M60" s="234"/>
      <c r="N60" s="234">
        <v>1</v>
      </c>
      <c r="O60" s="235">
        <f>SUM(C60:N60)</f>
        <v>7</v>
      </c>
    </row>
    <row r="61" spans="1:16" ht="13.6" x14ac:dyDescent="0.2">
      <c r="A61" s="232">
        <v>45</v>
      </c>
      <c r="B61" s="233" t="s">
        <v>3610</v>
      </c>
      <c r="C61" s="234"/>
      <c r="D61" s="234"/>
      <c r="E61" s="234"/>
      <c r="F61" s="234"/>
      <c r="G61" s="234"/>
      <c r="H61" s="255"/>
      <c r="I61" s="234"/>
      <c r="J61" s="234"/>
      <c r="K61" s="234"/>
      <c r="L61" s="234"/>
      <c r="M61" s="234"/>
      <c r="N61" s="234"/>
      <c r="O61" s="235"/>
    </row>
    <row r="62" spans="1:16" ht="13.6" x14ac:dyDescent="0.2">
      <c r="A62" s="232">
        <v>46</v>
      </c>
      <c r="B62" s="233" t="s">
        <v>3611</v>
      </c>
      <c r="C62" s="234"/>
      <c r="D62" s="234"/>
      <c r="E62" s="234"/>
      <c r="F62" s="234"/>
      <c r="G62" s="234"/>
      <c r="H62" s="255"/>
      <c r="I62" s="234"/>
      <c r="J62" s="234"/>
      <c r="K62" s="234"/>
      <c r="L62" s="234"/>
      <c r="M62" s="234"/>
      <c r="N62" s="234"/>
      <c r="O62" s="235"/>
    </row>
    <row r="63" spans="1:16" x14ac:dyDescent="0.2">
      <c r="A63" s="243"/>
      <c r="B63" s="238" t="s">
        <v>3565</v>
      </c>
      <c r="C63" s="239">
        <f>SUM(C57:C62)</f>
        <v>1</v>
      </c>
      <c r="D63" s="239">
        <f t="shared" ref="D63:N63" si="9">SUM(D57:D62)</f>
        <v>1</v>
      </c>
      <c r="E63" s="239">
        <f t="shared" si="9"/>
        <v>3</v>
      </c>
      <c r="F63" s="239">
        <f t="shared" si="9"/>
        <v>0</v>
      </c>
      <c r="G63" s="239">
        <f t="shared" si="9"/>
        <v>1</v>
      </c>
      <c r="H63" s="239">
        <f t="shared" si="9"/>
        <v>0</v>
      </c>
      <c r="I63" s="239">
        <f t="shared" si="9"/>
        <v>0</v>
      </c>
      <c r="J63" s="239">
        <f t="shared" si="9"/>
        <v>1</v>
      </c>
      <c r="K63" s="239">
        <f t="shared" si="9"/>
        <v>2</v>
      </c>
      <c r="L63" s="239">
        <f t="shared" si="9"/>
        <v>0</v>
      </c>
      <c r="M63" s="239">
        <f t="shared" si="9"/>
        <v>0</v>
      </c>
      <c r="N63" s="239">
        <f t="shared" si="9"/>
        <v>1</v>
      </c>
      <c r="O63" s="239">
        <f>SUM(O57:O60)</f>
        <v>9</v>
      </c>
    </row>
    <row r="64" spans="1:16" ht="15.65" x14ac:dyDescent="0.2">
      <c r="A64" s="256"/>
      <c r="B64" s="257" t="s">
        <v>3612</v>
      </c>
      <c r="C64" s="258">
        <f>SUM(C55+C63)</f>
        <v>20</v>
      </c>
      <c r="D64" s="258">
        <f t="shared" ref="D64:N64" si="10">SUM(D55+D63)</f>
        <v>19</v>
      </c>
      <c r="E64" s="258">
        <f t="shared" si="10"/>
        <v>20</v>
      </c>
      <c r="F64" s="258">
        <f t="shared" si="10"/>
        <v>19</v>
      </c>
      <c r="G64" s="258">
        <f t="shared" si="10"/>
        <v>12</v>
      </c>
      <c r="H64" s="258">
        <f t="shared" si="10"/>
        <v>22</v>
      </c>
      <c r="I64" s="258">
        <f t="shared" si="10"/>
        <v>11</v>
      </c>
      <c r="J64" s="258">
        <f t="shared" si="10"/>
        <v>20</v>
      </c>
      <c r="K64" s="258">
        <f t="shared" si="10"/>
        <v>11</v>
      </c>
      <c r="L64" s="258">
        <f t="shared" si="10"/>
        <v>13</v>
      </c>
      <c r="M64" s="258">
        <f t="shared" si="10"/>
        <v>13</v>
      </c>
      <c r="N64" s="258">
        <f t="shared" si="10"/>
        <v>17</v>
      </c>
      <c r="O64" s="258">
        <f>SUM(O55+O63)</f>
        <v>196</v>
      </c>
    </row>
    <row r="66" spans="1:16" x14ac:dyDescent="0.2">
      <c r="A66" s="664"/>
      <c r="B66" s="665"/>
      <c r="C66" s="665"/>
      <c r="D66" s="665"/>
      <c r="E66" s="665"/>
      <c r="F66" s="665"/>
      <c r="G66" s="665"/>
      <c r="H66" s="665"/>
      <c r="I66" s="665"/>
      <c r="J66" s="665"/>
      <c r="K66" s="665"/>
      <c r="L66" s="665"/>
      <c r="M66" s="665"/>
      <c r="N66" s="665"/>
      <c r="O66" s="666"/>
    </row>
    <row r="67" spans="1:16" ht="15.65" x14ac:dyDescent="0.25">
      <c r="A67" s="642" t="s">
        <v>3619</v>
      </c>
      <c r="B67" s="642"/>
      <c r="C67" s="642"/>
      <c r="D67" s="642"/>
      <c r="E67" s="642"/>
      <c r="F67" s="642"/>
      <c r="G67" s="642"/>
      <c r="H67" s="642"/>
      <c r="I67" s="642"/>
      <c r="J67" s="642"/>
      <c r="K67" s="642"/>
      <c r="L67" s="642"/>
      <c r="M67" s="642"/>
      <c r="N67" s="642"/>
      <c r="O67" s="643"/>
      <c r="P67" s="259"/>
    </row>
    <row r="68" spans="1:16" x14ac:dyDescent="0.2">
      <c r="A68" s="667" t="s">
        <v>3627</v>
      </c>
      <c r="B68" s="667"/>
      <c r="C68" s="667"/>
      <c r="D68" s="667"/>
      <c r="E68" s="667"/>
      <c r="F68" s="667"/>
      <c r="G68" s="667"/>
      <c r="H68" s="667"/>
      <c r="I68" s="667"/>
      <c r="J68" s="667"/>
      <c r="K68" s="667"/>
      <c r="L68" s="667"/>
      <c r="M68" s="667"/>
      <c r="N68" s="667"/>
      <c r="O68" s="671"/>
    </row>
    <row r="69" spans="1:16" x14ac:dyDescent="0.2">
      <c r="A69" s="668"/>
      <c r="B69" s="667"/>
      <c r="C69" s="667"/>
      <c r="D69" s="667"/>
      <c r="E69" s="667"/>
      <c r="F69" s="667"/>
      <c r="G69" s="667"/>
      <c r="H69" s="667"/>
      <c r="I69" s="667"/>
      <c r="J69" s="667"/>
      <c r="K69" s="667"/>
      <c r="L69" s="667"/>
      <c r="M69" s="667"/>
      <c r="N69" s="667"/>
      <c r="O69" s="671"/>
      <c r="P69" s="259"/>
    </row>
    <row r="70" spans="1:16" x14ac:dyDescent="0.2">
      <c r="A70" s="667"/>
      <c r="B70" s="667"/>
      <c r="C70" s="667"/>
      <c r="D70" s="667"/>
      <c r="E70" s="667"/>
      <c r="F70" s="667"/>
      <c r="G70" s="667"/>
      <c r="H70" s="667"/>
      <c r="I70" s="667"/>
      <c r="J70" s="667"/>
      <c r="K70" s="667"/>
      <c r="L70" s="667"/>
      <c r="M70" s="667"/>
      <c r="N70" s="667"/>
      <c r="O70" s="667"/>
      <c r="P70" s="259"/>
    </row>
    <row r="71" spans="1:16" x14ac:dyDescent="0.2">
      <c r="A71" s="667"/>
      <c r="B71" s="667"/>
      <c r="C71" s="667"/>
      <c r="D71" s="667"/>
      <c r="E71" s="667"/>
      <c r="F71" s="667"/>
      <c r="G71" s="667"/>
      <c r="H71" s="667"/>
      <c r="I71" s="667"/>
      <c r="J71" s="667"/>
      <c r="K71" s="667"/>
      <c r="L71" s="667"/>
      <c r="M71" s="667"/>
      <c r="N71" s="667"/>
      <c r="O71" s="667"/>
      <c r="P71" s="259"/>
    </row>
    <row r="72" spans="1:16" x14ac:dyDescent="0.2">
      <c r="A72" s="667"/>
      <c r="B72" s="667"/>
      <c r="C72" s="667"/>
      <c r="D72" s="667"/>
      <c r="E72" s="667"/>
      <c r="F72" s="667"/>
      <c r="G72" s="667"/>
      <c r="H72" s="667"/>
      <c r="I72" s="667"/>
      <c r="J72" s="667"/>
      <c r="K72" s="667"/>
      <c r="L72" s="667"/>
      <c r="M72" s="667"/>
      <c r="N72" s="667"/>
      <c r="O72" s="671"/>
      <c r="P72" s="259"/>
    </row>
    <row r="73" spans="1:16" x14ac:dyDescent="0.2">
      <c r="A73" s="667"/>
      <c r="B73" s="667"/>
      <c r="C73" s="667"/>
      <c r="D73" s="667"/>
      <c r="E73" s="667"/>
      <c r="F73" s="667"/>
      <c r="G73" s="667"/>
      <c r="H73" s="667"/>
      <c r="I73" s="667"/>
      <c r="J73" s="667"/>
      <c r="K73" s="667"/>
      <c r="L73" s="667"/>
      <c r="M73" s="667"/>
      <c r="N73" s="667"/>
      <c r="O73" s="667"/>
      <c r="P73" s="259"/>
    </row>
    <row r="74" spans="1:16" x14ac:dyDescent="0.2">
      <c r="A74" s="667"/>
      <c r="B74" s="667"/>
      <c r="C74" s="667"/>
      <c r="D74" s="667"/>
      <c r="E74" s="667"/>
      <c r="F74" s="667"/>
      <c r="G74" s="667"/>
      <c r="H74" s="667"/>
      <c r="I74" s="667"/>
      <c r="J74" s="667"/>
      <c r="K74" s="667"/>
      <c r="L74" s="667"/>
      <c r="M74" s="667"/>
      <c r="N74" s="667"/>
      <c r="O74" s="667"/>
      <c r="P74" s="259"/>
    </row>
    <row r="75" spans="1:16" x14ac:dyDescent="0.2">
      <c r="A75" s="668"/>
      <c r="B75" s="667"/>
      <c r="C75" s="667"/>
      <c r="D75" s="667"/>
      <c r="E75" s="667"/>
      <c r="F75" s="667"/>
      <c r="G75" s="667"/>
      <c r="H75" s="667"/>
      <c r="I75" s="667"/>
      <c r="J75" s="667"/>
      <c r="K75" s="667"/>
      <c r="L75" s="667"/>
      <c r="M75" s="667"/>
      <c r="N75" s="667"/>
      <c r="O75" s="667"/>
      <c r="P75" s="259"/>
    </row>
    <row r="76" spans="1:16" ht="13.6" thickBot="1" x14ac:dyDescent="0.25">
      <c r="A76" s="669"/>
      <c r="B76" s="669"/>
      <c r="C76" s="669"/>
      <c r="D76" s="669"/>
      <c r="E76" s="669"/>
      <c r="F76" s="669"/>
      <c r="G76" s="669"/>
      <c r="H76" s="669"/>
      <c r="I76" s="669"/>
      <c r="J76" s="669"/>
      <c r="K76" s="669"/>
      <c r="L76" s="669"/>
      <c r="M76" s="669"/>
      <c r="N76" s="669"/>
      <c r="O76" s="670"/>
    </row>
  </sheetData>
  <sheetProtection sheet="1" objects="1" scenarios="1"/>
  <mergeCells count="21">
    <mergeCell ref="A74:O74"/>
    <mergeCell ref="A75:O75"/>
    <mergeCell ref="A76:O76"/>
    <mergeCell ref="A68:O68"/>
    <mergeCell ref="A69:O69"/>
    <mergeCell ref="A70:O70"/>
    <mergeCell ref="A71:O71"/>
    <mergeCell ref="A72:O72"/>
    <mergeCell ref="A73:O73"/>
    <mergeCell ref="A67:O67"/>
    <mergeCell ref="A1:O1"/>
    <mergeCell ref="A2:O2"/>
    <mergeCell ref="C3:O3"/>
    <mergeCell ref="Q3:U3"/>
    <mergeCell ref="P5:R5"/>
    <mergeCell ref="C18:O18"/>
    <mergeCell ref="C34:O34"/>
    <mergeCell ref="C40:O40"/>
    <mergeCell ref="C51:O51"/>
    <mergeCell ref="C56:O56"/>
    <mergeCell ref="A66:O6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6"/>
  <sheetViews>
    <sheetView workbookViewId="0">
      <selection activeCell="O7" sqref="O7:O8"/>
    </sheetView>
  </sheetViews>
  <sheetFormatPr baseColWidth="10" defaultRowHeight="12.9" x14ac:dyDescent="0.2"/>
  <cols>
    <col min="1" max="1" width="5.125" style="67" bestFit="1" customWidth="1"/>
    <col min="2" max="2" width="50" style="67" bestFit="1" customWidth="1"/>
    <col min="3" max="14" width="8" style="67" customWidth="1"/>
    <col min="15" max="15" width="7.25" style="67" bestFit="1" customWidth="1"/>
    <col min="16" max="256" width="11" style="67"/>
    <col min="257" max="257" width="5.125" style="67" bestFit="1" customWidth="1"/>
    <col min="258" max="258" width="50" style="67" bestFit="1" customWidth="1"/>
    <col min="259" max="270" width="8" style="67" customWidth="1"/>
    <col min="271" max="271" width="7.25" style="67" bestFit="1" customWidth="1"/>
    <col min="272" max="512" width="11" style="67"/>
    <col min="513" max="513" width="5.125" style="67" bestFit="1" customWidth="1"/>
    <col min="514" max="514" width="50" style="67" bestFit="1" customWidth="1"/>
    <col min="515" max="526" width="8" style="67" customWidth="1"/>
    <col min="527" max="527" width="7.25" style="67" bestFit="1" customWidth="1"/>
    <col min="528" max="768" width="11" style="67"/>
    <col min="769" max="769" width="5.125" style="67" bestFit="1" customWidth="1"/>
    <col min="770" max="770" width="50" style="67" bestFit="1" customWidth="1"/>
    <col min="771" max="782" width="8" style="67" customWidth="1"/>
    <col min="783" max="783" width="7.25" style="67" bestFit="1" customWidth="1"/>
    <col min="784" max="1024" width="11" style="67"/>
    <col min="1025" max="1025" width="5.125" style="67" bestFit="1" customWidth="1"/>
    <col min="1026" max="1026" width="50" style="67" bestFit="1" customWidth="1"/>
    <col min="1027" max="1038" width="8" style="67" customWidth="1"/>
    <col min="1039" max="1039" width="7.25" style="67" bestFit="1" customWidth="1"/>
    <col min="1040" max="1280" width="11" style="67"/>
    <col min="1281" max="1281" width="5.125" style="67" bestFit="1" customWidth="1"/>
    <col min="1282" max="1282" width="50" style="67" bestFit="1" customWidth="1"/>
    <col min="1283" max="1294" width="8" style="67" customWidth="1"/>
    <col min="1295" max="1295" width="7.25" style="67" bestFit="1" customWidth="1"/>
    <col min="1296" max="1536" width="11" style="67"/>
    <col min="1537" max="1537" width="5.125" style="67" bestFit="1" customWidth="1"/>
    <col min="1538" max="1538" width="50" style="67" bestFit="1" customWidth="1"/>
    <col min="1539" max="1550" width="8" style="67" customWidth="1"/>
    <col min="1551" max="1551" width="7.25" style="67" bestFit="1" customWidth="1"/>
    <col min="1552" max="1792" width="11" style="67"/>
    <col min="1793" max="1793" width="5.125" style="67" bestFit="1" customWidth="1"/>
    <col min="1794" max="1794" width="50" style="67" bestFit="1" customWidth="1"/>
    <col min="1795" max="1806" width="8" style="67" customWidth="1"/>
    <col min="1807" max="1807" width="7.25" style="67" bestFit="1" customWidth="1"/>
    <col min="1808" max="2048" width="11" style="67"/>
    <col min="2049" max="2049" width="5.125" style="67" bestFit="1" customWidth="1"/>
    <col min="2050" max="2050" width="50" style="67" bestFit="1" customWidth="1"/>
    <col min="2051" max="2062" width="8" style="67" customWidth="1"/>
    <col min="2063" max="2063" width="7.25" style="67" bestFit="1" customWidth="1"/>
    <col min="2064" max="2304" width="11" style="67"/>
    <col min="2305" max="2305" width="5.125" style="67" bestFit="1" customWidth="1"/>
    <col min="2306" max="2306" width="50" style="67" bestFit="1" customWidth="1"/>
    <col min="2307" max="2318" width="8" style="67" customWidth="1"/>
    <col min="2319" max="2319" width="7.25" style="67" bestFit="1" customWidth="1"/>
    <col min="2320" max="2560" width="11" style="67"/>
    <col min="2561" max="2561" width="5.125" style="67" bestFit="1" customWidth="1"/>
    <col min="2562" max="2562" width="50" style="67" bestFit="1" customWidth="1"/>
    <col min="2563" max="2574" width="8" style="67" customWidth="1"/>
    <col min="2575" max="2575" width="7.25" style="67" bestFit="1" customWidth="1"/>
    <col min="2576" max="2816" width="11" style="67"/>
    <col min="2817" max="2817" width="5.125" style="67" bestFit="1" customWidth="1"/>
    <col min="2818" max="2818" width="50" style="67" bestFit="1" customWidth="1"/>
    <col min="2819" max="2830" width="8" style="67" customWidth="1"/>
    <col min="2831" max="2831" width="7.25" style="67" bestFit="1" customWidth="1"/>
    <col min="2832" max="3072" width="11" style="67"/>
    <col min="3073" max="3073" width="5.125" style="67" bestFit="1" customWidth="1"/>
    <col min="3074" max="3074" width="50" style="67" bestFit="1" customWidth="1"/>
    <col min="3075" max="3086" width="8" style="67" customWidth="1"/>
    <col min="3087" max="3087" width="7.25" style="67" bestFit="1" customWidth="1"/>
    <col min="3088" max="3328" width="11" style="67"/>
    <col min="3329" max="3329" width="5.125" style="67" bestFit="1" customWidth="1"/>
    <col min="3330" max="3330" width="50" style="67" bestFit="1" customWidth="1"/>
    <col min="3331" max="3342" width="8" style="67" customWidth="1"/>
    <col min="3343" max="3343" width="7.25" style="67" bestFit="1" customWidth="1"/>
    <col min="3344" max="3584" width="11" style="67"/>
    <col min="3585" max="3585" width="5.125" style="67" bestFit="1" customWidth="1"/>
    <col min="3586" max="3586" width="50" style="67" bestFit="1" customWidth="1"/>
    <col min="3587" max="3598" width="8" style="67" customWidth="1"/>
    <col min="3599" max="3599" width="7.25" style="67" bestFit="1" customWidth="1"/>
    <col min="3600" max="3840" width="11" style="67"/>
    <col min="3841" max="3841" width="5.125" style="67" bestFit="1" customWidth="1"/>
    <col min="3842" max="3842" width="50" style="67" bestFit="1" customWidth="1"/>
    <col min="3843" max="3854" width="8" style="67" customWidth="1"/>
    <col min="3855" max="3855" width="7.25" style="67" bestFit="1" customWidth="1"/>
    <col min="3856" max="4096" width="11" style="67"/>
    <col min="4097" max="4097" width="5.125" style="67" bestFit="1" customWidth="1"/>
    <col min="4098" max="4098" width="50" style="67" bestFit="1" customWidth="1"/>
    <col min="4099" max="4110" width="8" style="67" customWidth="1"/>
    <col min="4111" max="4111" width="7.25" style="67" bestFit="1" customWidth="1"/>
    <col min="4112" max="4352" width="11" style="67"/>
    <col min="4353" max="4353" width="5.125" style="67" bestFit="1" customWidth="1"/>
    <col min="4354" max="4354" width="50" style="67" bestFit="1" customWidth="1"/>
    <col min="4355" max="4366" width="8" style="67" customWidth="1"/>
    <col min="4367" max="4367" width="7.25" style="67" bestFit="1" customWidth="1"/>
    <col min="4368" max="4608" width="11" style="67"/>
    <col min="4609" max="4609" width="5.125" style="67" bestFit="1" customWidth="1"/>
    <col min="4610" max="4610" width="50" style="67" bestFit="1" customWidth="1"/>
    <col min="4611" max="4622" width="8" style="67" customWidth="1"/>
    <col min="4623" max="4623" width="7.25" style="67" bestFit="1" customWidth="1"/>
    <col min="4624" max="4864" width="11" style="67"/>
    <col min="4865" max="4865" width="5.125" style="67" bestFit="1" customWidth="1"/>
    <col min="4866" max="4866" width="50" style="67" bestFit="1" customWidth="1"/>
    <col min="4867" max="4878" width="8" style="67" customWidth="1"/>
    <col min="4879" max="4879" width="7.25" style="67" bestFit="1" customWidth="1"/>
    <col min="4880" max="5120" width="11" style="67"/>
    <col min="5121" max="5121" width="5.125" style="67" bestFit="1" customWidth="1"/>
    <col min="5122" max="5122" width="50" style="67" bestFit="1" customWidth="1"/>
    <col min="5123" max="5134" width="8" style="67" customWidth="1"/>
    <col min="5135" max="5135" width="7.25" style="67" bestFit="1" customWidth="1"/>
    <col min="5136" max="5376" width="11" style="67"/>
    <col min="5377" max="5377" width="5.125" style="67" bestFit="1" customWidth="1"/>
    <col min="5378" max="5378" width="50" style="67" bestFit="1" customWidth="1"/>
    <col min="5379" max="5390" width="8" style="67" customWidth="1"/>
    <col min="5391" max="5391" width="7.25" style="67" bestFit="1" customWidth="1"/>
    <col min="5392" max="5632" width="11" style="67"/>
    <col min="5633" max="5633" width="5.125" style="67" bestFit="1" customWidth="1"/>
    <col min="5634" max="5634" width="50" style="67" bestFit="1" customWidth="1"/>
    <col min="5635" max="5646" width="8" style="67" customWidth="1"/>
    <col min="5647" max="5647" width="7.25" style="67" bestFit="1" customWidth="1"/>
    <col min="5648" max="5888" width="11" style="67"/>
    <col min="5889" max="5889" width="5.125" style="67" bestFit="1" customWidth="1"/>
    <col min="5890" max="5890" width="50" style="67" bestFit="1" customWidth="1"/>
    <col min="5891" max="5902" width="8" style="67" customWidth="1"/>
    <col min="5903" max="5903" width="7.25" style="67" bestFit="1" customWidth="1"/>
    <col min="5904" max="6144" width="11" style="67"/>
    <col min="6145" max="6145" width="5.125" style="67" bestFit="1" customWidth="1"/>
    <col min="6146" max="6146" width="50" style="67" bestFit="1" customWidth="1"/>
    <col min="6147" max="6158" width="8" style="67" customWidth="1"/>
    <col min="6159" max="6159" width="7.25" style="67" bestFit="1" customWidth="1"/>
    <col min="6160" max="6400" width="11" style="67"/>
    <col min="6401" max="6401" width="5.125" style="67" bestFit="1" customWidth="1"/>
    <col min="6402" max="6402" width="50" style="67" bestFit="1" customWidth="1"/>
    <col min="6403" max="6414" width="8" style="67" customWidth="1"/>
    <col min="6415" max="6415" width="7.25" style="67" bestFit="1" customWidth="1"/>
    <col min="6416" max="6656" width="11" style="67"/>
    <col min="6657" max="6657" width="5.125" style="67" bestFit="1" customWidth="1"/>
    <col min="6658" max="6658" width="50" style="67" bestFit="1" customWidth="1"/>
    <col min="6659" max="6670" width="8" style="67" customWidth="1"/>
    <col min="6671" max="6671" width="7.25" style="67" bestFit="1" customWidth="1"/>
    <col min="6672" max="6912" width="11" style="67"/>
    <col min="6913" max="6913" width="5.125" style="67" bestFit="1" customWidth="1"/>
    <col min="6914" max="6914" width="50" style="67" bestFit="1" customWidth="1"/>
    <col min="6915" max="6926" width="8" style="67" customWidth="1"/>
    <col min="6927" max="6927" width="7.25" style="67" bestFit="1" customWidth="1"/>
    <col min="6928" max="7168" width="11" style="67"/>
    <col min="7169" max="7169" width="5.125" style="67" bestFit="1" customWidth="1"/>
    <col min="7170" max="7170" width="50" style="67" bestFit="1" customWidth="1"/>
    <col min="7171" max="7182" width="8" style="67" customWidth="1"/>
    <col min="7183" max="7183" width="7.25" style="67" bestFit="1" customWidth="1"/>
    <col min="7184" max="7424" width="11" style="67"/>
    <col min="7425" max="7425" width="5.125" style="67" bestFit="1" customWidth="1"/>
    <col min="7426" max="7426" width="50" style="67" bestFit="1" customWidth="1"/>
    <col min="7427" max="7438" width="8" style="67" customWidth="1"/>
    <col min="7439" max="7439" width="7.25" style="67" bestFit="1" customWidth="1"/>
    <col min="7440" max="7680" width="11" style="67"/>
    <col min="7681" max="7681" width="5.125" style="67" bestFit="1" customWidth="1"/>
    <col min="7682" max="7682" width="50" style="67" bestFit="1" customWidth="1"/>
    <col min="7683" max="7694" width="8" style="67" customWidth="1"/>
    <col min="7695" max="7695" width="7.25" style="67" bestFit="1" customWidth="1"/>
    <col min="7696" max="7936" width="11" style="67"/>
    <col min="7937" max="7937" width="5.125" style="67" bestFit="1" customWidth="1"/>
    <col min="7938" max="7938" width="50" style="67" bestFit="1" customWidth="1"/>
    <col min="7939" max="7950" width="8" style="67" customWidth="1"/>
    <col min="7951" max="7951" width="7.25" style="67" bestFit="1" customWidth="1"/>
    <col min="7952" max="8192" width="11" style="67"/>
    <col min="8193" max="8193" width="5.125" style="67" bestFit="1" customWidth="1"/>
    <col min="8194" max="8194" width="50" style="67" bestFit="1" customWidth="1"/>
    <col min="8195" max="8206" width="8" style="67" customWidth="1"/>
    <col min="8207" max="8207" width="7.25" style="67" bestFit="1" customWidth="1"/>
    <col min="8208" max="8448" width="11" style="67"/>
    <col min="8449" max="8449" width="5.125" style="67" bestFit="1" customWidth="1"/>
    <col min="8450" max="8450" width="50" style="67" bestFit="1" customWidth="1"/>
    <col min="8451" max="8462" width="8" style="67" customWidth="1"/>
    <col min="8463" max="8463" width="7.25" style="67" bestFit="1" customWidth="1"/>
    <col min="8464" max="8704" width="11" style="67"/>
    <col min="8705" max="8705" width="5.125" style="67" bestFit="1" customWidth="1"/>
    <col min="8706" max="8706" width="50" style="67" bestFit="1" customWidth="1"/>
    <col min="8707" max="8718" width="8" style="67" customWidth="1"/>
    <col min="8719" max="8719" width="7.25" style="67" bestFit="1" customWidth="1"/>
    <col min="8720" max="8960" width="11" style="67"/>
    <col min="8961" max="8961" width="5.125" style="67" bestFit="1" customWidth="1"/>
    <col min="8962" max="8962" width="50" style="67" bestFit="1" customWidth="1"/>
    <col min="8963" max="8974" width="8" style="67" customWidth="1"/>
    <col min="8975" max="8975" width="7.25" style="67" bestFit="1" customWidth="1"/>
    <col min="8976" max="9216" width="11" style="67"/>
    <col min="9217" max="9217" width="5.125" style="67" bestFit="1" customWidth="1"/>
    <col min="9218" max="9218" width="50" style="67" bestFit="1" customWidth="1"/>
    <col min="9219" max="9230" width="8" style="67" customWidth="1"/>
    <col min="9231" max="9231" width="7.25" style="67" bestFit="1" customWidth="1"/>
    <col min="9232" max="9472" width="11" style="67"/>
    <col min="9473" max="9473" width="5.125" style="67" bestFit="1" customWidth="1"/>
    <col min="9474" max="9474" width="50" style="67" bestFit="1" customWidth="1"/>
    <col min="9475" max="9486" width="8" style="67" customWidth="1"/>
    <col min="9487" max="9487" width="7.25" style="67" bestFit="1" customWidth="1"/>
    <col min="9488" max="9728" width="11" style="67"/>
    <col min="9729" max="9729" width="5.125" style="67" bestFit="1" customWidth="1"/>
    <col min="9730" max="9730" width="50" style="67" bestFit="1" customWidth="1"/>
    <col min="9731" max="9742" width="8" style="67" customWidth="1"/>
    <col min="9743" max="9743" width="7.25" style="67" bestFit="1" customWidth="1"/>
    <col min="9744" max="9984" width="11" style="67"/>
    <col min="9985" max="9985" width="5.125" style="67" bestFit="1" customWidth="1"/>
    <col min="9986" max="9986" width="50" style="67" bestFit="1" customWidth="1"/>
    <col min="9987" max="9998" width="8" style="67" customWidth="1"/>
    <col min="9999" max="9999" width="7.25" style="67" bestFit="1" customWidth="1"/>
    <col min="10000" max="10240" width="11" style="67"/>
    <col min="10241" max="10241" width="5.125" style="67" bestFit="1" customWidth="1"/>
    <col min="10242" max="10242" width="50" style="67" bestFit="1" customWidth="1"/>
    <col min="10243" max="10254" width="8" style="67" customWidth="1"/>
    <col min="10255" max="10255" width="7.25" style="67" bestFit="1" customWidth="1"/>
    <col min="10256" max="10496" width="11" style="67"/>
    <col min="10497" max="10497" width="5.125" style="67" bestFit="1" customWidth="1"/>
    <col min="10498" max="10498" width="50" style="67" bestFit="1" customWidth="1"/>
    <col min="10499" max="10510" width="8" style="67" customWidth="1"/>
    <col min="10511" max="10511" width="7.25" style="67" bestFit="1" customWidth="1"/>
    <col min="10512" max="10752" width="11" style="67"/>
    <col min="10753" max="10753" width="5.125" style="67" bestFit="1" customWidth="1"/>
    <col min="10754" max="10754" width="50" style="67" bestFit="1" customWidth="1"/>
    <col min="10755" max="10766" width="8" style="67" customWidth="1"/>
    <col min="10767" max="10767" width="7.25" style="67" bestFit="1" customWidth="1"/>
    <col min="10768" max="11008" width="11" style="67"/>
    <col min="11009" max="11009" width="5.125" style="67" bestFit="1" customWidth="1"/>
    <col min="11010" max="11010" width="50" style="67" bestFit="1" customWidth="1"/>
    <col min="11011" max="11022" width="8" style="67" customWidth="1"/>
    <col min="11023" max="11023" width="7.25" style="67" bestFit="1" customWidth="1"/>
    <col min="11024" max="11264" width="11" style="67"/>
    <col min="11265" max="11265" width="5.125" style="67" bestFit="1" customWidth="1"/>
    <col min="11266" max="11266" width="50" style="67" bestFit="1" customWidth="1"/>
    <col min="11267" max="11278" width="8" style="67" customWidth="1"/>
    <col min="11279" max="11279" width="7.25" style="67" bestFit="1" customWidth="1"/>
    <col min="11280" max="11520" width="11" style="67"/>
    <col min="11521" max="11521" width="5.125" style="67" bestFit="1" customWidth="1"/>
    <col min="11522" max="11522" width="50" style="67" bestFit="1" customWidth="1"/>
    <col min="11523" max="11534" width="8" style="67" customWidth="1"/>
    <col min="11535" max="11535" width="7.25" style="67" bestFit="1" customWidth="1"/>
    <col min="11536" max="11776" width="11" style="67"/>
    <col min="11777" max="11777" width="5.125" style="67" bestFit="1" customWidth="1"/>
    <col min="11778" max="11778" width="50" style="67" bestFit="1" customWidth="1"/>
    <col min="11779" max="11790" width="8" style="67" customWidth="1"/>
    <col min="11791" max="11791" width="7.25" style="67" bestFit="1" customWidth="1"/>
    <col min="11792" max="12032" width="11" style="67"/>
    <col min="12033" max="12033" width="5.125" style="67" bestFit="1" customWidth="1"/>
    <col min="12034" max="12034" width="50" style="67" bestFit="1" customWidth="1"/>
    <col min="12035" max="12046" width="8" style="67" customWidth="1"/>
    <col min="12047" max="12047" width="7.25" style="67" bestFit="1" customWidth="1"/>
    <col min="12048" max="12288" width="11" style="67"/>
    <col min="12289" max="12289" width="5.125" style="67" bestFit="1" customWidth="1"/>
    <col min="12290" max="12290" width="50" style="67" bestFit="1" customWidth="1"/>
    <col min="12291" max="12302" width="8" style="67" customWidth="1"/>
    <col min="12303" max="12303" width="7.25" style="67" bestFit="1" customWidth="1"/>
    <col min="12304" max="12544" width="11" style="67"/>
    <col min="12545" max="12545" width="5.125" style="67" bestFit="1" customWidth="1"/>
    <col min="12546" max="12546" width="50" style="67" bestFit="1" customWidth="1"/>
    <col min="12547" max="12558" width="8" style="67" customWidth="1"/>
    <col min="12559" max="12559" width="7.25" style="67" bestFit="1" customWidth="1"/>
    <col min="12560" max="12800" width="11" style="67"/>
    <col min="12801" max="12801" width="5.125" style="67" bestFit="1" customWidth="1"/>
    <col min="12802" max="12802" width="50" style="67" bestFit="1" customWidth="1"/>
    <col min="12803" max="12814" width="8" style="67" customWidth="1"/>
    <col min="12815" max="12815" width="7.25" style="67" bestFit="1" customWidth="1"/>
    <col min="12816" max="13056" width="11" style="67"/>
    <col min="13057" max="13057" width="5.125" style="67" bestFit="1" customWidth="1"/>
    <col min="13058" max="13058" width="50" style="67" bestFit="1" customWidth="1"/>
    <col min="13059" max="13070" width="8" style="67" customWidth="1"/>
    <col min="13071" max="13071" width="7.25" style="67" bestFit="1" customWidth="1"/>
    <col min="13072" max="13312" width="11" style="67"/>
    <col min="13313" max="13313" width="5.125" style="67" bestFit="1" customWidth="1"/>
    <col min="13314" max="13314" width="50" style="67" bestFit="1" customWidth="1"/>
    <col min="13315" max="13326" width="8" style="67" customWidth="1"/>
    <col min="13327" max="13327" width="7.25" style="67" bestFit="1" customWidth="1"/>
    <col min="13328" max="13568" width="11" style="67"/>
    <col min="13569" max="13569" width="5.125" style="67" bestFit="1" customWidth="1"/>
    <col min="13570" max="13570" width="50" style="67" bestFit="1" customWidth="1"/>
    <col min="13571" max="13582" width="8" style="67" customWidth="1"/>
    <col min="13583" max="13583" width="7.25" style="67" bestFit="1" customWidth="1"/>
    <col min="13584" max="13824" width="11" style="67"/>
    <col min="13825" max="13825" width="5.125" style="67" bestFit="1" customWidth="1"/>
    <col min="13826" max="13826" width="50" style="67" bestFit="1" customWidth="1"/>
    <col min="13827" max="13838" width="8" style="67" customWidth="1"/>
    <col min="13839" max="13839" width="7.25" style="67" bestFit="1" customWidth="1"/>
    <col min="13840" max="14080" width="11" style="67"/>
    <col min="14081" max="14081" width="5.125" style="67" bestFit="1" customWidth="1"/>
    <col min="14082" max="14082" width="50" style="67" bestFit="1" customWidth="1"/>
    <col min="14083" max="14094" width="8" style="67" customWidth="1"/>
    <col min="14095" max="14095" width="7.25" style="67" bestFit="1" customWidth="1"/>
    <col min="14096" max="14336" width="11" style="67"/>
    <col min="14337" max="14337" width="5.125" style="67" bestFit="1" customWidth="1"/>
    <col min="14338" max="14338" width="50" style="67" bestFit="1" customWidth="1"/>
    <col min="14339" max="14350" width="8" style="67" customWidth="1"/>
    <col min="14351" max="14351" width="7.25" style="67" bestFit="1" customWidth="1"/>
    <col min="14352" max="14592" width="11" style="67"/>
    <col min="14593" max="14593" width="5.125" style="67" bestFit="1" customWidth="1"/>
    <col min="14594" max="14594" width="50" style="67" bestFit="1" customWidth="1"/>
    <col min="14595" max="14606" width="8" style="67" customWidth="1"/>
    <col min="14607" max="14607" width="7.25" style="67" bestFit="1" customWidth="1"/>
    <col min="14608" max="14848" width="11" style="67"/>
    <col min="14849" max="14849" width="5.125" style="67" bestFit="1" customWidth="1"/>
    <col min="14850" max="14850" width="50" style="67" bestFit="1" customWidth="1"/>
    <col min="14851" max="14862" width="8" style="67" customWidth="1"/>
    <col min="14863" max="14863" width="7.25" style="67" bestFit="1" customWidth="1"/>
    <col min="14864" max="15104" width="11" style="67"/>
    <col min="15105" max="15105" width="5.125" style="67" bestFit="1" customWidth="1"/>
    <col min="15106" max="15106" width="50" style="67" bestFit="1" customWidth="1"/>
    <col min="15107" max="15118" width="8" style="67" customWidth="1"/>
    <col min="15119" max="15119" width="7.25" style="67" bestFit="1" customWidth="1"/>
    <col min="15120" max="15360" width="11" style="67"/>
    <col min="15361" max="15361" width="5.125" style="67" bestFit="1" customWidth="1"/>
    <col min="15362" max="15362" width="50" style="67" bestFit="1" customWidth="1"/>
    <col min="15363" max="15374" width="8" style="67" customWidth="1"/>
    <col min="15375" max="15375" width="7.25" style="67" bestFit="1" customWidth="1"/>
    <col min="15376" max="15616" width="11" style="67"/>
    <col min="15617" max="15617" width="5.125" style="67" bestFit="1" customWidth="1"/>
    <col min="15618" max="15618" width="50" style="67" bestFit="1" customWidth="1"/>
    <col min="15619" max="15630" width="8" style="67" customWidth="1"/>
    <col min="15631" max="15631" width="7.25" style="67" bestFit="1" customWidth="1"/>
    <col min="15632" max="15872" width="11" style="67"/>
    <col min="15873" max="15873" width="5.125" style="67" bestFit="1" customWidth="1"/>
    <col min="15874" max="15874" width="50" style="67" bestFit="1" customWidth="1"/>
    <col min="15875" max="15886" width="8" style="67" customWidth="1"/>
    <col min="15887" max="15887" width="7.25" style="67" bestFit="1" customWidth="1"/>
    <col min="15888" max="16128" width="11" style="67"/>
    <col min="16129" max="16129" width="5.125" style="67" bestFit="1" customWidth="1"/>
    <col min="16130" max="16130" width="50" style="67" bestFit="1" customWidth="1"/>
    <col min="16131" max="16142" width="8" style="67" customWidth="1"/>
    <col min="16143" max="16143" width="7.25" style="67" bestFit="1" customWidth="1"/>
    <col min="16144" max="16384" width="11" style="67"/>
  </cols>
  <sheetData>
    <row r="1" spans="1:21" ht="18.350000000000001" x14ac:dyDescent="0.3">
      <c r="A1" s="633" t="s">
        <v>3616</v>
      </c>
      <c r="B1" s="634"/>
      <c r="C1" s="634"/>
      <c r="D1" s="634"/>
      <c r="E1" s="634"/>
      <c r="F1" s="634"/>
      <c r="G1" s="634"/>
      <c r="H1" s="634"/>
      <c r="I1" s="634"/>
      <c r="J1" s="634"/>
      <c r="K1" s="634"/>
      <c r="L1" s="634"/>
      <c r="M1" s="634"/>
      <c r="N1" s="634"/>
      <c r="O1" s="635"/>
      <c r="P1" s="223"/>
    </row>
    <row r="2" spans="1:21" ht="15.65" x14ac:dyDescent="0.25">
      <c r="A2" s="636" t="s">
        <v>3546</v>
      </c>
      <c r="B2" s="637"/>
      <c r="C2" s="637"/>
      <c r="D2" s="637"/>
      <c r="E2" s="637"/>
      <c r="F2" s="637"/>
      <c r="G2" s="637"/>
      <c r="H2" s="637"/>
      <c r="I2" s="637"/>
      <c r="J2" s="637"/>
      <c r="K2" s="637"/>
      <c r="L2" s="637"/>
      <c r="M2" s="637"/>
      <c r="N2" s="637"/>
      <c r="O2" s="638"/>
      <c r="P2" s="223"/>
    </row>
    <row r="3" spans="1:21" ht="14.3" x14ac:dyDescent="0.25">
      <c r="C3" s="644" t="s">
        <v>3617</v>
      </c>
      <c r="D3" s="645"/>
      <c r="E3" s="645"/>
      <c r="F3" s="645"/>
      <c r="G3" s="645"/>
      <c r="H3" s="645"/>
      <c r="I3" s="645"/>
      <c r="J3" s="645"/>
      <c r="K3" s="645"/>
      <c r="L3" s="645"/>
      <c r="M3" s="645"/>
      <c r="N3" s="645"/>
      <c r="O3" s="646"/>
      <c r="Q3" s="647" t="s">
        <v>3615</v>
      </c>
      <c r="R3" s="647"/>
      <c r="S3" s="647"/>
      <c r="T3" s="647"/>
      <c r="U3" s="647"/>
    </row>
    <row r="4" spans="1:21" ht="17.7" x14ac:dyDescent="0.2">
      <c r="A4" s="225" t="s">
        <v>3548</v>
      </c>
      <c r="B4" s="225" t="s">
        <v>3549</v>
      </c>
      <c r="C4" s="226" t="s">
        <v>9</v>
      </c>
      <c r="D4" s="226" t="s">
        <v>130</v>
      </c>
      <c r="E4" s="226" t="s">
        <v>321</v>
      </c>
      <c r="F4" s="226" t="s">
        <v>3550</v>
      </c>
      <c r="G4" s="226" t="s">
        <v>2145</v>
      </c>
      <c r="H4" s="226" t="s">
        <v>835</v>
      </c>
      <c r="I4" s="227" t="s">
        <v>2146</v>
      </c>
      <c r="J4" s="227" t="s">
        <v>2147</v>
      </c>
      <c r="K4" s="227" t="s">
        <v>2148</v>
      </c>
      <c r="L4" s="227" t="s">
        <v>2149</v>
      </c>
      <c r="M4" s="227" t="s">
        <v>3551</v>
      </c>
      <c r="N4" s="227" t="s">
        <v>2151</v>
      </c>
      <c r="O4" s="228" t="s">
        <v>2152</v>
      </c>
    </row>
    <row r="5" spans="1:21" x14ac:dyDescent="0.2">
      <c r="A5" s="230" t="s">
        <v>3552</v>
      </c>
      <c r="B5" s="230" t="s">
        <v>3553</v>
      </c>
      <c r="C5" s="231"/>
      <c r="D5" s="231"/>
      <c r="E5" s="231"/>
      <c r="F5" s="231"/>
      <c r="G5" s="231"/>
      <c r="H5" s="231"/>
      <c r="I5" s="231"/>
      <c r="J5" s="231"/>
      <c r="K5" s="231"/>
      <c r="L5" s="231"/>
      <c r="M5" s="231"/>
      <c r="N5" s="231"/>
      <c r="O5" s="231"/>
      <c r="P5" s="648" t="s">
        <v>3618</v>
      </c>
      <c r="Q5" s="647"/>
      <c r="R5" s="647"/>
    </row>
    <row r="6" spans="1:21" ht="13.6" x14ac:dyDescent="0.2">
      <c r="A6" s="232">
        <v>1</v>
      </c>
      <c r="B6" s="233" t="s">
        <v>3554</v>
      </c>
      <c r="C6" s="234">
        <v>2</v>
      </c>
      <c r="D6" s="234"/>
      <c r="E6" s="234">
        <v>1</v>
      </c>
      <c r="F6" s="234"/>
      <c r="G6" s="234">
        <v>2</v>
      </c>
      <c r="H6" s="234">
        <v>1</v>
      </c>
      <c r="I6" s="234">
        <v>1</v>
      </c>
      <c r="J6" s="234">
        <v>1</v>
      </c>
      <c r="K6" s="234"/>
      <c r="L6" s="234"/>
      <c r="M6" s="234"/>
      <c r="N6" s="234">
        <v>1</v>
      </c>
      <c r="O6" s="235">
        <f>SUM(C6:N6)</f>
        <v>9</v>
      </c>
      <c r="P6" s="223"/>
      <c r="Q6" s="260">
        <v>47</v>
      </c>
    </row>
    <row r="7" spans="1:21" ht="13.6" x14ac:dyDescent="0.2">
      <c r="A7" s="232">
        <v>2</v>
      </c>
      <c r="B7" s="233" t="s">
        <v>3555</v>
      </c>
      <c r="C7" s="234">
        <v>2</v>
      </c>
      <c r="D7" s="234">
        <v>3</v>
      </c>
      <c r="E7" s="234">
        <v>3</v>
      </c>
      <c r="F7" s="234">
        <v>1</v>
      </c>
      <c r="G7" s="234">
        <v>2</v>
      </c>
      <c r="H7" s="234">
        <v>1</v>
      </c>
      <c r="I7" s="234">
        <v>4</v>
      </c>
      <c r="J7" s="234">
        <v>1</v>
      </c>
      <c r="K7" s="234">
        <v>3</v>
      </c>
      <c r="L7" s="234">
        <v>2</v>
      </c>
      <c r="M7" s="234"/>
      <c r="N7" s="234"/>
      <c r="O7" s="235">
        <f t="shared" ref="O7:O16" si="0">SUM(C7:N7)</f>
        <v>22</v>
      </c>
      <c r="P7" s="223"/>
    </row>
    <row r="8" spans="1:21" ht="13.6" x14ac:dyDescent="0.2">
      <c r="A8" s="232">
        <v>3</v>
      </c>
      <c r="B8" s="233" t="s">
        <v>3556</v>
      </c>
      <c r="C8" s="234">
        <v>1</v>
      </c>
      <c r="D8" s="234"/>
      <c r="E8" s="234"/>
      <c r="F8" s="234"/>
      <c r="G8" s="234">
        <v>1</v>
      </c>
      <c r="H8" s="234"/>
      <c r="I8" s="234">
        <v>1</v>
      </c>
      <c r="J8" s="234">
        <v>2</v>
      </c>
      <c r="K8" s="234">
        <v>1</v>
      </c>
      <c r="L8" s="234">
        <v>2</v>
      </c>
      <c r="M8" s="234"/>
      <c r="N8" s="234">
        <v>1</v>
      </c>
      <c r="O8" s="235">
        <f t="shared" si="0"/>
        <v>9</v>
      </c>
      <c r="P8" s="223"/>
    </row>
    <row r="9" spans="1:21" ht="13.6" x14ac:dyDescent="0.2">
      <c r="A9" s="232">
        <v>4</v>
      </c>
      <c r="B9" s="233" t="s">
        <v>3557</v>
      </c>
      <c r="C9" s="234"/>
      <c r="D9" s="234"/>
      <c r="E9" s="234">
        <v>1</v>
      </c>
      <c r="F9" s="234"/>
      <c r="G9" s="234">
        <v>1</v>
      </c>
      <c r="H9" s="234"/>
      <c r="I9" s="234"/>
      <c r="J9" s="234"/>
      <c r="K9" s="234"/>
      <c r="L9" s="234">
        <v>1</v>
      </c>
      <c r="M9" s="234">
        <v>1</v>
      </c>
      <c r="N9" s="234">
        <v>1</v>
      </c>
      <c r="O9" s="235">
        <f t="shared" si="0"/>
        <v>5</v>
      </c>
      <c r="P9" s="223"/>
    </row>
    <row r="10" spans="1:21" ht="13.6" x14ac:dyDescent="0.2">
      <c r="A10" s="232">
        <v>5</v>
      </c>
      <c r="B10" s="233" t="s">
        <v>3558</v>
      </c>
      <c r="C10" s="234"/>
      <c r="D10" s="234"/>
      <c r="E10" s="234"/>
      <c r="F10" s="234"/>
      <c r="G10" s="234"/>
      <c r="H10" s="234"/>
      <c r="I10" s="234"/>
      <c r="J10" s="234"/>
      <c r="K10" s="234"/>
      <c r="L10" s="234"/>
      <c r="M10" s="234"/>
      <c r="N10" s="234"/>
      <c r="O10" s="235">
        <f t="shared" si="0"/>
        <v>0</v>
      </c>
      <c r="P10" s="223"/>
    </row>
    <row r="11" spans="1:21" ht="13.6" x14ac:dyDescent="0.2">
      <c r="A11" s="232">
        <v>6</v>
      </c>
      <c r="B11" s="233" t="s">
        <v>3559</v>
      </c>
      <c r="C11" s="234"/>
      <c r="D11" s="234"/>
      <c r="E11" s="234"/>
      <c r="F11" s="234"/>
      <c r="G11" s="234"/>
      <c r="H11" s="234"/>
      <c r="I11" s="234"/>
      <c r="J11" s="234"/>
      <c r="K11" s="234"/>
      <c r="L11" s="234"/>
      <c r="M11" s="234"/>
      <c r="N11" s="234"/>
      <c r="O11" s="235">
        <f t="shared" si="0"/>
        <v>0</v>
      </c>
    </row>
    <row r="12" spans="1:21" ht="13.6" x14ac:dyDescent="0.2">
      <c r="A12" s="232">
        <v>7</v>
      </c>
      <c r="B12" s="233" t="s">
        <v>3560</v>
      </c>
      <c r="C12" s="234"/>
      <c r="D12" s="234"/>
      <c r="E12" s="234"/>
      <c r="F12" s="234"/>
      <c r="G12" s="234"/>
      <c r="H12" s="234"/>
      <c r="I12" s="234"/>
      <c r="J12" s="234"/>
      <c r="K12" s="234"/>
      <c r="L12" s="234"/>
      <c r="M12" s="234"/>
      <c r="N12" s="234"/>
      <c r="O12" s="235">
        <f t="shared" si="0"/>
        <v>0</v>
      </c>
      <c r="P12" s="223"/>
    </row>
    <row r="13" spans="1:21" ht="13.6" x14ac:dyDescent="0.2">
      <c r="A13" s="232">
        <v>8</v>
      </c>
      <c r="B13" s="233" t="s">
        <v>3561</v>
      </c>
      <c r="C13" s="234"/>
      <c r="D13" s="234"/>
      <c r="E13" s="234"/>
      <c r="F13" s="234"/>
      <c r="G13" s="234"/>
      <c r="H13" s="234">
        <v>1</v>
      </c>
      <c r="I13" s="234"/>
      <c r="J13" s="234"/>
      <c r="K13" s="234">
        <v>1</v>
      </c>
      <c r="L13" s="234"/>
      <c r="M13" s="234"/>
      <c r="N13" s="234"/>
      <c r="O13" s="235">
        <f t="shared" si="0"/>
        <v>2</v>
      </c>
    </row>
    <row r="14" spans="1:21" ht="13.6" x14ac:dyDescent="0.2">
      <c r="A14" s="232">
        <v>9</v>
      </c>
      <c r="B14" s="233" t="s">
        <v>3562</v>
      </c>
      <c r="C14" s="234"/>
      <c r="D14" s="234">
        <v>1</v>
      </c>
      <c r="E14" s="234"/>
      <c r="F14" s="234"/>
      <c r="G14" s="234"/>
      <c r="H14" s="234"/>
      <c r="I14" s="234"/>
      <c r="J14" s="234"/>
      <c r="K14" s="234">
        <v>2</v>
      </c>
      <c r="L14" s="234"/>
      <c r="M14" s="234"/>
      <c r="N14" s="234"/>
      <c r="O14" s="235">
        <f t="shared" si="0"/>
        <v>3</v>
      </c>
    </row>
    <row r="15" spans="1:21" ht="13.6" x14ac:dyDescent="0.2">
      <c r="A15" s="232">
        <v>10</v>
      </c>
      <c r="B15" s="233" t="s">
        <v>3563</v>
      </c>
      <c r="C15" s="234"/>
      <c r="D15" s="234"/>
      <c r="E15" s="234"/>
      <c r="F15" s="234"/>
      <c r="G15" s="234"/>
      <c r="H15" s="234"/>
      <c r="I15" s="234"/>
      <c r="J15" s="234"/>
      <c r="K15" s="234"/>
      <c r="L15" s="234"/>
      <c r="M15" s="234"/>
      <c r="N15" s="234"/>
      <c r="O15" s="235">
        <f t="shared" si="0"/>
        <v>0</v>
      </c>
    </row>
    <row r="16" spans="1:21" ht="13.6" x14ac:dyDescent="0.2">
      <c r="A16" s="232">
        <v>11</v>
      </c>
      <c r="B16" s="233" t="s">
        <v>3564</v>
      </c>
      <c r="C16" s="234">
        <v>1</v>
      </c>
      <c r="D16" s="234"/>
      <c r="E16" s="234"/>
      <c r="F16" s="234">
        <v>1</v>
      </c>
      <c r="G16" s="234">
        <v>1</v>
      </c>
      <c r="H16" s="234"/>
      <c r="I16" s="234"/>
      <c r="J16" s="234"/>
      <c r="K16" s="234">
        <v>1</v>
      </c>
      <c r="L16" s="234"/>
      <c r="M16" s="234"/>
      <c r="N16" s="234">
        <v>1</v>
      </c>
      <c r="O16" s="235">
        <f t="shared" si="0"/>
        <v>5</v>
      </c>
    </row>
    <row r="17" spans="1:15" x14ac:dyDescent="0.2">
      <c r="A17" s="237"/>
      <c r="B17" s="238" t="s">
        <v>3565</v>
      </c>
      <c r="C17" s="239">
        <f>SUM(C6:C16)</f>
        <v>6</v>
      </c>
      <c r="D17" s="239">
        <f t="shared" ref="D17:N17" si="1">SUM(D6:D16)</f>
        <v>4</v>
      </c>
      <c r="E17" s="239">
        <f t="shared" si="1"/>
        <v>5</v>
      </c>
      <c r="F17" s="239">
        <f t="shared" si="1"/>
        <v>2</v>
      </c>
      <c r="G17" s="239">
        <f t="shared" si="1"/>
        <v>7</v>
      </c>
      <c r="H17" s="239">
        <f t="shared" si="1"/>
        <v>3</v>
      </c>
      <c r="I17" s="239">
        <f t="shared" si="1"/>
        <v>6</v>
      </c>
      <c r="J17" s="239">
        <f t="shared" si="1"/>
        <v>4</v>
      </c>
      <c r="K17" s="239">
        <f t="shared" si="1"/>
        <v>8</v>
      </c>
      <c r="L17" s="239">
        <f t="shared" si="1"/>
        <v>5</v>
      </c>
      <c r="M17" s="239">
        <f t="shared" si="1"/>
        <v>1</v>
      </c>
      <c r="N17" s="239">
        <f t="shared" si="1"/>
        <v>4</v>
      </c>
      <c r="O17" s="239">
        <f>SUM(O6:O16)</f>
        <v>55</v>
      </c>
    </row>
    <row r="18" spans="1:15" ht="13.6" x14ac:dyDescent="0.2">
      <c r="A18" s="240" t="s">
        <v>3566</v>
      </c>
      <c r="B18" s="241" t="s">
        <v>3567</v>
      </c>
      <c r="C18" s="649"/>
      <c r="D18" s="650"/>
      <c r="E18" s="650"/>
      <c r="F18" s="650"/>
      <c r="G18" s="650"/>
      <c r="H18" s="650"/>
      <c r="I18" s="650"/>
      <c r="J18" s="650"/>
      <c r="K18" s="650"/>
      <c r="L18" s="650"/>
      <c r="M18" s="650"/>
      <c r="N18" s="650"/>
      <c r="O18" s="651"/>
    </row>
    <row r="19" spans="1:15" ht="27.2" x14ac:dyDescent="0.2">
      <c r="A19" s="232">
        <v>12</v>
      </c>
      <c r="B19" s="242" t="s">
        <v>3568</v>
      </c>
      <c r="C19" s="234">
        <v>1</v>
      </c>
      <c r="D19" s="234">
        <v>6</v>
      </c>
      <c r="E19" s="234">
        <v>2</v>
      </c>
      <c r="F19" s="234">
        <v>11</v>
      </c>
      <c r="G19" s="234">
        <v>10</v>
      </c>
      <c r="H19" s="234">
        <v>2</v>
      </c>
      <c r="I19" s="234">
        <v>5</v>
      </c>
      <c r="J19" s="234">
        <v>4</v>
      </c>
      <c r="K19" s="234">
        <v>1</v>
      </c>
      <c r="L19" s="234">
        <v>1</v>
      </c>
      <c r="M19" s="234"/>
      <c r="N19" s="234">
        <v>7</v>
      </c>
      <c r="O19" s="235">
        <f>SUM(C19:N19)</f>
        <v>50</v>
      </c>
    </row>
    <row r="20" spans="1:15" ht="13.6" x14ac:dyDescent="0.2">
      <c r="A20" s="232">
        <v>13</v>
      </c>
      <c r="B20" s="233" t="s">
        <v>3569</v>
      </c>
      <c r="C20" s="234"/>
      <c r="D20" s="234"/>
      <c r="E20" s="234"/>
      <c r="F20" s="234"/>
      <c r="G20" s="234"/>
      <c r="H20" s="234"/>
      <c r="I20" s="234"/>
      <c r="J20" s="234"/>
      <c r="K20" s="234"/>
      <c r="L20" s="234"/>
      <c r="M20" s="234"/>
      <c r="N20" s="234"/>
      <c r="O20" s="235">
        <f t="shared" ref="O20:O32" si="2">SUM(C20:N20)</f>
        <v>0</v>
      </c>
    </row>
    <row r="21" spans="1:15" ht="13.6" x14ac:dyDescent="0.2">
      <c r="A21" s="232">
        <v>14</v>
      </c>
      <c r="B21" s="233" t="s">
        <v>3570</v>
      </c>
      <c r="C21" s="234">
        <v>1</v>
      </c>
      <c r="D21" s="234">
        <v>1</v>
      </c>
      <c r="E21" s="234"/>
      <c r="F21" s="234"/>
      <c r="G21" s="234"/>
      <c r="H21" s="234"/>
      <c r="I21" s="234">
        <v>1</v>
      </c>
      <c r="J21" s="234"/>
      <c r="K21" s="234">
        <v>1</v>
      </c>
      <c r="L21" s="234"/>
      <c r="M21" s="234">
        <v>1</v>
      </c>
      <c r="N21" s="234"/>
      <c r="O21" s="235">
        <f t="shared" si="2"/>
        <v>5</v>
      </c>
    </row>
    <row r="22" spans="1:15" ht="13.6" x14ac:dyDescent="0.2">
      <c r="A22" s="232">
        <v>15</v>
      </c>
      <c r="B22" s="233" t="s">
        <v>3571</v>
      </c>
      <c r="C22" s="234"/>
      <c r="D22" s="234"/>
      <c r="E22" s="234"/>
      <c r="F22" s="234"/>
      <c r="G22" s="234"/>
      <c r="H22" s="234"/>
      <c r="I22" s="234"/>
      <c r="J22" s="234"/>
      <c r="K22" s="234"/>
      <c r="L22" s="234"/>
      <c r="M22" s="234"/>
      <c r="N22" s="234"/>
      <c r="O22" s="235">
        <f t="shared" si="2"/>
        <v>0</v>
      </c>
    </row>
    <row r="23" spans="1:15" ht="13.6" x14ac:dyDescent="0.2">
      <c r="A23" s="232">
        <v>16</v>
      </c>
      <c r="B23" s="233" t="s">
        <v>3572</v>
      </c>
      <c r="C23" s="234"/>
      <c r="D23" s="234"/>
      <c r="E23" s="234"/>
      <c r="F23" s="234"/>
      <c r="G23" s="234"/>
      <c r="H23" s="234"/>
      <c r="I23" s="234"/>
      <c r="J23" s="234"/>
      <c r="K23" s="234"/>
      <c r="L23" s="234"/>
      <c r="M23" s="234"/>
      <c r="N23" s="234"/>
      <c r="O23" s="235">
        <f t="shared" si="2"/>
        <v>0</v>
      </c>
    </row>
    <row r="24" spans="1:15" ht="13.6" x14ac:dyDescent="0.2">
      <c r="A24" s="232">
        <v>17</v>
      </c>
      <c r="B24" s="233" t="s">
        <v>3573</v>
      </c>
      <c r="C24" s="234"/>
      <c r="D24" s="234"/>
      <c r="E24" s="234"/>
      <c r="F24" s="234"/>
      <c r="G24" s="234"/>
      <c r="H24" s="234"/>
      <c r="I24" s="234"/>
      <c r="J24" s="234"/>
      <c r="K24" s="234"/>
      <c r="L24" s="234"/>
      <c r="M24" s="234"/>
      <c r="N24" s="234"/>
      <c r="O24" s="235">
        <f t="shared" si="2"/>
        <v>0</v>
      </c>
    </row>
    <row r="25" spans="1:15" ht="13.6" x14ac:dyDescent="0.2">
      <c r="A25" s="232">
        <v>18</v>
      </c>
      <c r="B25" s="233" t="s">
        <v>3574</v>
      </c>
      <c r="C25" s="234"/>
      <c r="D25" s="234"/>
      <c r="E25" s="234"/>
      <c r="F25" s="234"/>
      <c r="G25" s="234"/>
      <c r="H25" s="234"/>
      <c r="I25" s="234"/>
      <c r="J25" s="234"/>
      <c r="K25" s="234"/>
      <c r="L25" s="234"/>
      <c r="M25" s="234"/>
      <c r="N25" s="234"/>
      <c r="O25" s="235">
        <f t="shared" si="2"/>
        <v>0</v>
      </c>
    </row>
    <row r="26" spans="1:15" ht="13.6" x14ac:dyDescent="0.2">
      <c r="A26" s="232">
        <v>19</v>
      </c>
      <c r="B26" s="233" t="s">
        <v>3575</v>
      </c>
      <c r="C26" s="234"/>
      <c r="D26" s="234"/>
      <c r="E26" s="234"/>
      <c r="F26" s="234"/>
      <c r="G26" s="234"/>
      <c r="H26" s="234"/>
      <c r="I26" s="234"/>
      <c r="J26" s="234"/>
      <c r="K26" s="234"/>
      <c r="L26" s="234"/>
      <c r="M26" s="234"/>
      <c r="N26" s="234"/>
      <c r="O26" s="235">
        <f t="shared" si="2"/>
        <v>0</v>
      </c>
    </row>
    <row r="27" spans="1:15" ht="13.6" x14ac:dyDescent="0.2">
      <c r="A27" s="232">
        <v>20</v>
      </c>
      <c r="B27" s="233" t="s">
        <v>3576</v>
      </c>
      <c r="C27" s="234"/>
      <c r="D27" s="234"/>
      <c r="E27" s="234"/>
      <c r="F27" s="234"/>
      <c r="G27" s="234"/>
      <c r="H27" s="234"/>
      <c r="I27" s="234">
        <v>1</v>
      </c>
      <c r="J27" s="234"/>
      <c r="K27" s="234"/>
      <c r="L27" s="234"/>
      <c r="M27" s="234"/>
      <c r="N27" s="234"/>
      <c r="O27" s="235">
        <f t="shared" si="2"/>
        <v>1</v>
      </c>
    </row>
    <row r="28" spans="1:15" ht="13.6" x14ac:dyDescent="0.2">
      <c r="A28" s="232">
        <v>21</v>
      </c>
      <c r="B28" s="233" t="s">
        <v>3577</v>
      </c>
      <c r="C28" s="234"/>
      <c r="D28" s="234"/>
      <c r="E28" s="234"/>
      <c r="F28" s="234"/>
      <c r="G28" s="234"/>
      <c r="H28" s="234"/>
      <c r="I28" s="234"/>
      <c r="J28" s="234"/>
      <c r="K28" s="234"/>
      <c r="L28" s="234"/>
      <c r="M28" s="234"/>
      <c r="N28" s="234"/>
      <c r="O28" s="235">
        <f t="shared" si="2"/>
        <v>0</v>
      </c>
    </row>
    <row r="29" spans="1:15" ht="13.6" x14ac:dyDescent="0.2">
      <c r="A29" s="232">
        <v>22</v>
      </c>
      <c r="B29" s="233" t="s">
        <v>3578</v>
      </c>
      <c r="C29" s="234"/>
      <c r="D29" s="234"/>
      <c r="E29" s="234"/>
      <c r="F29" s="234"/>
      <c r="G29" s="234"/>
      <c r="H29" s="234"/>
      <c r="I29" s="234"/>
      <c r="J29" s="234"/>
      <c r="K29" s="234"/>
      <c r="L29" s="234"/>
      <c r="M29" s="234"/>
      <c r="N29" s="234"/>
      <c r="O29" s="235">
        <f t="shared" si="2"/>
        <v>0</v>
      </c>
    </row>
    <row r="30" spans="1:15" ht="13.6" x14ac:dyDescent="0.2">
      <c r="A30" s="232">
        <v>23</v>
      </c>
      <c r="B30" s="233" t="s">
        <v>3579</v>
      </c>
      <c r="C30" s="234"/>
      <c r="D30" s="234"/>
      <c r="E30" s="234"/>
      <c r="F30" s="234"/>
      <c r="G30" s="234"/>
      <c r="H30" s="234"/>
      <c r="I30" s="234"/>
      <c r="J30" s="234"/>
      <c r="K30" s="234"/>
      <c r="L30" s="234"/>
      <c r="M30" s="234"/>
      <c r="N30" s="234"/>
      <c r="O30" s="235">
        <f t="shared" si="2"/>
        <v>0</v>
      </c>
    </row>
    <row r="31" spans="1:15" ht="13.6" x14ac:dyDescent="0.2">
      <c r="A31" s="232">
        <v>24</v>
      </c>
      <c r="B31" s="233" t="s">
        <v>3580</v>
      </c>
      <c r="C31" s="234"/>
      <c r="D31" s="234"/>
      <c r="E31" s="234"/>
      <c r="F31" s="234"/>
      <c r="G31" s="234"/>
      <c r="H31" s="234"/>
      <c r="I31" s="234"/>
      <c r="J31" s="234"/>
      <c r="K31" s="234"/>
      <c r="L31" s="234"/>
      <c r="M31" s="234"/>
      <c r="N31" s="234"/>
      <c r="O31" s="235">
        <f t="shared" si="2"/>
        <v>0</v>
      </c>
    </row>
    <row r="32" spans="1:15" ht="13.6" x14ac:dyDescent="0.2">
      <c r="A32" s="232">
        <v>25</v>
      </c>
      <c r="B32" s="233" t="s">
        <v>3581</v>
      </c>
      <c r="C32" s="234"/>
      <c r="D32" s="234"/>
      <c r="E32" s="234">
        <v>1</v>
      </c>
      <c r="F32" s="234"/>
      <c r="G32" s="234"/>
      <c r="H32" s="234"/>
      <c r="I32" s="234"/>
      <c r="J32" s="234"/>
      <c r="K32" s="234"/>
      <c r="L32" s="234"/>
      <c r="M32" s="234">
        <v>2</v>
      </c>
      <c r="N32" s="234"/>
      <c r="O32" s="235">
        <f t="shared" si="2"/>
        <v>3</v>
      </c>
    </row>
    <row r="33" spans="1:16" x14ac:dyDescent="0.2">
      <c r="A33" s="243"/>
      <c r="B33" s="238" t="s">
        <v>3565</v>
      </c>
      <c r="C33" s="239">
        <f>SUM(C19:C32)</f>
        <v>2</v>
      </c>
      <c r="D33" s="239">
        <f t="shared" ref="D33:N33" si="3">SUM(D19:D32)</f>
        <v>7</v>
      </c>
      <c r="E33" s="239">
        <f t="shared" si="3"/>
        <v>3</v>
      </c>
      <c r="F33" s="239">
        <f t="shared" si="3"/>
        <v>11</v>
      </c>
      <c r="G33" s="239">
        <f t="shared" si="3"/>
        <v>10</v>
      </c>
      <c r="H33" s="239">
        <f t="shared" si="3"/>
        <v>2</v>
      </c>
      <c r="I33" s="239">
        <f t="shared" si="3"/>
        <v>7</v>
      </c>
      <c r="J33" s="239">
        <f t="shared" si="3"/>
        <v>4</v>
      </c>
      <c r="K33" s="239">
        <f t="shared" si="3"/>
        <v>2</v>
      </c>
      <c r="L33" s="239">
        <f t="shared" si="3"/>
        <v>1</v>
      </c>
      <c r="M33" s="239">
        <f t="shared" si="3"/>
        <v>3</v>
      </c>
      <c r="N33" s="239">
        <f t="shared" si="3"/>
        <v>7</v>
      </c>
      <c r="O33" s="239">
        <f>SUM(O19:O32)</f>
        <v>59</v>
      </c>
    </row>
    <row r="34" spans="1:16" ht="14.3" x14ac:dyDescent="0.2">
      <c r="A34" s="244" t="s">
        <v>3582</v>
      </c>
      <c r="B34" s="245" t="s">
        <v>3583</v>
      </c>
      <c r="C34" s="652"/>
      <c r="D34" s="653"/>
      <c r="E34" s="653"/>
      <c r="F34" s="653"/>
      <c r="G34" s="653"/>
      <c r="H34" s="653"/>
      <c r="I34" s="653"/>
      <c r="J34" s="653"/>
      <c r="K34" s="653"/>
      <c r="L34" s="653"/>
      <c r="M34" s="653"/>
      <c r="N34" s="653"/>
      <c r="O34" s="654"/>
    </row>
    <row r="35" spans="1:16" ht="13.6" x14ac:dyDescent="0.2">
      <c r="A35" s="246">
        <v>26</v>
      </c>
      <c r="B35" s="233" t="s">
        <v>3584</v>
      </c>
      <c r="C35" s="234"/>
      <c r="D35" s="234"/>
      <c r="E35" s="234"/>
      <c r="F35" s="234">
        <v>1</v>
      </c>
      <c r="G35" s="234"/>
      <c r="H35" s="234"/>
      <c r="I35" s="234">
        <v>1</v>
      </c>
      <c r="J35" s="234"/>
      <c r="K35" s="234"/>
      <c r="L35" s="234"/>
      <c r="M35" s="234"/>
      <c r="N35" s="234"/>
      <c r="O35" s="235">
        <f>SUM(C35:N35)</f>
        <v>2</v>
      </c>
      <c r="P35" s="223"/>
    </row>
    <row r="36" spans="1:16" ht="13.6" x14ac:dyDescent="0.2">
      <c r="A36" s="232">
        <v>27</v>
      </c>
      <c r="B36" s="233" t="s">
        <v>3585</v>
      </c>
      <c r="C36" s="234"/>
      <c r="D36" s="234">
        <v>1</v>
      </c>
      <c r="E36" s="234"/>
      <c r="F36" s="234"/>
      <c r="G36" s="234"/>
      <c r="H36" s="234"/>
      <c r="I36" s="234"/>
      <c r="J36" s="234"/>
      <c r="K36" s="234"/>
      <c r="L36" s="234"/>
      <c r="M36" s="234"/>
      <c r="N36" s="234"/>
      <c r="O36" s="235">
        <f>SUM(C36:N36)</f>
        <v>1</v>
      </c>
    </row>
    <row r="37" spans="1:16" ht="13.6" x14ac:dyDescent="0.2">
      <c r="A37" s="232">
        <v>28</v>
      </c>
      <c r="B37" s="233" t="s">
        <v>3586</v>
      </c>
      <c r="C37" s="234">
        <v>1</v>
      </c>
      <c r="D37" s="234"/>
      <c r="E37" s="234"/>
      <c r="F37" s="234"/>
      <c r="G37" s="234">
        <v>1</v>
      </c>
      <c r="H37" s="234">
        <v>2</v>
      </c>
      <c r="I37" s="234">
        <v>2</v>
      </c>
      <c r="J37" s="234">
        <v>3</v>
      </c>
      <c r="K37" s="234">
        <v>1</v>
      </c>
      <c r="L37" s="234">
        <v>2</v>
      </c>
      <c r="M37" s="234"/>
      <c r="N37" s="234">
        <v>2</v>
      </c>
      <c r="O37" s="235">
        <f>SUM(C37:N37)</f>
        <v>14</v>
      </c>
    </row>
    <row r="38" spans="1:16" ht="13.6" x14ac:dyDescent="0.2">
      <c r="A38" s="232">
        <v>29</v>
      </c>
      <c r="B38" s="233" t="s">
        <v>3587</v>
      </c>
      <c r="C38" s="234"/>
      <c r="D38" s="234"/>
      <c r="E38" s="234"/>
      <c r="F38" s="234"/>
      <c r="G38" s="234"/>
      <c r="H38" s="234"/>
      <c r="I38" s="234"/>
      <c r="J38" s="234"/>
      <c r="K38" s="234"/>
      <c r="L38" s="234">
        <v>1</v>
      </c>
      <c r="M38" s="234"/>
      <c r="N38" s="234"/>
      <c r="O38" s="235">
        <f>SUM(C38:N38)</f>
        <v>1</v>
      </c>
    </row>
    <row r="39" spans="1:16" x14ac:dyDescent="0.2">
      <c r="A39" s="243"/>
      <c r="B39" s="238" t="s">
        <v>3565</v>
      </c>
      <c r="C39" s="239">
        <f>SUM(C35:C38)</f>
        <v>1</v>
      </c>
      <c r="D39" s="239">
        <f t="shared" ref="D39:N39" si="4">SUM(D35:D38)</f>
        <v>1</v>
      </c>
      <c r="E39" s="239">
        <f t="shared" si="4"/>
        <v>0</v>
      </c>
      <c r="F39" s="239">
        <f t="shared" si="4"/>
        <v>1</v>
      </c>
      <c r="G39" s="239">
        <f t="shared" si="4"/>
        <v>1</v>
      </c>
      <c r="H39" s="239">
        <f t="shared" si="4"/>
        <v>2</v>
      </c>
      <c r="I39" s="239">
        <f t="shared" si="4"/>
        <v>3</v>
      </c>
      <c r="J39" s="239">
        <f t="shared" si="4"/>
        <v>3</v>
      </c>
      <c r="K39" s="239">
        <f t="shared" si="4"/>
        <v>1</v>
      </c>
      <c r="L39" s="239">
        <f t="shared" si="4"/>
        <v>3</v>
      </c>
      <c r="M39" s="239">
        <f t="shared" si="4"/>
        <v>0</v>
      </c>
      <c r="N39" s="239">
        <f t="shared" si="4"/>
        <v>2</v>
      </c>
      <c r="O39" s="239">
        <f>SUM(O35:O38)</f>
        <v>18</v>
      </c>
    </row>
    <row r="40" spans="1:16" ht="14.3" x14ac:dyDescent="0.2">
      <c r="A40" s="247" t="s">
        <v>3588</v>
      </c>
      <c r="B40" s="248" t="s">
        <v>3589</v>
      </c>
      <c r="C40" s="655"/>
      <c r="D40" s="656"/>
      <c r="E40" s="656"/>
      <c r="F40" s="656"/>
      <c r="G40" s="656"/>
      <c r="H40" s="656"/>
      <c r="I40" s="656"/>
      <c r="J40" s="656"/>
      <c r="K40" s="656"/>
      <c r="L40" s="656"/>
      <c r="M40" s="656"/>
      <c r="N40" s="656"/>
      <c r="O40" s="657"/>
    </row>
    <row r="41" spans="1:16" ht="13.6" x14ac:dyDescent="0.2">
      <c r="A41" s="232">
        <v>30</v>
      </c>
      <c r="B41" s="233" t="s">
        <v>3590</v>
      </c>
      <c r="C41" s="234"/>
      <c r="D41" s="234"/>
      <c r="E41" s="234"/>
      <c r="F41" s="234"/>
      <c r="G41" s="234"/>
      <c r="H41" s="234"/>
      <c r="I41" s="234"/>
      <c r="J41" s="234"/>
      <c r="K41" s="234"/>
      <c r="L41" s="234">
        <v>1</v>
      </c>
      <c r="M41" s="234"/>
      <c r="N41" s="234"/>
      <c r="O41" s="235">
        <f t="shared" ref="O41:O49" si="5">SUM(C41:N41)</f>
        <v>1</v>
      </c>
    </row>
    <row r="42" spans="1:16" ht="13.6" x14ac:dyDescent="0.2">
      <c r="A42" s="232">
        <v>31</v>
      </c>
      <c r="B42" s="233" t="s">
        <v>3591</v>
      </c>
      <c r="C42" s="234"/>
      <c r="D42" s="234"/>
      <c r="E42" s="234"/>
      <c r="F42" s="234"/>
      <c r="G42" s="234"/>
      <c r="H42" s="234"/>
      <c r="I42" s="234"/>
      <c r="J42" s="234"/>
      <c r="K42" s="234"/>
      <c r="L42" s="234"/>
      <c r="M42" s="234"/>
      <c r="N42" s="234"/>
      <c r="O42" s="235">
        <f t="shared" si="5"/>
        <v>0</v>
      </c>
    </row>
    <row r="43" spans="1:16" ht="13.6" x14ac:dyDescent="0.2">
      <c r="A43" s="232">
        <v>32</v>
      </c>
      <c r="B43" s="233" t="s">
        <v>3592</v>
      </c>
      <c r="C43" s="234"/>
      <c r="D43" s="234"/>
      <c r="E43" s="234"/>
      <c r="F43" s="234"/>
      <c r="G43" s="234"/>
      <c r="H43" s="234"/>
      <c r="I43" s="234"/>
      <c r="J43" s="234"/>
      <c r="K43" s="234"/>
      <c r="L43" s="234"/>
      <c r="M43" s="234"/>
      <c r="N43" s="234"/>
      <c r="O43" s="235">
        <f t="shared" si="5"/>
        <v>0</v>
      </c>
    </row>
    <row r="44" spans="1:16" ht="13.6" x14ac:dyDescent="0.2">
      <c r="A44" s="232">
        <v>33</v>
      </c>
      <c r="B44" s="233" t="s">
        <v>3593</v>
      </c>
      <c r="C44" s="234"/>
      <c r="D44" s="234"/>
      <c r="E44" s="234"/>
      <c r="F44" s="234"/>
      <c r="G44" s="234"/>
      <c r="H44" s="234"/>
      <c r="I44" s="234"/>
      <c r="J44" s="234"/>
      <c r="K44" s="234"/>
      <c r="L44" s="234"/>
      <c r="M44" s="234"/>
      <c r="N44" s="234"/>
      <c r="O44" s="235">
        <f t="shared" si="5"/>
        <v>0</v>
      </c>
    </row>
    <row r="45" spans="1:16" ht="13.6" x14ac:dyDescent="0.2">
      <c r="A45" s="232">
        <v>34</v>
      </c>
      <c r="B45" s="233" t="s">
        <v>3594</v>
      </c>
      <c r="C45" s="234"/>
      <c r="D45" s="234"/>
      <c r="E45" s="234"/>
      <c r="F45" s="234"/>
      <c r="G45" s="234"/>
      <c r="H45" s="234"/>
      <c r="I45" s="234"/>
      <c r="J45" s="234"/>
      <c r="K45" s="234"/>
      <c r="L45" s="234"/>
      <c r="M45" s="234"/>
      <c r="N45" s="234"/>
      <c r="O45" s="235">
        <f t="shared" si="5"/>
        <v>0</v>
      </c>
    </row>
    <row r="46" spans="1:16" ht="13.6" x14ac:dyDescent="0.2">
      <c r="A46" s="232">
        <v>35</v>
      </c>
      <c r="B46" s="233" t="s">
        <v>3595</v>
      </c>
      <c r="C46" s="234"/>
      <c r="D46" s="234"/>
      <c r="E46" s="234">
        <v>2</v>
      </c>
      <c r="F46" s="234"/>
      <c r="G46" s="234"/>
      <c r="H46" s="234"/>
      <c r="I46" s="234">
        <v>2</v>
      </c>
      <c r="J46" s="234"/>
      <c r="K46" s="234">
        <v>1</v>
      </c>
      <c r="L46" s="234">
        <v>9</v>
      </c>
      <c r="M46" s="234"/>
      <c r="N46" s="234"/>
      <c r="O46" s="235">
        <f t="shared" si="5"/>
        <v>14</v>
      </c>
    </row>
    <row r="47" spans="1:16" ht="13.6" x14ac:dyDescent="0.2">
      <c r="A47" s="232">
        <v>36</v>
      </c>
      <c r="B47" s="233" t="s">
        <v>3596</v>
      </c>
      <c r="C47" s="234"/>
      <c r="D47" s="234">
        <v>2</v>
      </c>
      <c r="E47" s="234"/>
      <c r="F47" s="234"/>
      <c r="G47" s="234"/>
      <c r="H47" s="234"/>
      <c r="I47" s="234">
        <v>2</v>
      </c>
      <c r="J47" s="234"/>
      <c r="K47" s="234">
        <v>4</v>
      </c>
      <c r="L47" s="234">
        <v>2</v>
      </c>
      <c r="M47" s="234">
        <v>1</v>
      </c>
      <c r="N47" s="234"/>
      <c r="O47" s="235">
        <f t="shared" si="5"/>
        <v>11</v>
      </c>
    </row>
    <row r="48" spans="1:16" ht="13.6" x14ac:dyDescent="0.2">
      <c r="A48" s="232">
        <v>37</v>
      </c>
      <c r="B48" s="233" t="s">
        <v>3597</v>
      </c>
      <c r="C48" s="234">
        <v>3</v>
      </c>
      <c r="D48" s="234">
        <v>1</v>
      </c>
      <c r="E48" s="234">
        <v>6</v>
      </c>
      <c r="F48" s="234">
        <v>12</v>
      </c>
      <c r="G48" s="234">
        <v>5</v>
      </c>
      <c r="H48" s="234">
        <v>2</v>
      </c>
      <c r="I48" s="234">
        <v>3</v>
      </c>
      <c r="J48" s="234">
        <v>6</v>
      </c>
      <c r="K48" s="234">
        <v>6</v>
      </c>
      <c r="L48" s="234">
        <v>9</v>
      </c>
      <c r="M48" s="234">
        <v>4</v>
      </c>
      <c r="N48" s="234">
        <v>2</v>
      </c>
      <c r="O48" s="235">
        <f t="shared" si="5"/>
        <v>59</v>
      </c>
    </row>
    <row r="49" spans="1:16" ht="13.6" x14ac:dyDescent="0.2">
      <c r="A49" s="232">
        <v>38</v>
      </c>
      <c r="B49" s="233" t="s">
        <v>3598</v>
      </c>
      <c r="C49" s="234"/>
      <c r="D49" s="234"/>
      <c r="E49" s="234"/>
      <c r="F49" s="234"/>
      <c r="G49" s="234"/>
      <c r="H49" s="234"/>
      <c r="I49" s="234"/>
      <c r="J49" s="234"/>
      <c r="K49" s="234"/>
      <c r="L49" s="234"/>
      <c r="M49" s="234"/>
      <c r="N49" s="234"/>
      <c r="O49" s="235">
        <f t="shared" si="5"/>
        <v>0</v>
      </c>
    </row>
    <row r="50" spans="1:16" x14ac:dyDescent="0.2">
      <c r="A50" s="243"/>
      <c r="B50" s="238" t="s">
        <v>3565</v>
      </c>
      <c r="C50" s="239">
        <f t="shared" ref="C50:O50" si="6">SUM(C41:C49)</f>
        <v>3</v>
      </c>
      <c r="D50" s="239">
        <f t="shared" si="6"/>
        <v>3</v>
      </c>
      <c r="E50" s="239">
        <f t="shared" si="6"/>
        <v>8</v>
      </c>
      <c r="F50" s="239">
        <f t="shared" si="6"/>
        <v>12</v>
      </c>
      <c r="G50" s="239">
        <f t="shared" si="6"/>
        <v>5</v>
      </c>
      <c r="H50" s="239">
        <f t="shared" si="6"/>
        <v>2</v>
      </c>
      <c r="I50" s="239">
        <f t="shared" si="6"/>
        <v>7</v>
      </c>
      <c r="J50" s="239">
        <f t="shared" si="6"/>
        <v>6</v>
      </c>
      <c r="K50" s="239">
        <f t="shared" si="6"/>
        <v>11</v>
      </c>
      <c r="L50" s="239">
        <f t="shared" si="6"/>
        <v>21</v>
      </c>
      <c r="M50" s="239">
        <f t="shared" si="6"/>
        <v>5</v>
      </c>
      <c r="N50" s="239">
        <f t="shared" si="6"/>
        <v>2</v>
      </c>
      <c r="O50" s="239">
        <f t="shared" si="6"/>
        <v>85</v>
      </c>
    </row>
    <row r="51" spans="1:16" ht="14.3" x14ac:dyDescent="0.2">
      <c r="A51" s="249" t="s">
        <v>3599</v>
      </c>
      <c r="B51" s="250" t="s">
        <v>3600</v>
      </c>
      <c r="C51" s="658"/>
      <c r="D51" s="659"/>
      <c r="E51" s="659"/>
      <c r="F51" s="659"/>
      <c r="G51" s="659"/>
      <c r="H51" s="659"/>
      <c r="I51" s="659"/>
      <c r="J51" s="659"/>
      <c r="K51" s="659"/>
      <c r="L51" s="659"/>
      <c r="M51" s="659"/>
      <c r="N51" s="659"/>
      <c r="O51" s="660"/>
    </row>
    <row r="52" spans="1:16" ht="13.6" x14ac:dyDescent="0.2">
      <c r="A52" s="232">
        <v>39</v>
      </c>
      <c r="B52" s="233" t="s">
        <v>3601</v>
      </c>
      <c r="C52" s="234"/>
      <c r="D52" s="234"/>
      <c r="E52" s="234"/>
      <c r="F52" s="234"/>
      <c r="G52" s="234">
        <v>1</v>
      </c>
      <c r="H52" s="234"/>
      <c r="I52" s="234"/>
      <c r="J52" s="234">
        <v>3</v>
      </c>
      <c r="K52" s="234"/>
      <c r="L52" s="234">
        <v>1</v>
      </c>
      <c r="M52" s="234"/>
      <c r="N52" s="234"/>
      <c r="O52" s="235">
        <f>SUM(C52:N52)</f>
        <v>5</v>
      </c>
      <c r="P52" s="223"/>
    </row>
    <row r="53" spans="1:16" ht="13.6" x14ac:dyDescent="0.2">
      <c r="A53" s="232">
        <v>40</v>
      </c>
      <c r="B53" s="233" t="s">
        <v>3602</v>
      </c>
      <c r="C53" s="234"/>
      <c r="D53" s="234"/>
      <c r="E53" s="234"/>
      <c r="F53" s="234"/>
      <c r="G53" s="234"/>
      <c r="H53" s="234">
        <v>1</v>
      </c>
      <c r="I53" s="234">
        <v>1</v>
      </c>
      <c r="J53" s="234"/>
      <c r="K53" s="234"/>
      <c r="L53" s="234"/>
      <c r="M53" s="234"/>
      <c r="N53" s="234"/>
      <c r="O53" s="235">
        <f>SUM(C53:N53)</f>
        <v>2</v>
      </c>
    </row>
    <row r="54" spans="1:16" x14ac:dyDescent="0.2">
      <c r="A54" s="243"/>
      <c r="B54" s="238" t="s">
        <v>3565</v>
      </c>
      <c r="C54" s="239">
        <f t="shared" ref="C54:O54" si="7">SUM(C52:C53)</f>
        <v>0</v>
      </c>
      <c r="D54" s="239">
        <f t="shared" si="7"/>
        <v>0</v>
      </c>
      <c r="E54" s="239">
        <f t="shared" si="7"/>
        <v>0</v>
      </c>
      <c r="F54" s="239">
        <f t="shared" si="7"/>
        <v>0</v>
      </c>
      <c r="G54" s="239">
        <f t="shared" si="7"/>
        <v>1</v>
      </c>
      <c r="H54" s="239">
        <f t="shared" si="7"/>
        <v>1</v>
      </c>
      <c r="I54" s="239">
        <f t="shared" si="7"/>
        <v>1</v>
      </c>
      <c r="J54" s="239">
        <f t="shared" si="7"/>
        <v>3</v>
      </c>
      <c r="K54" s="239">
        <f t="shared" si="7"/>
        <v>0</v>
      </c>
      <c r="L54" s="239">
        <f t="shared" si="7"/>
        <v>1</v>
      </c>
      <c r="M54" s="239">
        <f t="shared" si="7"/>
        <v>0</v>
      </c>
      <c r="N54" s="239">
        <f t="shared" si="7"/>
        <v>0</v>
      </c>
      <c r="O54" s="239">
        <f t="shared" si="7"/>
        <v>7</v>
      </c>
    </row>
    <row r="55" spans="1:16" ht="14.3" x14ac:dyDescent="0.2">
      <c r="A55" s="251"/>
      <c r="B55" s="251" t="s">
        <v>3603</v>
      </c>
      <c r="C55" s="252">
        <f>SUM(C54+C50+C39+C33+C17)</f>
        <v>12</v>
      </c>
      <c r="D55" s="252">
        <f>SUM(D54+D50+D39+D33+D17)</f>
        <v>15</v>
      </c>
      <c r="E55" s="252">
        <f>SUM(E54+E50+E39+E33+E17)</f>
        <v>16</v>
      </c>
      <c r="F55" s="252">
        <f t="shared" ref="F55:N55" si="8">SUM(F54+F50+F39+F33+F17)</f>
        <v>26</v>
      </c>
      <c r="G55" s="252">
        <f t="shared" si="8"/>
        <v>24</v>
      </c>
      <c r="H55" s="252">
        <f t="shared" si="8"/>
        <v>10</v>
      </c>
      <c r="I55" s="252">
        <f t="shared" si="8"/>
        <v>24</v>
      </c>
      <c r="J55" s="252">
        <f t="shared" si="8"/>
        <v>20</v>
      </c>
      <c r="K55" s="252">
        <f t="shared" si="8"/>
        <v>22</v>
      </c>
      <c r="L55" s="252">
        <f t="shared" si="8"/>
        <v>31</v>
      </c>
      <c r="M55" s="252">
        <f t="shared" si="8"/>
        <v>9</v>
      </c>
      <c r="N55" s="252">
        <f t="shared" si="8"/>
        <v>15</v>
      </c>
      <c r="O55" s="252">
        <f>SUM(O54+O50+O39+O33+O17)</f>
        <v>224</v>
      </c>
    </row>
    <row r="56" spans="1:16" ht="14.3" x14ac:dyDescent="0.2">
      <c r="A56" s="253" t="s">
        <v>3604</v>
      </c>
      <c r="B56" s="254" t="s">
        <v>3605</v>
      </c>
      <c r="C56" s="661"/>
      <c r="D56" s="662"/>
      <c r="E56" s="662"/>
      <c r="F56" s="662"/>
      <c r="G56" s="662"/>
      <c r="H56" s="662"/>
      <c r="I56" s="662"/>
      <c r="J56" s="662"/>
      <c r="K56" s="662"/>
      <c r="L56" s="662"/>
      <c r="M56" s="662"/>
      <c r="N56" s="662"/>
      <c r="O56" s="663"/>
    </row>
    <row r="57" spans="1:16" x14ac:dyDescent="0.2">
      <c r="A57" s="246">
        <v>41</v>
      </c>
      <c r="B57" s="243" t="s">
        <v>3606</v>
      </c>
      <c r="C57" s="252"/>
      <c r="D57" s="252"/>
      <c r="E57" s="252"/>
      <c r="F57" s="252"/>
      <c r="G57" s="252"/>
      <c r="H57" s="252"/>
      <c r="I57" s="252"/>
      <c r="J57" s="252"/>
      <c r="K57" s="252"/>
      <c r="L57" s="252"/>
      <c r="M57" s="252"/>
      <c r="N57" s="252"/>
      <c r="O57" s="252"/>
      <c r="P57" s="223"/>
    </row>
    <row r="58" spans="1:16" ht="13.6" x14ac:dyDescent="0.2">
      <c r="A58" s="232">
        <v>42</v>
      </c>
      <c r="B58" s="243" t="s">
        <v>3607</v>
      </c>
      <c r="C58" s="234"/>
      <c r="D58" s="234"/>
      <c r="E58" s="234"/>
      <c r="F58" s="234"/>
      <c r="G58" s="234"/>
      <c r="H58" s="234"/>
      <c r="I58" s="234"/>
      <c r="J58" s="234"/>
      <c r="K58" s="234"/>
      <c r="L58" s="234"/>
      <c r="M58" s="234"/>
      <c r="N58" s="234"/>
      <c r="O58" s="235">
        <f>SUM(C58:N58)</f>
        <v>0</v>
      </c>
    </row>
    <row r="59" spans="1:16" ht="13.6" x14ac:dyDescent="0.2">
      <c r="A59" s="232">
        <v>43</v>
      </c>
      <c r="B59" s="233" t="s">
        <v>3608</v>
      </c>
      <c r="C59" s="234"/>
      <c r="D59" s="234"/>
      <c r="E59" s="234"/>
      <c r="F59" s="234"/>
      <c r="G59" s="234"/>
      <c r="H59" s="234"/>
      <c r="I59" s="234"/>
      <c r="J59" s="234"/>
      <c r="K59" s="234"/>
      <c r="L59" s="234"/>
      <c r="M59" s="234"/>
      <c r="N59" s="234"/>
      <c r="O59" s="235">
        <f>SUM(C59:N59)</f>
        <v>0</v>
      </c>
    </row>
    <row r="60" spans="1:16" ht="13.6" x14ac:dyDescent="0.2">
      <c r="A60" s="232">
        <v>44</v>
      </c>
      <c r="B60" s="233" t="s">
        <v>3609</v>
      </c>
      <c r="C60" s="234"/>
      <c r="D60" s="234"/>
      <c r="E60" s="234">
        <v>1</v>
      </c>
      <c r="F60" s="234"/>
      <c r="G60" s="234"/>
      <c r="H60" s="255"/>
      <c r="I60" s="234"/>
      <c r="J60" s="234"/>
      <c r="K60" s="234"/>
      <c r="L60" s="234"/>
      <c r="M60" s="234">
        <v>1</v>
      </c>
      <c r="N60" s="234"/>
      <c r="O60" s="235">
        <f>SUM(C60:N60)</f>
        <v>2</v>
      </c>
    </row>
    <row r="61" spans="1:16" ht="13.6" x14ac:dyDescent="0.2">
      <c r="A61" s="232">
        <v>45</v>
      </c>
      <c r="B61" s="233" t="s">
        <v>3610</v>
      </c>
      <c r="C61" s="234"/>
      <c r="D61" s="234"/>
      <c r="E61" s="234"/>
      <c r="F61" s="234"/>
      <c r="G61" s="234"/>
      <c r="H61" s="255"/>
      <c r="I61" s="234"/>
      <c r="J61" s="234"/>
      <c r="K61" s="234"/>
      <c r="L61" s="234"/>
      <c r="M61" s="234"/>
      <c r="N61" s="234"/>
      <c r="O61" s="235"/>
    </row>
    <row r="62" spans="1:16" ht="13.6" x14ac:dyDescent="0.2">
      <c r="A62" s="232">
        <v>46</v>
      </c>
      <c r="B62" s="233" t="s">
        <v>3611</v>
      </c>
      <c r="C62" s="234"/>
      <c r="D62" s="234"/>
      <c r="E62" s="234"/>
      <c r="F62" s="234"/>
      <c r="G62" s="234"/>
      <c r="H62" s="255"/>
      <c r="I62" s="234"/>
      <c r="J62" s="234"/>
      <c r="K62" s="234"/>
      <c r="L62" s="234"/>
      <c r="M62" s="234"/>
      <c r="N62" s="234"/>
      <c r="O62" s="235"/>
    </row>
    <row r="63" spans="1:16" x14ac:dyDescent="0.2">
      <c r="A63" s="243"/>
      <c r="B63" s="238" t="s">
        <v>3565</v>
      </c>
      <c r="C63" s="239">
        <f>SUM(C57:C62)</f>
        <v>0</v>
      </c>
      <c r="D63" s="239">
        <f t="shared" ref="D63:N63" si="9">SUM(D57:D62)</f>
        <v>0</v>
      </c>
      <c r="E63" s="239">
        <f t="shared" si="9"/>
        <v>1</v>
      </c>
      <c r="F63" s="239">
        <f t="shared" si="9"/>
        <v>0</v>
      </c>
      <c r="G63" s="239">
        <f t="shared" si="9"/>
        <v>0</v>
      </c>
      <c r="H63" s="239">
        <f t="shared" si="9"/>
        <v>0</v>
      </c>
      <c r="I63" s="239">
        <f t="shared" si="9"/>
        <v>0</v>
      </c>
      <c r="J63" s="239">
        <f t="shared" si="9"/>
        <v>0</v>
      </c>
      <c r="K63" s="239">
        <f t="shared" si="9"/>
        <v>0</v>
      </c>
      <c r="L63" s="239">
        <f t="shared" si="9"/>
        <v>0</v>
      </c>
      <c r="M63" s="239">
        <f t="shared" si="9"/>
        <v>1</v>
      </c>
      <c r="N63" s="239">
        <f t="shared" si="9"/>
        <v>0</v>
      </c>
      <c r="O63" s="239">
        <f>SUM(O57:O60)</f>
        <v>2</v>
      </c>
    </row>
    <row r="64" spans="1:16" ht="15.65" x14ac:dyDescent="0.2">
      <c r="A64" s="256"/>
      <c r="B64" s="257" t="s">
        <v>3612</v>
      </c>
      <c r="C64" s="258">
        <f>SUM(C55+C63)</f>
        <v>12</v>
      </c>
      <c r="D64" s="258">
        <f t="shared" ref="D64:N64" si="10">SUM(D55+D63)</f>
        <v>15</v>
      </c>
      <c r="E64" s="258">
        <f t="shared" si="10"/>
        <v>17</v>
      </c>
      <c r="F64" s="258">
        <f t="shared" si="10"/>
        <v>26</v>
      </c>
      <c r="G64" s="258">
        <f t="shared" si="10"/>
        <v>24</v>
      </c>
      <c r="H64" s="258">
        <f t="shared" si="10"/>
        <v>10</v>
      </c>
      <c r="I64" s="258">
        <f t="shared" si="10"/>
        <v>24</v>
      </c>
      <c r="J64" s="258">
        <f t="shared" si="10"/>
        <v>20</v>
      </c>
      <c r="K64" s="258">
        <f t="shared" si="10"/>
        <v>22</v>
      </c>
      <c r="L64" s="258">
        <f t="shared" si="10"/>
        <v>31</v>
      </c>
      <c r="M64" s="258">
        <f t="shared" si="10"/>
        <v>10</v>
      </c>
      <c r="N64" s="258">
        <f t="shared" si="10"/>
        <v>15</v>
      </c>
      <c r="O64" s="258">
        <f>SUM(O55+O63+Q6)</f>
        <v>273</v>
      </c>
    </row>
    <row r="66" spans="1:16" x14ac:dyDescent="0.2">
      <c r="A66" s="664"/>
      <c r="B66" s="665"/>
      <c r="C66" s="665"/>
      <c r="D66" s="665"/>
      <c r="E66" s="665"/>
      <c r="F66" s="665"/>
      <c r="G66" s="665"/>
      <c r="H66" s="665"/>
      <c r="I66" s="665"/>
      <c r="J66" s="665"/>
      <c r="K66" s="665"/>
      <c r="L66" s="665"/>
      <c r="M66" s="665"/>
      <c r="N66" s="665"/>
      <c r="O66" s="666"/>
    </row>
    <row r="67" spans="1:16" ht="15.65" x14ac:dyDescent="0.25">
      <c r="A67" s="642" t="s">
        <v>3619</v>
      </c>
      <c r="B67" s="642"/>
      <c r="C67" s="642"/>
      <c r="D67" s="642"/>
      <c r="E67" s="642"/>
      <c r="F67" s="642"/>
      <c r="G67" s="642"/>
      <c r="H67" s="642"/>
      <c r="I67" s="642"/>
      <c r="J67" s="642"/>
      <c r="K67" s="642"/>
      <c r="L67" s="642"/>
      <c r="M67" s="642"/>
      <c r="N67" s="642"/>
      <c r="O67" s="643"/>
      <c r="P67" s="259"/>
    </row>
    <row r="68" spans="1:16" x14ac:dyDescent="0.2">
      <c r="A68" s="667" t="s">
        <v>3620</v>
      </c>
      <c r="B68" s="667"/>
      <c r="C68" s="667"/>
      <c r="D68" s="667"/>
      <c r="E68" s="667"/>
      <c r="F68" s="667"/>
      <c r="G68" s="667"/>
      <c r="H68" s="667"/>
      <c r="I68" s="667"/>
      <c r="J68" s="667"/>
      <c r="K68" s="667"/>
      <c r="L68" s="667"/>
      <c r="M68" s="667"/>
      <c r="N68" s="667"/>
      <c r="O68" s="671"/>
    </row>
    <row r="69" spans="1:16" x14ac:dyDescent="0.2">
      <c r="A69" s="668" t="s">
        <v>3621</v>
      </c>
      <c r="B69" s="667"/>
      <c r="C69" s="667"/>
      <c r="D69" s="667"/>
      <c r="E69" s="667"/>
      <c r="F69" s="667"/>
      <c r="G69" s="667"/>
      <c r="H69" s="667"/>
      <c r="I69" s="667"/>
      <c r="J69" s="667"/>
      <c r="K69" s="667"/>
      <c r="L69" s="667"/>
      <c r="M69" s="667"/>
      <c r="N69" s="667"/>
      <c r="O69" s="671"/>
      <c r="P69" s="259"/>
    </row>
    <row r="70" spans="1:16" x14ac:dyDescent="0.2">
      <c r="A70" s="667" t="s">
        <v>3622</v>
      </c>
      <c r="B70" s="667"/>
      <c r="C70" s="667"/>
      <c r="D70" s="667"/>
      <c r="E70" s="667"/>
      <c r="F70" s="667"/>
      <c r="G70" s="667"/>
      <c r="H70" s="667"/>
      <c r="I70" s="667"/>
      <c r="J70" s="667"/>
      <c r="K70" s="667"/>
      <c r="L70" s="667"/>
      <c r="M70" s="667"/>
      <c r="N70" s="667"/>
      <c r="O70" s="667"/>
      <c r="P70" s="259"/>
    </row>
    <row r="71" spans="1:16" x14ac:dyDescent="0.2">
      <c r="A71" s="667" t="s">
        <v>3623</v>
      </c>
      <c r="B71" s="667"/>
      <c r="C71" s="667"/>
      <c r="D71" s="667"/>
      <c r="E71" s="667"/>
      <c r="F71" s="667"/>
      <c r="G71" s="667"/>
      <c r="H71" s="667"/>
      <c r="I71" s="667"/>
      <c r="J71" s="667"/>
      <c r="K71" s="667"/>
      <c r="L71" s="667"/>
      <c r="M71" s="667"/>
      <c r="N71" s="667"/>
      <c r="O71" s="667"/>
      <c r="P71" s="259"/>
    </row>
    <row r="72" spans="1:16" x14ac:dyDescent="0.2">
      <c r="A72" s="667" t="s">
        <v>3624</v>
      </c>
      <c r="B72" s="667"/>
      <c r="C72" s="667"/>
      <c r="D72" s="667"/>
      <c r="E72" s="667"/>
      <c r="F72" s="667"/>
      <c r="G72" s="667"/>
      <c r="H72" s="667"/>
      <c r="I72" s="667"/>
      <c r="J72" s="667"/>
      <c r="K72" s="667"/>
      <c r="L72" s="667"/>
      <c r="M72" s="667"/>
      <c r="N72" s="667"/>
      <c r="O72" s="671"/>
      <c r="P72" s="259"/>
    </row>
    <row r="73" spans="1:16" x14ac:dyDescent="0.2">
      <c r="A73" s="667"/>
      <c r="B73" s="667"/>
      <c r="C73" s="667"/>
      <c r="D73" s="667"/>
      <c r="E73" s="667"/>
      <c r="F73" s="667"/>
      <c r="G73" s="667"/>
      <c r="H73" s="667"/>
      <c r="I73" s="667"/>
      <c r="J73" s="667"/>
      <c r="K73" s="667"/>
      <c r="L73" s="667"/>
      <c r="M73" s="667"/>
      <c r="N73" s="667"/>
      <c r="O73" s="667"/>
      <c r="P73" s="259"/>
    </row>
    <row r="74" spans="1:16" x14ac:dyDescent="0.2">
      <c r="A74" s="667"/>
      <c r="B74" s="667"/>
      <c r="C74" s="667"/>
      <c r="D74" s="667"/>
      <c r="E74" s="667"/>
      <c r="F74" s="667"/>
      <c r="G74" s="667"/>
      <c r="H74" s="667"/>
      <c r="I74" s="667"/>
      <c r="J74" s="667"/>
      <c r="K74" s="667"/>
      <c r="L74" s="667"/>
      <c r="M74" s="667"/>
      <c r="N74" s="667"/>
      <c r="O74" s="667"/>
      <c r="P74" s="259"/>
    </row>
    <row r="75" spans="1:16" x14ac:dyDescent="0.2">
      <c r="A75" s="668"/>
      <c r="B75" s="667"/>
      <c r="C75" s="667"/>
      <c r="D75" s="667"/>
      <c r="E75" s="667"/>
      <c r="F75" s="667"/>
      <c r="G75" s="667"/>
      <c r="H75" s="667"/>
      <c r="I75" s="667"/>
      <c r="J75" s="667"/>
      <c r="K75" s="667"/>
      <c r="L75" s="667"/>
      <c r="M75" s="667"/>
      <c r="N75" s="667"/>
      <c r="O75" s="667"/>
      <c r="P75" s="259"/>
    </row>
    <row r="76" spans="1:16" ht="13.6" thickBot="1" x14ac:dyDescent="0.25">
      <c r="A76" s="669"/>
      <c r="B76" s="669"/>
      <c r="C76" s="669"/>
      <c r="D76" s="669"/>
      <c r="E76" s="669"/>
      <c r="F76" s="669"/>
      <c r="G76" s="669"/>
      <c r="H76" s="669"/>
      <c r="I76" s="669"/>
      <c r="J76" s="669"/>
      <c r="K76" s="669"/>
      <c r="L76" s="669"/>
      <c r="M76" s="669"/>
      <c r="N76" s="669"/>
      <c r="O76" s="670"/>
    </row>
  </sheetData>
  <sheetProtection sheet="1" objects="1" scenarios="1"/>
  <mergeCells count="21">
    <mergeCell ref="A74:O74"/>
    <mergeCell ref="A75:O75"/>
    <mergeCell ref="A76:O76"/>
    <mergeCell ref="A68:O68"/>
    <mergeCell ref="A69:O69"/>
    <mergeCell ref="A70:O70"/>
    <mergeCell ref="A71:O71"/>
    <mergeCell ref="A72:O72"/>
    <mergeCell ref="A73:O73"/>
    <mergeCell ref="A67:O67"/>
    <mergeCell ref="A1:O1"/>
    <mergeCell ref="A2:O2"/>
    <mergeCell ref="C3:O3"/>
    <mergeCell ref="Q3:U3"/>
    <mergeCell ref="P5:R5"/>
    <mergeCell ref="C18:O18"/>
    <mergeCell ref="C34:O34"/>
    <mergeCell ref="C40:O40"/>
    <mergeCell ref="C51:O51"/>
    <mergeCell ref="C56:O56"/>
    <mergeCell ref="A66:O6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156"/>
  <sheetViews>
    <sheetView topLeftCell="A2" workbookViewId="0">
      <selection activeCell="B10" sqref="B10"/>
    </sheetView>
  </sheetViews>
  <sheetFormatPr baseColWidth="10" defaultRowHeight="12.9" x14ac:dyDescent="0.2"/>
  <cols>
    <col min="1" max="1" width="5.125" style="67" bestFit="1" customWidth="1"/>
    <col min="2" max="2" width="50" style="67" bestFit="1" customWidth="1"/>
    <col min="3" max="14" width="8" style="67" customWidth="1"/>
    <col min="15" max="15" width="7.25" style="67" bestFit="1" customWidth="1"/>
    <col min="16" max="256" width="11" style="67"/>
    <col min="257" max="257" width="5.125" style="67" bestFit="1" customWidth="1"/>
    <col min="258" max="258" width="50" style="67" bestFit="1" customWidth="1"/>
    <col min="259" max="270" width="8" style="67" customWidth="1"/>
    <col min="271" max="271" width="7.25" style="67" bestFit="1" customWidth="1"/>
    <col min="272" max="512" width="11" style="67"/>
    <col min="513" max="513" width="5.125" style="67" bestFit="1" customWidth="1"/>
    <col min="514" max="514" width="50" style="67" bestFit="1" customWidth="1"/>
    <col min="515" max="526" width="8" style="67" customWidth="1"/>
    <col min="527" max="527" width="7.25" style="67" bestFit="1" customWidth="1"/>
    <col min="528" max="768" width="11" style="67"/>
    <col min="769" max="769" width="5.125" style="67" bestFit="1" customWidth="1"/>
    <col min="770" max="770" width="50" style="67" bestFit="1" customWidth="1"/>
    <col min="771" max="782" width="8" style="67" customWidth="1"/>
    <col min="783" max="783" width="7.25" style="67" bestFit="1" customWidth="1"/>
    <col min="784" max="1024" width="11" style="67"/>
    <col min="1025" max="1025" width="5.125" style="67" bestFit="1" customWidth="1"/>
    <col min="1026" max="1026" width="50" style="67" bestFit="1" customWidth="1"/>
    <col min="1027" max="1038" width="8" style="67" customWidth="1"/>
    <col min="1039" max="1039" width="7.25" style="67" bestFit="1" customWidth="1"/>
    <col min="1040" max="1280" width="11" style="67"/>
    <col min="1281" max="1281" width="5.125" style="67" bestFit="1" customWidth="1"/>
    <col min="1282" max="1282" width="50" style="67" bestFit="1" customWidth="1"/>
    <col min="1283" max="1294" width="8" style="67" customWidth="1"/>
    <col min="1295" max="1295" width="7.25" style="67" bestFit="1" customWidth="1"/>
    <col min="1296" max="1536" width="11" style="67"/>
    <col min="1537" max="1537" width="5.125" style="67" bestFit="1" customWidth="1"/>
    <col min="1538" max="1538" width="50" style="67" bestFit="1" customWidth="1"/>
    <col min="1539" max="1550" width="8" style="67" customWidth="1"/>
    <col min="1551" max="1551" width="7.25" style="67" bestFit="1" customWidth="1"/>
    <col min="1552" max="1792" width="11" style="67"/>
    <col min="1793" max="1793" width="5.125" style="67" bestFit="1" customWidth="1"/>
    <col min="1794" max="1794" width="50" style="67" bestFit="1" customWidth="1"/>
    <col min="1795" max="1806" width="8" style="67" customWidth="1"/>
    <col min="1807" max="1807" width="7.25" style="67" bestFit="1" customWidth="1"/>
    <col min="1808" max="2048" width="11" style="67"/>
    <col min="2049" max="2049" width="5.125" style="67" bestFit="1" customWidth="1"/>
    <col min="2050" max="2050" width="50" style="67" bestFit="1" customWidth="1"/>
    <col min="2051" max="2062" width="8" style="67" customWidth="1"/>
    <col min="2063" max="2063" width="7.25" style="67" bestFit="1" customWidth="1"/>
    <col min="2064" max="2304" width="11" style="67"/>
    <col min="2305" max="2305" width="5.125" style="67" bestFit="1" customWidth="1"/>
    <col min="2306" max="2306" width="50" style="67" bestFit="1" customWidth="1"/>
    <col min="2307" max="2318" width="8" style="67" customWidth="1"/>
    <col min="2319" max="2319" width="7.25" style="67" bestFit="1" customWidth="1"/>
    <col min="2320" max="2560" width="11" style="67"/>
    <col min="2561" max="2561" width="5.125" style="67" bestFit="1" customWidth="1"/>
    <col min="2562" max="2562" width="50" style="67" bestFit="1" customWidth="1"/>
    <col min="2563" max="2574" width="8" style="67" customWidth="1"/>
    <col min="2575" max="2575" width="7.25" style="67" bestFit="1" customWidth="1"/>
    <col min="2576" max="2816" width="11" style="67"/>
    <col min="2817" max="2817" width="5.125" style="67" bestFit="1" customWidth="1"/>
    <col min="2818" max="2818" width="50" style="67" bestFit="1" customWidth="1"/>
    <col min="2819" max="2830" width="8" style="67" customWidth="1"/>
    <col min="2831" max="2831" width="7.25" style="67" bestFit="1" customWidth="1"/>
    <col min="2832" max="3072" width="11" style="67"/>
    <col min="3073" max="3073" width="5.125" style="67" bestFit="1" customWidth="1"/>
    <col min="3074" max="3074" width="50" style="67" bestFit="1" customWidth="1"/>
    <col min="3075" max="3086" width="8" style="67" customWidth="1"/>
    <col min="3087" max="3087" width="7.25" style="67" bestFit="1" customWidth="1"/>
    <col min="3088" max="3328" width="11" style="67"/>
    <col min="3329" max="3329" width="5.125" style="67" bestFit="1" customWidth="1"/>
    <col min="3330" max="3330" width="50" style="67" bestFit="1" customWidth="1"/>
    <col min="3331" max="3342" width="8" style="67" customWidth="1"/>
    <col min="3343" max="3343" width="7.25" style="67" bestFit="1" customWidth="1"/>
    <col min="3344" max="3584" width="11" style="67"/>
    <col min="3585" max="3585" width="5.125" style="67" bestFit="1" customWidth="1"/>
    <col min="3586" max="3586" width="50" style="67" bestFit="1" customWidth="1"/>
    <col min="3587" max="3598" width="8" style="67" customWidth="1"/>
    <col min="3599" max="3599" width="7.25" style="67" bestFit="1" customWidth="1"/>
    <col min="3600" max="3840" width="11" style="67"/>
    <col min="3841" max="3841" width="5.125" style="67" bestFit="1" customWidth="1"/>
    <col min="3842" max="3842" width="50" style="67" bestFit="1" customWidth="1"/>
    <col min="3843" max="3854" width="8" style="67" customWidth="1"/>
    <col min="3855" max="3855" width="7.25" style="67" bestFit="1" customWidth="1"/>
    <col min="3856" max="4096" width="11" style="67"/>
    <col min="4097" max="4097" width="5.125" style="67" bestFit="1" customWidth="1"/>
    <col min="4098" max="4098" width="50" style="67" bestFit="1" customWidth="1"/>
    <col min="4099" max="4110" width="8" style="67" customWidth="1"/>
    <col min="4111" max="4111" width="7.25" style="67" bestFit="1" customWidth="1"/>
    <col min="4112" max="4352" width="11" style="67"/>
    <col min="4353" max="4353" width="5.125" style="67" bestFit="1" customWidth="1"/>
    <col min="4354" max="4354" width="50" style="67" bestFit="1" customWidth="1"/>
    <col min="4355" max="4366" width="8" style="67" customWidth="1"/>
    <col min="4367" max="4367" width="7.25" style="67" bestFit="1" customWidth="1"/>
    <col min="4368" max="4608" width="11" style="67"/>
    <col min="4609" max="4609" width="5.125" style="67" bestFit="1" customWidth="1"/>
    <col min="4610" max="4610" width="50" style="67" bestFit="1" customWidth="1"/>
    <col min="4611" max="4622" width="8" style="67" customWidth="1"/>
    <col min="4623" max="4623" width="7.25" style="67" bestFit="1" customWidth="1"/>
    <col min="4624" max="4864" width="11" style="67"/>
    <col min="4865" max="4865" width="5.125" style="67" bestFit="1" customWidth="1"/>
    <col min="4866" max="4866" width="50" style="67" bestFit="1" customWidth="1"/>
    <col min="4867" max="4878" width="8" style="67" customWidth="1"/>
    <col min="4879" max="4879" width="7.25" style="67" bestFit="1" customWidth="1"/>
    <col min="4880" max="5120" width="11" style="67"/>
    <col min="5121" max="5121" width="5.125" style="67" bestFit="1" customWidth="1"/>
    <col min="5122" max="5122" width="50" style="67" bestFit="1" customWidth="1"/>
    <col min="5123" max="5134" width="8" style="67" customWidth="1"/>
    <col min="5135" max="5135" width="7.25" style="67" bestFit="1" customWidth="1"/>
    <col min="5136" max="5376" width="11" style="67"/>
    <col min="5377" max="5377" width="5.125" style="67" bestFit="1" customWidth="1"/>
    <col min="5378" max="5378" width="50" style="67" bestFit="1" customWidth="1"/>
    <col min="5379" max="5390" width="8" style="67" customWidth="1"/>
    <col min="5391" max="5391" width="7.25" style="67" bestFit="1" customWidth="1"/>
    <col min="5392" max="5632" width="11" style="67"/>
    <col min="5633" max="5633" width="5.125" style="67" bestFit="1" customWidth="1"/>
    <col min="5634" max="5634" width="50" style="67" bestFit="1" customWidth="1"/>
    <col min="5635" max="5646" width="8" style="67" customWidth="1"/>
    <col min="5647" max="5647" width="7.25" style="67" bestFit="1" customWidth="1"/>
    <col min="5648" max="5888" width="11" style="67"/>
    <col min="5889" max="5889" width="5.125" style="67" bestFit="1" customWidth="1"/>
    <col min="5890" max="5890" width="50" style="67" bestFit="1" customWidth="1"/>
    <col min="5891" max="5902" width="8" style="67" customWidth="1"/>
    <col min="5903" max="5903" width="7.25" style="67" bestFit="1" customWidth="1"/>
    <col min="5904" max="6144" width="11" style="67"/>
    <col min="6145" max="6145" width="5.125" style="67" bestFit="1" customWidth="1"/>
    <col min="6146" max="6146" width="50" style="67" bestFit="1" customWidth="1"/>
    <col min="6147" max="6158" width="8" style="67" customWidth="1"/>
    <col min="6159" max="6159" width="7.25" style="67" bestFit="1" customWidth="1"/>
    <col min="6160" max="6400" width="11" style="67"/>
    <col min="6401" max="6401" width="5.125" style="67" bestFit="1" customWidth="1"/>
    <col min="6402" max="6402" width="50" style="67" bestFit="1" customWidth="1"/>
    <col min="6403" max="6414" width="8" style="67" customWidth="1"/>
    <col min="6415" max="6415" width="7.25" style="67" bestFit="1" customWidth="1"/>
    <col min="6416" max="6656" width="11" style="67"/>
    <col min="6657" max="6657" width="5.125" style="67" bestFit="1" customWidth="1"/>
    <col min="6658" max="6658" width="50" style="67" bestFit="1" customWidth="1"/>
    <col min="6659" max="6670" width="8" style="67" customWidth="1"/>
    <col min="6671" max="6671" width="7.25" style="67" bestFit="1" customWidth="1"/>
    <col min="6672" max="6912" width="11" style="67"/>
    <col min="6913" max="6913" width="5.125" style="67" bestFit="1" customWidth="1"/>
    <col min="6914" max="6914" width="50" style="67" bestFit="1" customWidth="1"/>
    <col min="6915" max="6926" width="8" style="67" customWidth="1"/>
    <col min="6927" max="6927" width="7.25" style="67" bestFit="1" customWidth="1"/>
    <col min="6928" max="7168" width="11" style="67"/>
    <col min="7169" max="7169" width="5.125" style="67" bestFit="1" customWidth="1"/>
    <col min="7170" max="7170" width="50" style="67" bestFit="1" customWidth="1"/>
    <col min="7171" max="7182" width="8" style="67" customWidth="1"/>
    <col min="7183" max="7183" width="7.25" style="67" bestFit="1" customWidth="1"/>
    <col min="7184" max="7424" width="11" style="67"/>
    <col min="7425" max="7425" width="5.125" style="67" bestFit="1" customWidth="1"/>
    <col min="7426" max="7426" width="50" style="67" bestFit="1" customWidth="1"/>
    <col min="7427" max="7438" width="8" style="67" customWidth="1"/>
    <col min="7439" max="7439" width="7.25" style="67" bestFit="1" customWidth="1"/>
    <col min="7440" max="7680" width="11" style="67"/>
    <col min="7681" max="7681" width="5.125" style="67" bestFit="1" customWidth="1"/>
    <col min="7682" max="7682" width="50" style="67" bestFit="1" customWidth="1"/>
    <col min="7683" max="7694" width="8" style="67" customWidth="1"/>
    <col min="7695" max="7695" width="7.25" style="67" bestFit="1" customWidth="1"/>
    <col min="7696" max="7936" width="11" style="67"/>
    <col min="7937" max="7937" width="5.125" style="67" bestFit="1" customWidth="1"/>
    <col min="7938" max="7938" width="50" style="67" bestFit="1" customWidth="1"/>
    <col min="7939" max="7950" width="8" style="67" customWidth="1"/>
    <col min="7951" max="7951" width="7.25" style="67" bestFit="1" customWidth="1"/>
    <col min="7952" max="8192" width="11" style="67"/>
    <col min="8193" max="8193" width="5.125" style="67" bestFit="1" customWidth="1"/>
    <col min="8194" max="8194" width="50" style="67" bestFit="1" customWidth="1"/>
    <col min="8195" max="8206" width="8" style="67" customWidth="1"/>
    <col min="8207" max="8207" width="7.25" style="67" bestFit="1" customWidth="1"/>
    <col min="8208" max="8448" width="11" style="67"/>
    <col min="8449" max="8449" width="5.125" style="67" bestFit="1" customWidth="1"/>
    <col min="8450" max="8450" width="50" style="67" bestFit="1" customWidth="1"/>
    <col min="8451" max="8462" width="8" style="67" customWidth="1"/>
    <col min="8463" max="8463" width="7.25" style="67" bestFit="1" customWidth="1"/>
    <col min="8464" max="8704" width="11" style="67"/>
    <col min="8705" max="8705" width="5.125" style="67" bestFit="1" customWidth="1"/>
    <col min="8706" max="8706" width="50" style="67" bestFit="1" customWidth="1"/>
    <col min="8707" max="8718" width="8" style="67" customWidth="1"/>
    <col min="8719" max="8719" width="7.25" style="67" bestFit="1" customWidth="1"/>
    <col min="8720" max="8960" width="11" style="67"/>
    <col min="8961" max="8961" width="5.125" style="67" bestFit="1" customWidth="1"/>
    <col min="8962" max="8962" width="50" style="67" bestFit="1" customWidth="1"/>
    <col min="8963" max="8974" width="8" style="67" customWidth="1"/>
    <col min="8975" max="8975" width="7.25" style="67" bestFit="1" customWidth="1"/>
    <col min="8976" max="9216" width="11" style="67"/>
    <col min="9217" max="9217" width="5.125" style="67" bestFit="1" customWidth="1"/>
    <col min="9218" max="9218" width="50" style="67" bestFit="1" customWidth="1"/>
    <col min="9219" max="9230" width="8" style="67" customWidth="1"/>
    <col min="9231" max="9231" width="7.25" style="67" bestFit="1" customWidth="1"/>
    <col min="9232" max="9472" width="11" style="67"/>
    <col min="9473" max="9473" width="5.125" style="67" bestFit="1" customWidth="1"/>
    <col min="9474" max="9474" width="50" style="67" bestFit="1" customWidth="1"/>
    <col min="9475" max="9486" width="8" style="67" customWidth="1"/>
    <col min="9487" max="9487" width="7.25" style="67" bestFit="1" customWidth="1"/>
    <col min="9488" max="9728" width="11" style="67"/>
    <col min="9729" max="9729" width="5.125" style="67" bestFit="1" customWidth="1"/>
    <col min="9730" max="9730" width="50" style="67" bestFit="1" customWidth="1"/>
    <col min="9731" max="9742" width="8" style="67" customWidth="1"/>
    <col min="9743" max="9743" width="7.25" style="67" bestFit="1" customWidth="1"/>
    <col min="9744" max="9984" width="11" style="67"/>
    <col min="9985" max="9985" width="5.125" style="67" bestFit="1" customWidth="1"/>
    <col min="9986" max="9986" width="50" style="67" bestFit="1" customWidth="1"/>
    <col min="9987" max="9998" width="8" style="67" customWidth="1"/>
    <col min="9999" max="9999" width="7.25" style="67" bestFit="1" customWidth="1"/>
    <col min="10000" max="10240" width="11" style="67"/>
    <col min="10241" max="10241" width="5.125" style="67" bestFit="1" customWidth="1"/>
    <col min="10242" max="10242" width="50" style="67" bestFit="1" customWidth="1"/>
    <col min="10243" max="10254" width="8" style="67" customWidth="1"/>
    <col min="10255" max="10255" width="7.25" style="67" bestFit="1" customWidth="1"/>
    <col min="10256" max="10496" width="11" style="67"/>
    <col min="10497" max="10497" width="5.125" style="67" bestFit="1" customWidth="1"/>
    <col min="10498" max="10498" width="50" style="67" bestFit="1" customWidth="1"/>
    <col min="10499" max="10510" width="8" style="67" customWidth="1"/>
    <col min="10511" max="10511" width="7.25" style="67" bestFit="1" customWidth="1"/>
    <col min="10512" max="10752" width="11" style="67"/>
    <col min="10753" max="10753" width="5.125" style="67" bestFit="1" customWidth="1"/>
    <col min="10754" max="10754" width="50" style="67" bestFit="1" customWidth="1"/>
    <col min="10755" max="10766" width="8" style="67" customWidth="1"/>
    <col min="10767" max="10767" width="7.25" style="67" bestFit="1" customWidth="1"/>
    <col min="10768" max="11008" width="11" style="67"/>
    <col min="11009" max="11009" width="5.125" style="67" bestFit="1" customWidth="1"/>
    <col min="11010" max="11010" width="50" style="67" bestFit="1" customWidth="1"/>
    <col min="11011" max="11022" width="8" style="67" customWidth="1"/>
    <col min="11023" max="11023" width="7.25" style="67" bestFit="1" customWidth="1"/>
    <col min="11024" max="11264" width="11" style="67"/>
    <col min="11265" max="11265" width="5.125" style="67" bestFit="1" customWidth="1"/>
    <col min="11266" max="11266" width="50" style="67" bestFit="1" customWidth="1"/>
    <col min="11267" max="11278" width="8" style="67" customWidth="1"/>
    <col min="11279" max="11279" width="7.25" style="67" bestFit="1" customWidth="1"/>
    <col min="11280" max="11520" width="11" style="67"/>
    <col min="11521" max="11521" width="5.125" style="67" bestFit="1" customWidth="1"/>
    <col min="11522" max="11522" width="50" style="67" bestFit="1" customWidth="1"/>
    <col min="11523" max="11534" width="8" style="67" customWidth="1"/>
    <col min="11535" max="11535" width="7.25" style="67" bestFit="1" customWidth="1"/>
    <col min="11536" max="11776" width="11" style="67"/>
    <col min="11777" max="11777" width="5.125" style="67" bestFit="1" customWidth="1"/>
    <col min="11778" max="11778" width="50" style="67" bestFit="1" customWidth="1"/>
    <col min="11779" max="11790" width="8" style="67" customWidth="1"/>
    <col min="11791" max="11791" width="7.25" style="67" bestFit="1" customWidth="1"/>
    <col min="11792" max="12032" width="11" style="67"/>
    <col min="12033" max="12033" width="5.125" style="67" bestFit="1" customWidth="1"/>
    <col min="12034" max="12034" width="50" style="67" bestFit="1" customWidth="1"/>
    <col min="12035" max="12046" width="8" style="67" customWidth="1"/>
    <col min="12047" max="12047" width="7.25" style="67" bestFit="1" customWidth="1"/>
    <col min="12048" max="12288" width="11" style="67"/>
    <col min="12289" max="12289" width="5.125" style="67" bestFit="1" customWidth="1"/>
    <col min="12290" max="12290" width="50" style="67" bestFit="1" customWidth="1"/>
    <col min="12291" max="12302" width="8" style="67" customWidth="1"/>
    <col min="12303" max="12303" width="7.25" style="67" bestFit="1" customWidth="1"/>
    <col min="12304" max="12544" width="11" style="67"/>
    <col min="12545" max="12545" width="5.125" style="67" bestFit="1" customWidth="1"/>
    <col min="12546" max="12546" width="50" style="67" bestFit="1" customWidth="1"/>
    <col min="12547" max="12558" width="8" style="67" customWidth="1"/>
    <col min="12559" max="12559" width="7.25" style="67" bestFit="1" customWidth="1"/>
    <col min="12560" max="12800" width="11" style="67"/>
    <col min="12801" max="12801" width="5.125" style="67" bestFit="1" customWidth="1"/>
    <col min="12802" max="12802" width="50" style="67" bestFit="1" customWidth="1"/>
    <col min="12803" max="12814" width="8" style="67" customWidth="1"/>
    <col min="12815" max="12815" width="7.25" style="67" bestFit="1" customWidth="1"/>
    <col min="12816" max="13056" width="11" style="67"/>
    <col min="13057" max="13057" width="5.125" style="67" bestFit="1" customWidth="1"/>
    <col min="13058" max="13058" width="50" style="67" bestFit="1" customWidth="1"/>
    <col min="13059" max="13070" width="8" style="67" customWidth="1"/>
    <col min="13071" max="13071" width="7.25" style="67" bestFit="1" customWidth="1"/>
    <col min="13072" max="13312" width="11" style="67"/>
    <col min="13313" max="13313" width="5.125" style="67" bestFit="1" customWidth="1"/>
    <col min="13314" max="13314" width="50" style="67" bestFit="1" customWidth="1"/>
    <col min="13315" max="13326" width="8" style="67" customWidth="1"/>
    <col min="13327" max="13327" width="7.25" style="67" bestFit="1" customWidth="1"/>
    <col min="13328" max="13568" width="11" style="67"/>
    <col min="13569" max="13569" width="5.125" style="67" bestFit="1" customWidth="1"/>
    <col min="13570" max="13570" width="50" style="67" bestFit="1" customWidth="1"/>
    <col min="13571" max="13582" width="8" style="67" customWidth="1"/>
    <col min="13583" max="13583" width="7.25" style="67" bestFit="1" customWidth="1"/>
    <col min="13584" max="13824" width="11" style="67"/>
    <col min="13825" max="13825" width="5.125" style="67" bestFit="1" customWidth="1"/>
    <col min="13826" max="13826" width="50" style="67" bestFit="1" customWidth="1"/>
    <col min="13827" max="13838" width="8" style="67" customWidth="1"/>
    <col min="13839" max="13839" width="7.25" style="67" bestFit="1" customWidth="1"/>
    <col min="13840" max="14080" width="11" style="67"/>
    <col min="14081" max="14081" width="5.125" style="67" bestFit="1" customWidth="1"/>
    <col min="14082" max="14082" width="50" style="67" bestFit="1" customWidth="1"/>
    <col min="14083" max="14094" width="8" style="67" customWidth="1"/>
    <col min="14095" max="14095" width="7.25" style="67" bestFit="1" customWidth="1"/>
    <col min="14096" max="14336" width="11" style="67"/>
    <col min="14337" max="14337" width="5.125" style="67" bestFit="1" customWidth="1"/>
    <col min="14338" max="14338" width="50" style="67" bestFit="1" customWidth="1"/>
    <col min="14339" max="14350" width="8" style="67" customWidth="1"/>
    <col min="14351" max="14351" width="7.25" style="67" bestFit="1" customWidth="1"/>
    <col min="14352" max="14592" width="11" style="67"/>
    <col min="14593" max="14593" width="5.125" style="67" bestFit="1" customWidth="1"/>
    <col min="14594" max="14594" width="50" style="67" bestFit="1" customWidth="1"/>
    <col min="14595" max="14606" width="8" style="67" customWidth="1"/>
    <col min="14607" max="14607" width="7.25" style="67" bestFit="1" customWidth="1"/>
    <col min="14608" max="14848" width="11" style="67"/>
    <col min="14849" max="14849" width="5.125" style="67" bestFit="1" customWidth="1"/>
    <col min="14850" max="14850" width="50" style="67" bestFit="1" customWidth="1"/>
    <col min="14851" max="14862" width="8" style="67" customWidth="1"/>
    <col min="14863" max="14863" width="7.25" style="67" bestFit="1" customWidth="1"/>
    <col min="14864" max="15104" width="11" style="67"/>
    <col min="15105" max="15105" width="5.125" style="67" bestFit="1" customWidth="1"/>
    <col min="15106" max="15106" width="50" style="67" bestFit="1" customWidth="1"/>
    <col min="15107" max="15118" width="8" style="67" customWidth="1"/>
    <col min="15119" max="15119" width="7.25" style="67" bestFit="1" customWidth="1"/>
    <col min="15120" max="15360" width="11" style="67"/>
    <col min="15361" max="15361" width="5.125" style="67" bestFit="1" customWidth="1"/>
    <col min="15362" max="15362" width="50" style="67" bestFit="1" customWidth="1"/>
    <col min="15363" max="15374" width="8" style="67" customWidth="1"/>
    <col min="15375" max="15375" width="7.25" style="67" bestFit="1" customWidth="1"/>
    <col min="15376" max="15616" width="11" style="67"/>
    <col min="15617" max="15617" width="5.125" style="67" bestFit="1" customWidth="1"/>
    <col min="15618" max="15618" width="50" style="67" bestFit="1" customWidth="1"/>
    <col min="15619" max="15630" width="8" style="67" customWidth="1"/>
    <col min="15631" max="15631" width="7.25" style="67" bestFit="1" customWidth="1"/>
    <col min="15632" max="15872" width="11" style="67"/>
    <col min="15873" max="15873" width="5.125" style="67" bestFit="1" customWidth="1"/>
    <col min="15874" max="15874" width="50" style="67" bestFit="1" customWidth="1"/>
    <col min="15875" max="15886" width="8" style="67" customWidth="1"/>
    <col min="15887" max="15887" width="7.25" style="67" bestFit="1" customWidth="1"/>
    <col min="15888" max="16128" width="11" style="67"/>
    <col min="16129" max="16129" width="5.125" style="67" bestFit="1" customWidth="1"/>
    <col min="16130" max="16130" width="50" style="67" bestFit="1" customWidth="1"/>
    <col min="16131" max="16142" width="8" style="67" customWidth="1"/>
    <col min="16143" max="16143" width="7.25" style="67" bestFit="1" customWidth="1"/>
    <col min="16144" max="16384" width="11" style="67"/>
  </cols>
  <sheetData>
    <row r="1" spans="1:22" hidden="1" x14ac:dyDescent="0.2"/>
    <row r="2" spans="1:22" ht="18.350000000000001" x14ac:dyDescent="0.3">
      <c r="A2" s="672" t="s">
        <v>3544</v>
      </c>
      <c r="B2" s="672"/>
      <c r="C2" s="672"/>
      <c r="D2" s="672"/>
      <c r="E2" s="672"/>
      <c r="F2" s="672"/>
      <c r="G2" s="672"/>
      <c r="H2" s="672"/>
      <c r="I2" s="672"/>
      <c r="J2" s="672"/>
      <c r="K2" s="672"/>
      <c r="L2" s="672"/>
      <c r="M2" s="672"/>
      <c r="N2" s="672"/>
      <c r="O2" s="672"/>
    </row>
    <row r="3" spans="1:22" ht="9" hidden="1" customHeight="1" x14ac:dyDescent="0.2"/>
    <row r="4" spans="1:22" ht="18.350000000000001" x14ac:dyDescent="0.3">
      <c r="A4" s="633" t="s">
        <v>3545</v>
      </c>
      <c r="B4" s="634"/>
      <c r="C4" s="634"/>
      <c r="D4" s="634"/>
      <c r="E4" s="634"/>
      <c r="F4" s="634"/>
      <c r="G4" s="634"/>
      <c r="H4" s="634"/>
      <c r="I4" s="634"/>
      <c r="J4" s="634"/>
      <c r="K4" s="634"/>
      <c r="L4" s="634"/>
      <c r="M4" s="634"/>
      <c r="N4" s="634"/>
      <c r="O4" s="635"/>
    </row>
    <row r="5" spans="1:22" hidden="1" x14ac:dyDescent="0.2">
      <c r="A5" s="223"/>
      <c r="O5" s="224"/>
    </row>
    <row r="6" spans="1:22" ht="15.65" x14ac:dyDescent="0.25">
      <c r="A6" s="636" t="s">
        <v>3546</v>
      </c>
      <c r="B6" s="637"/>
      <c r="C6" s="637"/>
      <c r="D6" s="637"/>
      <c r="E6" s="637"/>
      <c r="F6" s="637"/>
      <c r="G6" s="637"/>
      <c r="H6" s="637"/>
      <c r="I6" s="637"/>
      <c r="J6" s="637"/>
      <c r="K6" s="637"/>
      <c r="L6" s="637"/>
      <c r="M6" s="637"/>
      <c r="N6" s="637"/>
      <c r="O6" s="638"/>
    </row>
    <row r="7" spans="1:22" ht="14.3" hidden="1" x14ac:dyDescent="0.25">
      <c r="A7" s="673"/>
      <c r="B7" s="674"/>
      <c r="C7" s="674"/>
      <c r="D7" s="674"/>
      <c r="E7" s="674"/>
      <c r="F7" s="674"/>
      <c r="G7" s="674"/>
      <c r="H7" s="674"/>
      <c r="I7" s="674"/>
      <c r="J7" s="674"/>
      <c r="K7" s="674"/>
      <c r="L7" s="674"/>
      <c r="M7" s="674"/>
      <c r="N7" s="674"/>
      <c r="O7" s="675"/>
    </row>
    <row r="8" spans="1:22" ht="14.3" x14ac:dyDescent="0.25">
      <c r="C8" s="644" t="s">
        <v>3547</v>
      </c>
      <c r="D8" s="645"/>
      <c r="E8" s="645"/>
      <c r="F8" s="645"/>
      <c r="G8" s="645"/>
      <c r="H8" s="645"/>
      <c r="I8" s="645"/>
      <c r="J8" s="645"/>
      <c r="K8" s="645"/>
      <c r="L8" s="645"/>
      <c r="M8" s="645"/>
      <c r="N8" s="645"/>
      <c r="O8" s="646"/>
      <c r="Q8" s="647"/>
      <c r="R8" s="647"/>
      <c r="S8" s="647"/>
      <c r="T8" s="647"/>
      <c r="U8" s="647"/>
    </row>
    <row r="9" spans="1:22" ht="17.350000000000001" customHeight="1" x14ac:dyDescent="0.2">
      <c r="A9" s="225" t="s">
        <v>3548</v>
      </c>
      <c r="B9" s="225" t="s">
        <v>3549</v>
      </c>
      <c r="C9" s="226" t="s">
        <v>9</v>
      </c>
      <c r="D9" s="226" t="s">
        <v>130</v>
      </c>
      <c r="E9" s="226" t="s">
        <v>321</v>
      </c>
      <c r="F9" s="226" t="s">
        <v>3550</v>
      </c>
      <c r="G9" s="226" t="s">
        <v>2145</v>
      </c>
      <c r="H9" s="226" t="s">
        <v>835</v>
      </c>
      <c r="I9" s="227" t="s">
        <v>2146</v>
      </c>
      <c r="J9" s="227" t="s">
        <v>2147</v>
      </c>
      <c r="K9" s="227" t="s">
        <v>2148</v>
      </c>
      <c r="L9" s="227" t="s">
        <v>2149</v>
      </c>
      <c r="M9" s="227" t="s">
        <v>3551</v>
      </c>
      <c r="N9" s="227" t="s">
        <v>2151</v>
      </c>
      <c r="O9" s="228" t="s">
        <v>2152</v>
      </c>
      <c r="Q9" s="229"/>
      <c r="R9" s="229"/>
      <c r="S9" s="229"/>
      <c r="T9" s="229"/>
      <c r="U9" s="229"/>
      <c r="V9" s="229"/>
    </row>
    <row r="10" spans="1:22" ht="14.45" customHeight="1" x14ac:dyDescent="0.2">
      <c r="A10" s="230" t="s">
        <v>3552</v>
      </c>
      <c r="B10" s="230" t="s">
        <v>3553</v>
      </c>
      <c r="C10" s="231"/>
      <c r="D10" s="231"/>
      <c r="E10" s="231"/>
      <c r="F10" s="231"/>
      <c r="G10" s="231"/>
      <c r="H10" s="231"/>
      <c r="I10" s="231"/>
      <c r="J10" s="231"/>
      <c r="K10" s="231"/>
      <c r="L10" s="231"/>
      <c r="M10" s="231"/>
      <c r="N10" s="231"/>
      <c r="O10" s="231"/>
    </row>
    <row r="11" spans="1:22" ht="14.45" customHeight="1" x14ac:dyDescent="0.2">
      <c r="A11" s="232">
        <v>1</v>
      </c>
      <c r="B11" s="233" t="s">
        <v>3554</v>
      </c>
      <c r="C11" s="234"/>
      <c r="D11" s="234"/>
      <c r="E11" s="234"/>
      <c r="F11" s="234">
        <v>1</v>
      </c>
      <c r="G11" s="234">
        <v>2</v>
      </c>
      <c r="H11" s="234"/>
      <c r="I11" s="234">
        <v>2</v>
      </c>
      <c r="J11" s="234">
        <v>3</v>
      </c>
      <c r="K11" s="234">
        <v>2</v>
      </c>
      <c r="L11" s="234">
        <v>1</v>
      </c>
      <c r="M11" s="234"/>
      <c r="N11" s="234"/>
      <c r="O11" s="235">
        <f>SUM(C11:N11)</f>
        <v>11</v>
      </c>
    </row>
    <row r="12" spans="1:22" ht="14.45" customHeight="1" x14ac:dyDescent="0.25">
      <c r="A12" s="232">
        <v>2</v>
      </c>
      <c r="B12" s="233" t="s">
        <v>3555</v>
      </c>
      <c r="C12" s="234">
        <v>2</v>
      </c>
      <c r="D12" s="234">
        <v>1</v>
      </c>
      <c r="E12" s="234"/>
      <c r="F12" s="234">
        <v>3</v>
      </c>
      <c r="G12" s="234"/>
      <c r="H12" s="234">
        <v>3</v>
      </c>
      <c r="I12" s="234">
        <v>2</v>
      </c>
      <c r="J12" s="234">
        <v>6</v>
      </c>
      <c r="K12" s="234">
        <v>1</v>
      </c>
      <c r="L12" s="234">
        <v>1</v>
      </c>
      <c r="M12" s="234"/>
      <c r="N12" s="234">
        <v>1</v>
      </c>
      <c r="O12" s="235">
        <f t="shared" ref="O12:O21" si="0">SUM(C12:N12)</f>
        <v>20</v>
      </c>
      <c r="R12" s="236"/>
    </row>
    <row r="13" spans="1:22" ht="14.45" customHeight="1" x14ac:dyDescent="0.25">
      <c r="A13" s="232">
        <v>3</v>
      </c>
      <c r="B13" s="233" t="s">
        <v>3556</v>
      </c>
      <c r="C13" s="234">
        <v>2</v>
      </c>
      <c r="D13" s="234"/>
      <c r="E13" s="234"/>
      <c r="F13" s="234">
        <v>1</v>
      </c>
      <c r="G13" s="234"/>
      <c r="H13" s="234"/>
      <c r="I13" s="234"/>
      <c r="J13" s="234">
        <v>3</v>
      </c>
      <c r="K13" s="234">
        <v>2</v>
      </c>
      <c r="L13" s="234">
        <v>1</v>
      </c>
      <c r="M13" s="234"/>
      <c r="N13" s="234"/>
      <c r="O13" s="235">
        <f t="shared" si="0"/>
        <v>9</v>
      </c>
      <c r="R13" s="236"/>
    </row>
    <row r="14" spans="1:22" ht="14.45" customHeight="1" x14ac:dyDescent="0.2">
      <c r="A14" s="232">
        <v>4</v>
      </c>
      <c r="B14" s="233" t="s">
        <v>3557</v>
      </c>
      <c r="C14" s="234"/>
      <c r="D14" s="234"/>
      <c r="E14" s="234"/>
      <c r="F14" s="234"/>
      <c r="G14" s="234"/>
      <c r="H14" s="234"/>
      <c r="I14" s="234"/>
      <c r="J14" s="234"/>
      <c r="K14" s="234"/>
      <c r="L14" s="234"/>
      <c r="M14" s="234"/>
      <c r="N14" s="234"/>
      <c r="O14" s="235">
        <f t="shared" si="0"/>
        <v>0</v>
      </c>
    </row>
    <row r="15" spans="1:22" ht="14.45" customHeight="1" x14ac:dyDescent="0.2">
      <c r="A15" s="232">
        <v>5</v>
      </c>
      <c r="B15" s="233" t="s">
        <v>3558</v>
      </c>
      <c r="C15" s="234"/>
      <c r="D15" s="234"/>
      <c r="E15" s="234"/>
      <c r="F15" s="234"/>
      <c r="G15" s="234"/>
      <c r="H15" s="234"/>
      <c r="I15" s="234"/>
      <c r="J15" s="234"/>
      <c r="K15" s="234"/>
      <c r="L15" s="234"/>
      <c r="M15" s="234"/>
      <c r="N15" s="234"/>
      <c r="O15" s="235">
        <f t="shared" si="0"/>
        <v>0</v>
      </c>
    </row>
    <row r="16" spans="1:22" ht="14.45" customHeight="1" x14ac:dyDescent="0.2">
      <c r="A16" s="232">
        <v>6</v>
      </c>
      <c r="B16" s="233" t="s">
        <v>3559</v>
      </c>
      <c r="C16" s="234"/>
      <c r="D16" s="234"/>
      <c r="E16" s="234"/>
      <c r="F16" s="234"/>
      <c r="G16" s="234"/>
      <c r="H16" s="234"/>
      <c r="I16" s="234"/>
      <c r="J16" s="234"/>
      <c r="K16" s="234"/>
      <c r="L16" s="234"/>
      <c r="M16" s="234"/>
      <c r="N16" s="234"/>
      <c r="O16" s="235">
        <f t="shared" si="0"/>
        <v>0</v>
      </c>
    </row>
    <row r="17" spans="1:15" ht="14.45" customHeight="1" x14ac:dyDescent="0.2">
      <c r="A17" s="232">
        <v>7</v>
      </c>
      <c r="B17" s="233" t="s">
        <v>3560</v>
      </c>
      <c r="C17" s="234"/>
      <c r="D17" s="234"/>
      <c r="E17" s="234"/>
      <c r="F17" s="234"/>
      <c r="G17" s="234"/>
      <c r="H17" s="234"/>
      <c r="I17" s="234"/>
      <c r="J17" s="234"/>
      <c r="K17" s="234"/>
      <c r="L17" s="234"/>
      <c r="M17" s="234"/>
      <c r="N17" s="234"/>
      <c r="O17" s="235">
        <f t="shared" si="0"/>
        <v>0</v>
      </c>
    </row>
    <row r="18" spans="1:15" ht="14.45" customHeight="1" x14ac:dyDescent="0.2">
      <c r="A18" s="232">
        <v>8</v>
      </c>
      <c r="B18" s="233" t="s">
        <v>3561</v>
      </c>
      <c r="C18" s="234"/>
      <c r="D18" s="234"/>
      <c r="E18" s="234"/>
      <c r="F18" s="234"/>
      <c r="G18" s="234"/>
      <c r="H18" s="234"/>
      <c r="I18" s="234">
        <v>1</v>
      </c>
      <c r="J18" s="234"/>
      <c r="K18" s="234"/>
      <c r="L18" s="234"/>
      <c r="M18" s="234"/>
      <c r="N18" s="234"/>
      <c r="O18" s="235">
        <f t="shared" si="0"/>
        <v>1</v>
      </c>
    </row>
    <row r="19" spans="1:15" ht="14.45" customHeight="1" x14ac:dyDescent="0.2">
      <c r="A19" s="232">
        <v>9</v>
      </c>
      <c r="B19" s="233" t="s">
        <v>3562</v>
      </c>
      <c r="C19" s="234"/>
      <c r="D19" s="234"/>
      <c r="E19" s="234"/>
      <c r="F19" s="234">
        <v>1</v>
      </c>
      <c r="G19" s="234"/>
      <c r="H19" s="234"/>
      <c r="I19" s="234"/>
      <c r="J19" s="234"/>
      <c r="K19" s="234"/>
      <c r="L19" s="234"/>
      <c r="M19" s="234"/>
      <c r="N19" s="234"/>
      <c r="O19" s="235">
        <f t="shared" si="0"/>
        <v>1</v>
      </c>
    </row>
    <row r="20" spans="1:15" ht="14.45" customHeight="1" x14ac:dyDescent="0.2">
      <c r="A20" s="232">
        <v>10</v>
      </c>
      <c r="B20" s="233" t="s">
        <v>3563</v>
      </c>
      <c r="C20" s="234"/>
      <c r="D20" s="234"/>
      <c r="E20" s="234"/>
      <c r="F20" s="234"/>
      <c r="G20" s="234"/>
      <c r="H20" s="234"/>
      <c r="I20" s="234"/>
      <c r="J20" s="234"/>
      <c r="K20" s="234"/>
      <c r="L20" s="234"/>
      <c r="M20" s="234"/>
      <c r="N20" s="234"/>
      <c r="O20" s="235">
        <f t="shared" si="0"/>
        <v>0</v>
      </c>
    </row>
    <row r="21" spans="1:15" ht="14.45" customHeight="1" x14ac:dyDescent="0.2">
      <c r="A21" s="232">
        <v>11</v>
      </c>
      <c r="B21" s="233" t="s">
        <v>3564</v>
      </c>
      <c r="C21" s="234"/>
      <c r="D21" s="234">
        <v>1</v>
      </c>
      <c r="E21" s="234">
        <v>1</v>
      </c>
      <c r="F21" s="234"/>
      <c r="G21" s="234"/>
      <c r="H21" s="234"/>
      <c r="I21" s="234"/>
      <c r="J21" s="234"/>
      <c r="K21" s="234">
        <v>1</v>
      </c>
      <c r="L21" s="234">
        <v>2</v>
      </c>
      <c r="M21" s="234"/>
      <c r="N21" s="234"/>
      <c r="O21" s="235">
        <f t="shared" si="0"/>
        <v>5</v>
      </c>
    </row>
    <row r="22" spans="1:15" ht="14.45" customHeight="1" x14ac:dyDescent="0.2">
      <c r="A22" s="237"/>
      <c r="B22" s="238" t="s">
        <v>3565</v>
      </c>
      <c r="C22" s="239">
        <f>SUM(C11:C21)</f>
        <v>4</v>
      </c>
      <c r="D22" s="239">
        <f t="shared" ref="D22:N22" si="1">SUM(D11:D21)</f>
        <v>2</v>
      </c>
      <c r="E22" s="239">
        <f t="shared" si="1"/>
        <v>1</v>
      </c>
      <c r="F22" s="239">
        <f t="shared" si="1"/>
        <v>6</v>
      </c>
      <c r="G22" s="239">
        <f t="shared" si="1"/>
        <v>2</v>
      </c>
      <c r="H22" s="239">
        <f t="shared" si="1"/>
        <v>3</v>
      </c>
      <c r="I22" s="239">
        <f t="shared" si="1"/>
        <v>5</v>
      </c>
      <c r="J22" s="239">
        <f t="shared" si="1"/>
        <v>12</v>
      </c>
      <c r="K22" s="239">
        <f t="shared" si="1"/>
        <v>6</v>
      </c>
      <c r="L22" s="239">
        <f t="shared" si="1"/>
        <v>5</v>
      </c>
      <c r="M22" s="239">
        <f t="shared" si="1"/>
        <v>0</v>
      </c>
      <c r="N22" s="239">
        <f t="shared" si="1"/>
        <v>1</v>
      </c>
      <c r="O22" s="239">
        <f>SUM(O11:O21)</f>
        <v>47</v>
      </c>
    </row>
    <row r="23" spans="1:15" ht="14.45" customHeight="1" x14ac:dyDescent="0.2">
      <c r="A23" s="240" t="s">
        <v>3566</v>
      </c>
      <c r="B23" s="241" t="s">
        <v>3567</v>
      </c>
      <c r="C23" s="649"/>
      <c r="D23" s="650"/>
      <c r="E23" s="650"/>
      <c r="F23" s="650"/>
      <c r="G23" s="650"/>
      <c r="H23" s="650"/>
      <c r="I23" s="650"/>
      <c r="J23" s="650"/>
      <c r="K23" s="650"/>
      <c r="L23" s="650"/>
      <c r="M23" s="650"/>
      <c r="N23" s="650"/>
      <c r="O23" s="651"/>
    </row>
    <row r="24" spans="1:15" ht="14.45" customHeight="1" x14ac:dyDescent="0.2">
      <c r="A24" s="232">
        <v>12</v>
      </c>
      <c r="B24" s="242" t="s">
        <v>3568</v>
      </c>
      <c r="C24" s="234">
        <v>11</v>
      </c>
      <c r="D24" s="234">
        <v>13</v>
      </c>
      <c r="E24" s="234">
        <v>10</v>
      </c>
      <c r="F24" s="234">
        <v>14</v>
      </c>
      <c r="G24" s="234">
        <v>13</v>
      </c>
      <c r="H24" s="234">
        <v>18</v>
      </c>
      <c r="I24" s="234">
        <v>9</v>
      </c>
      <c r="J24" s="234">
        <v>18</v>
      </c>
      <c r="K24" s="234">
        <v>7</v>
      </c>
      <c r="L24" s="234">
        <v>3</v>
      </c>
      <c r="M24" s="234">
        <v>2</v>
      </c>
      <c r="N24" s="234">
        <v>2</v>
      </c>
      <c r="O24" s="235">
        <f>SUM(C24:N24)</f>
        <v>120</v>
      </c>
    </row>
    <row r="25" spans="1:15" ht="14.45" customHeight="1" x14ac:dyDescent="0.2">
      <c r="A25" s="232">
        <v>13</v>
      </c>
      <c r="B25" s="233" t="s">
        <v>3569</v>
      </c>
      <c r="C25" s="234"/>
      <c r="D25" s="234"/>
      <c r="E25" s="234"/>
      <c r="F25" s="234"/>
      <c r="G25" s="234"/>
      <c r="H25" s="234"/>
      <c r="I25" s="234"/>
      <c r="J25" s="234"/>
      <c r="K25" s="234"/>
      <c r="L25" s="234"/>
      <c r="M25" s="234"/>
      <c r="N25" s="234"/>
      <c r="O25" s="235">
        <f t="shared" ref="O25:O37" si="2">SUM(C25:N25)</f>
        <v>0</v>
      </c>
    </row>
    <row r="26" spans="1:15" ht="14.45" customHeight="1" x14ac:dyDescent="0.2">
      <c r="A26" s="232">
        <v>14</v>
      </c>
      <c r="B26" s="233" t="s">
        <v>3570</v>
      </c>
      <c r="C26" s="234"/>
      <c r="D26" s="234"/>
      <c r="E26" s="234">
        <v>1</v>
      </c>
      <c r="F26" s="234"/>
      <c r="G26" s="234"/>
      <c r="H26" s="234">
        <v>1</v>
      </c>
      <c r="I26" s="234">
        <v>1</v>
      </c>
      <c r="J26" s="234">
        <v>1</v>
      </c>
      <c r="K26" s="234"/>
      <c r="L26" s="234">
        <v>1</v>
      </c>
      <c r="M26" s="234">
        <v>2</v>
      </c>
      <c r="N26" s="234"/>
      <c r="O26" s="235">
        <f t="shared" si="2"/>
        <v>7</v>
      </c>
    </row>
    <row r="27" spans="1:15" ht="14.45" customHeight="1" x14ac:dyDescent="0.2">
      <c r="A27" s="232">
        <v>15</v>
      </c>
      <c r="B27" s="233" t="s">
        <v>3571</v>
      </c>
      <c r="C27" s="234"/>
      <c r="D27" s="234">
        <v>1</v>
      </c>
      <c r="E27" s="234"/>
      <c r="F27" s="234"/>
      <c r="G27" s="234"/>
      <c r="H27" s="234"/>
      <c r="I27" s="234"/>
      <c r="J27" s="234"/>
      <c r="K27" s="234"/>
      <c r="L27" s="234"/>
      <c r="M27" s="234"/>
      <c r="N27" s="234"/>
      <c r="O27" s="235">
        <f t="shared" si="2"/>
        <v>1</v>
      </c>
    </row>
    <row r="28" spans="1:15" ht="14.45" customHeight="1" x14ac:dyDescent="0.2">
      <c r="A28" s="232">
        <v>16</v>
      </c>
      <c r="B28" s="233" t="s">
        <v>3572</v>
      </c>
      <c r="C28" s="234"/>
      <c r="D28" s="234"/>
      <c r="E28" s="234"/>
      <c r="F28" s="234"/>
      <c r="G28" s="234"/>
      <c r="H28" s="234"/>
      <c r="I28" s="234"/>
      <c r="J28" s="234"/>
      <c r="K28" s="234"/>
      <c r="L28" s="234"/>
      <c r="M28" s="234"/>
      <c r="N28" s="234"/>
      <c r="O28" s="235">
        <f t="shared" si="2"/>
        <v>0</v>
      </c>
    </row>
    <row r="29" spans="1:15" ht="14.45" customHeight="1" x14ac:dyDescent="0.2">
      <c r="A29" s="232">
        <v>17</v>
      </c>
      <c r="B29" s="233" t="s">
        <v>3573</v>
      </c>
      <c r="C29" s="234"/>
      <c r="D29" s="234"/>
      <c r="E29" s="234"/>
      <c r="F29" s="234"/>
      <c r="G29" s="234"/>
      <c r="H29" s="234"/>
      <c r="I29" s="234"/>
      <c r="J29" s="234"/>
      <c r="K29" s="234"/>
      <c r="L29" s="234"/>
      <c r="M29" s="234"/>
      <c r="N29" s="234"/>
      <c r="O29" s="235">
        <f t="shared" si="2"/>
        <v>0</v>
      </c>
    </row>
    <row r="30" spans="1:15" ht="14.45" customHeight="1" x14ac:dyDescent="0.2">
      <c r="A30" s="232">
        <v>18</v>
      </c>
      <c r="B30" s="233" t="s">
        <v>3574</v>
      </c>
      <c r="C30" s="234"/>
      <c r="D30" s="234"/>
      <c r="E30" s="234"/>
      <c r="F30" s="234"/>
      <c r="G30" s="234"/>
      <c r="H30" s="234"/>
      <c r="I30" s="234">
        <v>1</v>
      </c>
      <c r="J30" s="234"/>
      <c r="K30" s="234"/>
      <c r="L30" s="234"/>
      <c r="M30" s="234"/>
      <c r="N30" s="234"/>
      <c r="O30" s="235">
        <f t="shared" si="2"/>
        <v>1</v>
      </c>
    </row>
    <row r="31" spans="1:15" ht="14.45" customHeight="1" x14ac:dyDescent="0.2">
      <c r="A31" s="232">
        <v>19</v>
      </c>
      <c r="B31" s="233" t="s">
        <v>3575</v>
      </c>
      <c r="C31" s="234"/>
      <c r="D31" s="234"/>
      <c r="E31" s="234"/>
      <c r="F31" s="234"/>
      <c r="G31" s="234"/>
      <c r="H31" s="234"/>
      <c r="I31" s="234"/>
      <c r="J31" s="234"/>
      <c r="K31" s="234"/>
      <c r="L31" s="234"/>
      <c r="M31" s="234"/>
      <c r="N31" s="234"/>
      <c r="O31" s="235">
        <f t="shared" si="2"/>
        <v>0</v>
      </c>
    </row>
    <row r="32" spans="1:15" ht="14.45" customHeight="1" x14ac:dyDescent="0.2">
      <c r="A32" s="232">
        <v>20</v>
      </c>
      <c r="B32" s="233" t="s">
        <v>3576</v>
      </c>
      <c r="C32" s="234"/>
      <c r="D32" s="234"/>
      <c r="E32" s="234"/>
      <c r="F32" s="234"/>
      <c r="G32" s="234"/>
      <c r="H32" s="234"/>
      <c r="I32" s="234"/>
      <c r="J32" s="234"/>
      <c r="K32" s="234"/>
      <c r="L32" s="234"/>
      <c r="M32" s="234"/>
      <c r="N32" s="234"/>
      <c r="O32" s="235">
        <f t="shared" si="2"/>
        <v>0</v>
      </c>
    </row>
    <row r="33" spans="1:15" ht="14.45" customHeight="1" x14ac:dyDescent="0.2">
      <c r="A33" s="232">
        <v>21</v>
      </c>
      <c r="B33" s="233" t="s">
        <v>3577</v>
      </c>
      <c r="C33" s="234"/>
      <c r="D33" s="234"/>
      <c r="E33" s="234"/>
      <c r="F33" s="234"/>
      <c r="G33" s="234"/>
      <c r="H33" s="234"/>
      <c r="I33" s="234"/>
      <c r="J33" s="234"/>
      <c r="K33" s="234"/>
      <c r="L33" s="234">
        <v>1</v>
      </c>
      <c r="M33" s="234"/>
      <c r="N33" s="234"/>
      <c r="O33" s="235">
        <f t="shared" si="2"/>
        <v>1</v>
      </c>
    </row>
    <row r="34" spans="1:15" ht="14.45" customHeight="1" x14ac:dyDescent="0.2">
      <c r="A34" s="232">
        <v>22</v>
      </c>
      <c r="B34" s="233" t="s">
        <v>3578</v>
      </c>
      <c r="C34" s="234"/>
      <c r="D34" s="234"/>
      <c r="E34" s="234"/>
      <c r="F34" s="234"/>
      <c r="G34" s="234"/>
      <c r="H34" s="234"/>
      <c r="I34" s="234"/>
      <c r="J34" s="234"/>
      <c r="K34" s="234"/>
      <c r="L34" s="234"/>
      <c r="M34" s="234"/>
      <c r="N34" s="234"/>
      <c r="O34" s="235">
        <f t="shared" si="2"/>
        <v>0</v>
      </c>
    </row>
    <row r="35" spans="1:15" ht="14.45" customHeight="1" x14ac:dyDescent="0.2">
      <c r="A35" s="232">
        <v>23</v>
      </c>
      <c r="B35" s="233" t="s">
        <v>3579</v>
      </c>
      <c r="C35" s="234"/>
      <c r="D35" s="234"/>
      <c r="E35" s="234"/>
      <c r="F35" s="234"/>
      <c r="G35" s="234"/>
      <c r="H35" s="234"/>
      <c r="I35" s="234"/>
      <c r="J35" s="234"/>
      <c r="K35" s="234"/>
      <c r="L35" s="234"/>
      <c r="M35" s="234"/>
      <c r="N35" s="234"/>
      <c r="O35" s="235">
        <f t="shared" si="2"/>
        <v>0</v>
      </c>
    </row>
    <row r="36" spans="1:15" ht="14.45" customHeight="1" x14ac:dyDescent="0.2">
      <c r="A36" s="232">
        <v>24</v>
      </c>
      <c r="B36" s="233" t="s">
        <v>3580</v>
      </c>
      <c r="C36" s="234"/>
      <c r="D36" s="234"/>
      <c r="E36" s="234"/>
      <c r="F36" s="234"/>
      <c r="G36" s="234"/>
      <c r="H36" s="234"/>
      <c r="I36" s="234"/>
      <c r="J36" s="234"/>
      <c r="K36" s="234"/>
      <c r="L36" s="234"/>
      <c r="M36" s="234"/>
      <c r="N36" s="234"/>
      <c r="O36" s="235">
        <f t="shared" si="2"/>
        <v>0</v>
      </c>
    </row>
    <row r="37" spans="1:15" ht="14.45" customHeight="1" x14ac:dyDescent="0.2">
      <c r="A37" s="232">
        <v>25</v>
      </c>
      <c r="B37" s="233" t="s">
        <v>3581</v>
      </c>
      <c r="C37" s="234"/>
      <c r="D37" s="234">
        <v>1</v>
      </c>
      <c r="E37" s="234">
        <v>1</v>
      </c>
      <c r="F37" s="234"/>
      <c r="G37" s="234"/>
      <c r="H37" s="234"/>
      <c r="I37" s="234"/>
      <c r="J37" s="234">
        <v>1</v>
      </c>
      <c r="K37" s="234">
        <v>1</v>
      </c>
      <c r="L37" s="234"/>
      <c r="M37" s="234"/>
      <c r="N37" s="234"/>
      <c r="O37" s="235">
        <f t="shared" si="2"/>
        <v>4</v>
      </c>
    </row>
    <row r="38" spans="1:15" ht="14.45" customHeight="1" x14ac:dyDescent="0.2">
      <c r="A38" s="243"/>
      <c r="B38" s="238" t="s">
        <v>3565</v>
      </c>
      <c r="C38" s="239">
        <f>SUM(C24:C37)</f>
        <v>11</v>
      </c>
      <c r="D38" s="239">
        <f t="shared" ref="D38:O38" si="3">SUM(D24:D37)</f>
        <v>15</v>
      </c>
      <c r="E38" s="239">
        <f t="shared" si="3"/>
        <v>12</v>
      </c>
      <c r="F38" s="239">
        <f t="shared" si="3"/>
        <v>14</v>
      </c>
      <c r="G38" s="239">
        <f t="shared" si="3"/>
        <v>13</v>
      </c>
      <c r="H38" s="239">
        <f t="shared" si="3"/>
        <v>19</v>
      </c>
      <c r="I38" s="239">
        <f t="shared" si="3"/>
        <v>11</v>
      </c>
      <c r="J38" s="239">
        <f t="shared" si="3"/>
        <v>20</v>
      </c>
      <c r="K38" s="239">
        <f t="shared" si="3"/>
        <v>8</v>
      </c>
      <c r="L38" s="239">
        <f t="shared" si="3"/>
        <v>5</v>
      </c>
      <c r="M38" s="239">
        <f t="shared" si="3"/>
        <v>4</v>
      </c>
      <c r="N38" s="239">
        <f t="shared" si="3"/>
        <v>2</v>
      </c>
      <c r="O38" s="239">
        <f t="shared" si="3"/>
        <v>134</v>
      </c>
    </row>
    <row r="39" spans="1:15" ht="14.45" customHeight="1" x14ac:dyDescent="0.2">
      <c r="A39" s="244" t="s">
        <v>3582</v>
      </c>
      <c r="B39" s="245" t="s">
        <v>3583</v>
      </c>
      <c r="C39" s="652"/>
      <c r="D39" s="653"/>
      <c r="E39" s="653"/>
      <c r="F39" s="653"/>
      <c r="G39" s="653"/>
      <c r="H39" s="653"/>
      <c r="I39" s="653"/>
      <c r="J39" s="653"/>
      <c r="K39" s="653"/>
      <c r="L39" s="653"/>
      <c r="M39" s="653"/>
      <c r="N39" s="653"/>
      <c r="O39" s="654"/>
    </row>
    <row r="40" spans="1:15" ht="14.45" customHeight="1" x14ac:dyDescent="0.2">
      <c r="A40" s="246">
        <v>26</v>
      </c>
      <c r="B40" s="233" t="s">
        <v>3584</v>
      </c>
      <c r="C40" s="234"/>
      <c r="D40" s="234"/>
      <c r="E40" s="234"/>
      <c r="F40" s="234">
        <v>1</v>
      </c>
      <c r="G40" s="234"/>
      <c r="H40" s="234">
        <v>1</v>
      </c>
      <c r="I40" s="234"/>
      <c r="J40" s="234"/>
      <c r="K40" s="234">
        <v>1</v>
      </c>
      <c r="L40" s="234"/>
      <c r="M40" s="234"/>
      <c r="N40" s="234">
        <v>1</v>
      </c>
      <c r="O40" s="235">
        <f>SUM(C40:N40)</f>
        <v>4</v>
      </c>
    </row>
    <row r="41" spans="1:15" ht="14.45" customHeight="1" x14ac:dyDescent="0.2">
      <c r="A41" s="232">
        <v>27</v>
      </c>
      <c r="B41" s="233" t="s">
        <v>3585</v>
      </c>
      <c r="C41" s="234"/>
      <c r="D41" s="234"/>
      <c r="E41" s="234"/>
      <c r="F41" s="234"/>
      <c r="G41" s="234"/>
      <c r="H41" s="234"/>
      <c r="I41" s="234"/>
      <c r="J41" s="234"/>
      <c r="K41" s="234"/>
      <c r="L41" s="234"/>
      <c r="M41" s="234"/>
      <c r="N41" s="234"/>
      <c r="O41" s="235">
        <f>SUM(C41:N41)</f>
        <v>0</v>
      </c>
    </row>
    <row r="42" spans="1:15" ht="14.45" customHeight="1" x14ac:dyDescent="0.2">
      <c r="A42" s="232">
        <v>28</v>
      </c>
      <c r="B42" s="233" t="s">
        <v>3586</v>
      </c>
      <c r="C42" s="234">
        <v>1</v>
      </c>
      <c r="D42" s="234">
        <v>1</v>
      </c>
      <c r="E42" s="234">
        <v>1</v>
      </c>
      <c r="F42" s="234">
        <v>3</v>
      </c>
      <c r="G42" s="234">
        <v>3</v>
      </c>
      <c r="H42" s="234">
        <v>2</v>
      </c>
      <c r="I42" s="234">
        <v>2</v>
      </c>
      <c r="J42" s="234">
        <v>3</v>
      </c>
      <c r="K42" s="234">
        <v>2</v>
      </c>
      <c r="L42" s="234">
        <v>1</v>
      </c>
      <c r="M42" s="234">
        <v>1</v>
      </c>
      <c r="N42" s="234">
        <v>2</v>
      </c>
      <c r="O42" s="235">
        <f>SUM(C42:N42)</f>
        <v>22</v>
      </c>
    </row>
    <row r="43" spans="1:15" ht="14.45" customHeight="1" x14ac:dyDescent="0.2">
      <c r="A43" s="232">
        <v>29</v>
      </c>
      <c r="B43" s="233" t="s">
        <v>3587</v>
      </c>
      <c r="C43" s="234"/>
      <c r="D43" s="234"/>
      <c r="E43" s="234"/>
      <c r="F43" s="234"/>
      <c r="G43" s="234"/>
      <c r="H43" s="234"/>
      <c r="I43" s="234"/>
      <c r="J43" s="234"/>
      <c r="K43" s="234"/>
      <c r="L43" s="234"/>
      <c r="M43" s="234"/>
      <c r="N43" s="234">
        <v>1</v>
      </c>
      <c r="O43" s="235">
        <f>SUM(C43:N43)</f>
        <v>1</v>
      </c>
    </row>
    <row r="44" spans="1:15" ht="14.45" customHeight="1" x14ac:dyDescent="0.2">
      <c r="A44" s="243"/>
      <c r="B44" s="238" t="s">
        <v>3565</v>
      </c>
      <c r="C44" s="239">
        <f>SUM(C40:C43)</f>
        <v>1</v>
      </c>
      <c r="D44" s="239">
        <f t="shared" ref="D44:N44" si="4">SUM(D40:D43)</f>
        <v>1</v>
      </c>
      <c r="E44" s="239">
        <f t="shared" si="4"/>
        <v>1</v>
      </c>
      <c r="F44" s="239">
        <f t="shared" si="4"/>
        <v>4</v>
      </c>
      <c r="G44" s="239">
        <f t="shared" si="4"/>
        <v>3</v>
      </c>
      <c r="H44" s="239">
        <f t="shared" si="4"/>
        <v>3</v>
      </c>
      <c r="I44" s="239">
        <f t="shared" si="4"/>
        <v>2</v>
      </c>
      <c r="J44" s="239">
        <f t="shared" si="4"/>
        <v>3</v>
      </c>
      <c r="K44" s="239">
        <f t="shared" si="4"/>
        <v>3</v>
      </c>
      <c r="L44" s="239">
        <f t="shared" si="4"/>
        <v>1</v>
      </c>
      <c r="M44" s="239">
        <f t="shared" si="4"/>
        <v>1</v>
      </c>
      <c r="N44" s="239">
        <f t="shared" si="4"/>
        <v>4</v>
      </c>
      <c r="O44" s="239">
        <f>SUM(O37:O43)</f>
        <v>165</v>
      </c>
    </row>
    <row r="45" spans="1:15" ht="14.45" customHeight="1" x14ac:dyDescent="0.2">
      <c r="A45" s="247" t="s">
        <v>3588</v>
      </c>
      <c r="B45" s="248" t="s">
        <v>3589</v>
      </c>
      <c r="C45" s="655"/>
      <c r="D45" s="656"/>
      <c r="E45" s="656"/>
      <c r="F45" s="656"/>
      <c r="G45" s="656"/>
      <c r="H45" s="656"/>
      <c r="I45" s="656"/>
      <c r="J45" s="656"/>
      <c r="K45" s="656"/>
      <c r="L45" s="656"/>
      <c r="M45" s="656"/>
      <c r="N45" s="656"/>
      <c r="O45" s="657"/>
    </row>
    <row r="46" spans="1:15" ht="14.45" customHeight="1" x14ac:dyDescent="0.2">
      <c r="A46" s="232">
        <v>30</v>
      </c>
      <c r="B46" s="233" t="s">
        <v>3590</v>
      </c>
      <c r="C46" s="234"/>
      <c r="D46" s="234"/>
      <c r="E46" s="234"/>
      <c r="F46" s="234"/>
      <c r="G46" s="234"/>
      <c r="H46" s="234"/>
      <c r="I46" s="234"/>
      <c r="J46" s="234"/>
      <c r="K46" s="234"/>
      <c r="L46" s="234">
        <v>1</v>
      </c>
      <c r="M46" s="234"/>
      <c r="N46" s="234"/>
      <c r="O46" s="235">
        <f t="shared" ref="O46:O54" si="5">SUM(C46:N46)</f>
        <v>1</v>
      </c>
    </row>
    <row r="47" spans="1:15" ht="14.45" customHeight="1" x14ac:dyDescent="0.2">
      <c r="A47" s="232">
        <v>31</v>
      </c>
      <c r="B47" s="233" t="s">
        <v>3591</v>
      </c>
      <c r="C47" s="234"/>
      <c r="D47" s="234"/>
      <c r="E47" s="234"/>
      <c r="F47" s="234"/>
      <c r="G47" s="234"/>
      <c r="H47" s="234"/>
      <c r="I47" s="234"/>
      <c r="J47" s="234"/>
      <c r="K47" s="234"/>
      <c r="L47" s="234"/>
      <c r="M47" s="234"/>
      <c r="N47" s="234"/>
      <c r="O47" s="235">
        <f t="shared" si="5"/>
        <v>0</v>
      </c>
    </row>
    <row r="48" spans="1:15" ht="14.45" customHeight="1" x14ac:dyDescent="0.2">
      <c r="A48" s="232">
        <v>32</v>
      </c>
      <c r="B48" s="233" t="s">
        <v>3592</v>
      </c>
      <c r="C48" s="234"/>
      <c r="D48" s="234"/>
      <c r="E48" s="234"/>
      <c r="F48" s="234"/>
      <c r="G48" s="234"/>
      <c r="H48" s="234"/>
      <c r="I48" s="234"/>
      <c r="J48" s="234"/>
      <c r="K48" s="234"/>
      <c r="L48" s="234"/>
      <c r="M48" s="234"/>
      <c r="N48" s="234"/>
      <c r="O48" s="235">
        <f t="shared" si="5"/>
        <v>0</v>
      </c>
    </row>
    <row r="49" spans="1:15" ht="14.45" customHeight="1" x14ac:dyDescent="0.2">
      <c r="A49" s="232">
        <v>33</v>
      </c>
      <c r="B49" s="233" t="s">
        <v>3593</v>
      </c>
      <c r="C49" s="234"/>
      <c r="D49" s="234"/>
      <c r="E49" s="234"/>
      <c r="F49" s="234"/>
      <c r="G49" s="234"/>
      <c r="H49" s="234"/>
      <c r="I49" s="234"/>
      <c r="J49" s="234"/>
      <c r="K49" s="234"/>
      <c r="L49" s="234"/>
      <c r="M49" s="234"/>
      <c r="N49" s="234"/>
      <c r="O49" s="235">
        <f t="shared" si="5"/>
        <v>0</v>
      </c>
    </row>
    <row r="50" spans="1:15" ht="14.45" customHeight="1" x14ac:dyDescent="0.2">
      <c r="A50" s="232">
        <v>34</v>
      </c>
      <c r="B50" s="233" t="s">
        <v>3594</v>
      </c>
      <c r="C50" s="234"/>
      <c r="D50" s="234"/>
      <c r="E50" s="234"/>
      <c r="F50" s="234"/>
      <c r="G50" s="234"/>
      <c r="H50" s="234"/>
      <c r="I50" s="234"/>
      <c r="J50" s="234"/>
      <c r="K50" s="234"/>
      <c r="L50" s="234" t="s">
        <v>3543</v>
      </c>
      <c r="M50" s="234"/>
      <c r="N50" s="234"/>
      <c r="O50" s="235">
        <f t="shared" si="5"/>
        <v>0</v>
      </c>
    </row>
    <row r="51" spans="1:15" ht="14.45" customHeight="1" x14ac:dyDescent="0.2">
      <c r="A51" s="232">
        <v>35</v>
      </c>
      <c r="B51" s="233" t="s">
        <v>3595</v>
      </c>
      <c r="C51" s="234">
        <v>1</v>
      </c>
      <c r="D51" s="234"/>
      <c r="E51" s="234"/>
      <c r="F51" s="234">
        <v>1</v>
      </c>
      <c r="G51" s="234">
        <v>21</v>
      </c>
      <c r="H51" s="234">
        <v>1</v>
      </c>
      <c r="I51" s="234"/>
      <c r="J51" s="234"/>
      <c r="K51" s="234"/>
      <c r="L51" s="234"/>
      <c r="M51" s="234">
        <v>1</v>
      </c>
      <c r="N51" s="234"/>
      <c r="O51" s="235">
        <f t="shared" si="5"/>
        <v>25</v>
      </c>
    </row>
    <row r="52" spans="1:15" ht="14.45" customHeight="1" x14ac:dyDescent="0.2">
      <c r="A52" s="232">
        <v>36</v>
      </c>
      <c r="B52" s="233" t="s">
        <v>3596</v>
      </c>
      <c r="C52" s="234">
        <v>1</v>
      </c>
      <c r="D52" s="234"/>
      <c r="E52" s="234"/>
      <c r="F52" s="234">
        <v>1</v>
      </c>
      <c r="G52" s="234"/>
      <c r="H52" s="234"/>
      <c r="I52" s="234"/>
      <c r="J52" s="234"/>
      <c r="K52" s="234"/>
      <c r="L52" s="234">
        <v>1</v>
      </c>
      <c r="M52" s="234"/>
      <c r="N52" s="234">
        <v>2</v>
      </c>
      <c r="O52" s="235">
        <f t="shared" si="5"/>
        <v>5</v>
      </c>
    </row>
    <row r="53" spans="1:15" ht="14.45" customHeight="1" x14ac:dyDescent="0.2">
      <c r="A53" s="232">
        <v>37</v>
      </c>
      <c r="B53" s="233" t="s">
        <v>3597</v>
      </c>
      <c r="C53" s="234">
        <v>1</v>
      </c>
      <c r="D53" s="234"/>
      <c r="E53" s="234">
        <v>4</v>
      </c>
      <c r="F53" s="234">
        <v>8</v>
      </c>
      <c r="G53" s="234">
        <v>3</v>
      </c>
      <c r="H53" s="234">
        <v>3</v>
      </c>
      <c r="I53" s="234">
        <v>3</v>
      </c>
      <c r="J53" s="234">
        <v>4</v>
      </c>
      <c r="K53" s="234">
        <v>3</v>
      </c>
      <c r="L53" s="234"/>
      <c r="M53" s="234"/>
      <c r="N53" s="234"/>
      <c r="O53" s="235">
        <f t="shared" si="5"/>
        <v>29</v>
      </c>
    </row>
    <row r="54" spans="1:15" ht="14.45" customHeight="1" x14ac:dyDescent="0.2">
      <c r="A54" s="232">
        <v>38</v>
      </c>
      <c r="B54" s="233" t="s">
        <v>3598</v>
      </c>
      <c r="C54" s="234"/>
      <c r="D54" s="234"/>
      <c r="E54" s="234"/>
      <c r="F54" s="234"/>
      <c r="G54" s="234"/>
      <c r="H54" s="234"/>
      <c r="I54" s="234"/>
      <c r="J54" s="234"/>
      <c r="K54" s="234"/>
      <c r="L54" s="234"/>
      <c r="M54" s="234"/>
      <c r="N54" s="234"/>
      <c r="O54" s="235">
        <f t="shared" si="5"/>
        <v>0</v>
      </c>
    </row>
    <row r="55" spans="1:15" ht="14.45" customHeight="1" x14ac:dyDescent="0.2">
      <c r="A55" s="243"/>
      <c r="B55" s="238" t="s">
        <v>3565</v>
      </c>
      <c r="C55" s="239">
        <f t="shared" ref="C55:O55" si="6">SUM(C46:C54)</f>
        <v>3</v>
      </c>
      <c r="D55" s="239">
        <f t="shared" si="6"/>
        <v>0</v>
      </c>
      <c r="E55" s="239">
        <f t="shared" si="6"/>
        <v>4</v>
      </c>
      <c r="F55" s="239">
        <f t="shared" si="6"/>
        <v>10</v>
      </c>
      <c r="G55" s="239">
        <f t="shared" si="6"/>
        <v>24</v>
      </c>
      <c r="H55" s="239">
        <f t="shared" si="6"/>
        <v>4</v>
      </c>
      <c r="I55" s="239">
        <f t="shared" si="6"/>
        <v>3</v>
      </c>
      <c r="J55" s="239">
        <f t="shared" si="6"/>
        <v>4</v>
      </c>
      <c r="K55" s="239">
        <f t="shared" si="6"/>
        <v>3</v>
      </c>
      <c r="L55" s="239">
        <f t="shared" si="6"/>
        <v>2</v>
      </c>
      <c r="M55" s="239">
        <f t="shared" si="6"/>
        <v>1</v>
      </c>
      <c r="N55" s="239">
        <f t="shared" si="6"/>
        <v>2</v>
      </c>
      <c r="O55" s="239">
        <f t="shared" si="6"/>
        <v>60</v>
      </c>
    </row>
    <row r="56" spans="1:15" ht="14.45" customHeight="1" x14ac:dyDescent="0.2">
      <c r="A56" s="249" t="s">
        <v>3599</v>
      </c>
      <c r="B56" s="250" t="s">
        <v>3600</v>
      </c>
      <c r="C56" s="658"/>
      <c r="D56" s="659"/>
      <c r="E56" s="659"/>
      <c r="F56" s="659"/>
      <c r="G56" s="659"/>
      <c r="H56" s="659"/>
      <c r="I56" s="659"/>
      <c r="J56" s="659"/>
      <c r="K56" s="659"/>
      <c r="L56" s="659"/>
      <c r="M56" s="659"/>
      <c r="N56" s="659"/>
      <c r="O56" s="660"/>
    </row>
    <row r="57" spans="1:15" ht="14.45" customHeight="1" x14ac:dyDescent="0.2">
      <c r="A57" s="232">
        <v>39</v>
      </c>
      <c r="B57" s="233" t="s">
        <v>3601</v>
      </c>
      <c r="C57" s="234">
        <v>13</v>
      </c>
      <c r="D57" s="234">
        <v>6</v>
      </c>
      <c r="E57" s="234">
        <v>11</v>
      </c>
      <c r="F57" s="234">
        <v>7</v>
      </c>
      <c r="G57" s="234">
        <v>5</v>
      </c>
      <c r="H57" s="234">
        <v>5</v>
      </c>
      <c r="I57" s="234">
        <v>5</v>
      </c>
      <c r="J57" s="234">
        <v>5</v>
      </c>
      <c r="K57" s="234">
        <v>5</v>
      </c>
      <c r="L57" s="234">
        <v>1</v>
      </c>
      <c r="M57" s="234"/>
      <c r="N57" s="234">
        <v>1</v>
      </c>
      <c r="O57" s="235">
        <f>SUM(C57:N57)</f>
        <v>64</v>
      </c>
    </row>
    <row r="58" spans="1:15" ht="14.45" customHeight="1" x14ac:dyDescent="0.2">
      <c r="A58" s="232">
        <v>40</v>
      </c>
      <c r="B58" s="233" t="s">
        <v>3602</v>
      </c>
      <c r="C58" s="234"/>
      <c r="D58" s="234"/>
      <c r="E58" s="234">
        <v>23</v>
      </c>
      <c r="F58" s="234">
        <v>15</v>
      </c>
      <c r="G58" s="234">
        <v>11</v>
      </c>
      <c r="H58" s="234">
        <v>6</v>
      </c>
      <c r="I58" s="234">
        <v>10</v>
      </c>
      <c r="J58" s="234">
        <v>7</v>
      </c>
      <c r="K58" s="234">
        <v>1</v>
      </c>
      <c r="L58" s="234"/>
      <c r="M58" s="234"/>
      <c r="N58" s="234">
        <v>2</v>
      </c>
      <c r="O58" s="235">
        <f>SUM(C58:N58)</f>
        <v>75</v>
      </c>
    </row>
    <row r="59" spans="1:15" ht="14.45" customHeight="1" x14ac:dyDescent="0.2">
      <c r="A59" s="243"/>
      <c r="B59" s="238" t="s">
        <v>3565</v>
      </c>
      <c r="C59" s="239">
        <f>SUM(C57:C58)</f>
        <v>13</v>
      </c>
      <c r="D59" s="239">
        <f t="shared" ref="D59:O59" si="7">SUM(D57:D58)</f>
        <v>6</v>
      </c>
      <c r="E59" s="239">
        <f t="shared" si="7"/>
        <v>34</v>
      </c>
      <c r="F59" s="239">
        <f t="shared" si="7"/>
        <v>22</v>
      </c>
      <c r="G59" s="239">
        <f t="shared" si="7"/>
        <v>16</v>
      </c>
      <c r="H59" s="239">
        <f>SUM(H57:H58)</f>
        <v>11</v>
      </c>
      <c r="I59" s="239">
        <f>SUM(I57:I58)</f>
        <v>15</v>
      </c>
      <c r="J59" s="239">
        <f t="shared" si="7"/>
        <v>12</v>
      </c>
      <c r="K59" s="239">
        <f t="shared" si="7"/>
        <v>6</v>
      </c>
      <c r="L59" s="239">
        <f t="shared" si="7"/>
        <v>1</v>
      </c>
      <c r="M59" s="239">
        <f t="shared" si="7"/>
        <v>0</v>
      </c>
      <c r="N59" s="239">
        <f t="shared" si="7"/>
        <v>3</v>
      </c>
      <c r="O59" s="239">
        <f t="shared" si="7"/>
        <v>139</v>
      </c>
    </row>
    <row r="60" spans="1:15" ht="14.45" customHeight="1" x14ac:dyDescent="0.2">
      <c r="A60" s="251"/>
      <c r="B60" s="251" t="s">
        <v>3603</v>
      </c>
      <c r="C60" s="252">
        <f t="shared" ref="C60:O60" si="8">SUM(C59+C55+C44+C38+C22)</f>
        <v>32</v>
      </c>
      <c r="D60" s="252">
        <f t="shared" si="8"/>
        <v>24</v>
      </c>
      <c r="E60" s="252">
        <f t="shared" si="8"/>
        <v>52</v>
      </c>
      <c r="F60" s="252">
        <f t="shared" si="8"/>
        <v>56</v>
      </c>
      <c r="G60" s="252">
        <f t="shared" si="8"/>
        <v>58</v>
      </c>
      <c r="H60" s="252">
        <f t="shared" si="8"/>
        <v>40</v>
      </c>
      <c r="I60" s="252">
        <f t="shared" si="8"/>
        <v>36</v>
      </c>
      <c r="J60" s="252">
        <f t="shared" si="8"/>
        <v>51</v>
      </c>
      <c r="K60" s="252">
        <f t="shared" si="8"/>
        <v>26</v>
      </c>
      <c r="L60" s="252">
        <f t="shared" si="8"/>
        <v>14</v>
      </c>
      <c r="M60" s="252">
        <f t="shared" si="8"/>
        <v>6</v>
      </c>
      <c r="N60" s="252">
        <f t="shared" si="8"/>
        <v>12</v>
      </c>
      <c r="O60" s="252">
        <f t="shared" si="8"/>
        <v>545</v>
      </c>
    </row>
    <row r="61" spans="1:15" ht="14.45" customHeight="1" x14ac:dyDescent="0.2">
      <c r="A61" s="253" t="s">
        <v>3604</v>
      </c>
      <c r="B61" s="254" t="s">
        <v>3605</v>
      </c>
      <c r="C61" s="661"/>
      <c r="D61" s="662"/>
      <c r="E61" s="662"/>
      <c r="F61" s="662"/>
      <c r="G61" s="662"/>
      <c r="H61" s="662"/>
      <c r="I61" s="662"/>
      <c r="J61" s="662"/>
      <c r="K61" s="662"/>
      <c r="L61" s="662"/>
      <c r="M61" s="662"/>
      <c r="N61" s="662"/>
      <c r="O61" s="663"/>
    </row>
    <row r="62" spans="1:15" ht="14.45" customHeight="1" x14ac:dyDescent="0.2">
      <c r="A62" s="246">
        <v>41</v>
      </c>
      <c r="B62" s="243" t="s">
        <v>3606</v>
      </c>
      <c r="C62" s="252">
        <v>6</v>
      </c>
      <c r="D62" s="252">
        <v>7</v>
      </c>
      <c r="E62" s="252">
        <v>7</v>
      </c>
      <c r="F62" s="252">
        <v>4</v>
      </c>
      <c r="G62" s="252">
        <v>5</v>
      </c>
      <c r="H62" s="252"/>
      <c r="I62" s="252"/>
      <c r="J62" s="252"/>
      <c r="K62" s="252"/>
      <c r="L62" s="252"/>
      <c r="M62" s="252"/>
      <c r="N62" s="252"/>
      <c r="O62" s="252"/>
    </row>
    <row r="63" spans="1:15" ht="14.45" customHeight="1" x14ac:dyDescent="0.2">
      <c r="A63" s="232">
        <v>42</v>
      </c>
      <c r="B63" s="243" t="s">
        <v>3607</v>
      </c>
      <c r="C63" s="234"/>
      <c r="D63" s="234"/>
      <c r="E63" s="234"/>
      <c r="F63" s="234"/>
      <c r="G63" s="234"/>
      <c r="H63" s="234"/>
      <c r="I63" s="234"/>
      <c r="J63" s="234">
        <v>1</v>
      </c>
      <c r="K63" s="234"/>
      <c r="L63" s="234"/>
      <c r="M63" s="234"/>
      <c r="N63" s="234"/>
      <c r="O63" s="235">
        <f>SUM(C63:N63)</f>
        <v>1</v>
      </c>
    </row>
    <row r="64" spans="1:15" ht="14.45" customHeight="1" x14ac:dyDescent="0.2">
      <c r="A64" s="232">
        <v>43</v>
      </c>
      <c r="B64" s="233" t="s">
        <v>3608</v>
      </c>
      <c r="C64" s="234">
        <v>3</v>
      </c>
      <c r="D64" s="234"/>
      <c r="E64" s="234"/>
      <c r="F64" s="234"/>
      <c r="G64" s="234">
        <v>2</v>
      </c>
      <c r="H64" s="234"/>
      <c r="I64" s="234"/>
      <c r="J64" s="234"/>
      <c r="K64" s="234"/>
      <c r="L64" s="234"/>
      <c r="M64" s="234"/>
      <c r="N64" s="234"/>
      <c r="O64" s="235">
        <f>SUM(C64:N64)</f>
        <v>5</v>
      </c>
    </row>
    <row r="65" spans="1:16" ht="14.45" customHeight="1" x14ac:dyDescent="0.2">
      <c r="A65" s="232">
        <v>44</v>
      </c>
      <c r="B65" s="233" t="s">
        <v>3609</v>
      </c>
      <c r="C65" s="234">
        <v>1</v>
      </c>
      <c r="D65" s="234"/>
      <c r="E65" s="234"/>
      <c r="F65" s="234">
        <v>4</v>
      </c>
      <c r="G65" s="234">
        <v>4</v>
      </c>
      <c r="H65" s="255">
        <v>2</v>
      </c>
      <c r="I65" s="234">
        <v>3</v>
      </c>
      <c r="J65" s="234">
        <v>1</v>
      </c>
      <c r="K65" s="234"/>
      <c r="L65" s="234"/>
      <c r="M65" s="234"/>
      <c r="N65" s="234"/>
      <c r="O65" s="235">
        <f>SUM(C65:N65)</f>
        <v>15</v>
      </c>
    </row>
    <row r="66" spans="1:16" ht="14.45" customHeight="1" x14ac:dyDescent="0.2">
      <c r="A66" s="232">
        <v>45</v>
      </c>
      <c r="B66" s="233" t="s">
        <v>3610</v>
      </c>
      <c r="C66" s="234"/>
      <c r="D66" s="234"/>
      <c r="E66" s="234"/>
      <c r="F66" s="234"/>
      <c r="G66" s="234"/>
      <c r="H66" s="255"/>
      <c r="I66" s="234"/>
      <c r="J66" s="234"/>
      <c r="K66" s="234"/>
      <c r="L66" s="234"/>
      <c r="M66" s="234"/>
      <c r="N66" s="234"/>
      <c r="O66" s="235"/>
    </row>
    <row r="67" spans="1:16" ht="14.45" customHeight="1" x14ac:dyDescent="0.2">
      <c r="A67" s="232">
        <v>46</v>
      </c>
      <c r="B67" s="233" t="s">
        <v>3611</v>
      </c>
      <c r="C67" s="234"/>
      <c r="D67" s="234"/>
      <c r="E67" s="234"/>
      <c r="F67" s="234"/>
      <c r="G67" s="234"/>
      <c r="H67" s="255"/>
      <c r="I67" s="234"/>
      <c r="J67" s="234"/>
      <c r="K67" s="234"/>
      <c r="L67" s="234"/>
      <c r="M67" s="234"/>
      <c r="N67" s="234"/>
      <c r="O67" s="235"/>
    </row>
    <row r="68" spans="1:16" ht="14.45" customHeight="1" x14ac:dyDescent="0.2">
      <c r="A68" s="243"/>
      <c r="B68" s="238" t="s">
        <v>3565</v>
      </c>
      <c r="C68" s="239">
        <f>SUM(C62:C67)</f>
        <v>10</v>
      </c>
      <c r="D68" s="239">
        <f t="shared" ref="D68:N68" si="9">SUM(D62:D67)</f>
        <v>7</v>
      </c>
      <c r="E68" s="239">
        <f t="shared" si="9"/>
        <v>7</v>
      </c>
      <c r="F68" s="239">
        <f t="shared" si="9"/>
        <v>8</v>
      </c>
      <c r="G68" s="239">
        <f t="shared" si="9"/>
        <v>11</v>
      </c>
      <c r="H68" s="239">
        <f t="shared" si="9"/>
        <v>2</v>
      </c>
      <c r="I68" s="239">
        <f t="shared" si="9"/>
        <v>3</v>
      </c>
      <c r="J68" s="239">
        <f t="shared" si="9"/>
        <v>2</v>
      </c>
      <c r="K68" s="239">
        <f t="shared" si="9"/>
        <v>0</v>
      </c>
      <c r="L68" s="239">
        <f t="shared" si="9"/>
        <v>0</v>
      </c>
      <c r="M68" s="239">
        <f t="shared" si="9"/>
        <v>0</v>
      </c>
      <c r="N68" s="239">
        <f t="shared" si="9"/>
        <v>0</v>
      </c>
      <c r="O68" s="239">
        <f>SUM(O62:O65)</f>
        <v>21</v>
      </c>
    </row>
    <row r="69" spans="1:16" ht="14.45" customHeight="1" x14ac:dyDescent="0.2">
      <c r="A69" s="256"/>
      <c r="B69" s="257" t="s">
        <v>3612</v>
      </c>
      <c r="C69" s="258">
        <f>SUM(C60+C68)</f>
        <v>42</v>
      </c>
      <c r="D69" s="258">
        <f t="shared" ref="D69:O69" si="10">SUM(D60+D68)</f>
        <v>31</v>
      </c>
      <c r="E69" s="258">
        <f t="shared" si="10"/>
        <v>59</v>
      </c>
      <c r="F69" s="258">
        <f t="shared" si="10"/>
        <v>64</v>
      </c>
      <c r="G69" s="258">
        <f t="shared" si="10"/>
        <v>69</v>
      </c>
      <c r="H69" s="258">
        <f t="shared" si="10"/>
        <v>42</v>
      </c>
      <c r="I69" s="258">
        <f t="shared" si="10"/>
        <v>39</v>
      </c>
      <c r="J69" s="258">
        <f t="shared" si="10"/>
        <v>53</v>
      </c>
      <c r="K69" s="258">
        <f t="shared" si="10"/>
        <v>26</v>
      </c>
      <c r="L69" s="258">
        <f t="shared" si="10"/>
        <v>14</v>
      </c>
      <c r="M69" s="258">
        <f t="shared" si="10"/>
        <v>6</v>
      </c>
      <c r="N69" s="258">
        <f t="shared" si="10"/>
        <v>12</v>
      </c>
      <c r="O69" s="258">
        <f t="shared" si="10"/>
        <v>566</v>
      </c>
    </row>
    <row r="70" spans="1:16" ht="14.45" customHeight="1" x14ac:dyDescent="0.2"/>
    <row r="71" spans="1:16" ht="15.65" x14ac:dyDescent="0.25">
      <c r="A71" s="679" t="s">
        <v>3613</v>
      </c>
      <c r="B71" s="680"/>
      <c r="C71" s="680"/>
      <c r="D71" s="680"/>
      <c r="E71" s="680"/>
      <c r="F71" s="680"/>
      <c r="G71" s="680"/>
      <c r="H71" s="680"/>
      <c r="I71" s="680"/>
      <c r="J71" s="680"/>
      <c r="K71" s="680"/>
      <c r="L71" s="680"/>
      <c r="M71" s="680"/>
      <c r="N71" s="680"/>
      <c r="O71" s="681"/>
    </row>
    <row r="72" spans="1:16" x14ac:dyDescent="0.2">
      <c r="A72" s="682" t="s">
        <v>3614</v>
      </c>
      <c r="B72" s="683"/>
      <c r="C72" s="683"/>
      <c r="D72" s="683"/>
      <c r="E72" s="683"/>
      <c r="F72" s="683"/>
      <c r="G72" s="683"/>
      <c r="H72" s="683"/>
      <c r="I72" s="683"/>
      <c r="J72" s="683"/>
      <c r="K72" s="683"/>
      <c r="L72" s="683"/>
      <c r="M72" s="683"/>
      <c r="N72" s="683"/>
      <c r="O72" s="684"/>
    </row>
    <row r="73" spans="1:16" x14ac:dyDescent="0.2">
      <c r="A73" s="685"/>
      <c r="B73" s="686"/>
      <c r="C73" s="686"/>
      <c r="D73" s="686"/>
      <c r="E73" s="686"/>
      <c r="F73" s="686"/>
      <c r="G73" s="686"/>
      <c r="H73" s="686"/>
      <c r="I73" s="686"/>
      <c r="J73" s="686"/>
      <c r="K73" s="686"/>
      <c r="L73" s="686"/>
      <c r="M73" s="686"/>
      <c r="N73" s="686"/>
      <c r="O73" s="687"/>
    </row>
    <row r="74" spans="1:16" x14ac:dyDescent="0.2">
      <c r="A74" s="685"/>
      <c r="B74" s="686"/>
      <c r="C74" s="686"/>
      <c r="D74" s="686"/>
      <c r="E74" s="686"/>
      <c r="F74" s="686"/>
      <c r="G74" s="686"/>
      <c r="H74" s="686"/>
      <c r="I74" s="686"/>
      <c r="J74" s="686"/>
      <c r="K74" s="686"/>
      <c r="L74" s="686"/>
      <c r="M74" s="686"/>
      <c r="N74" s="686"/>
      <c r="O74" s="687"/>
    </row>
    <row r="75" spans="1:16" x14ac:dyDescent="0.2">
      <c r="A75" s="688"/>
      <c r="B75" s="689"/>
      <c r="C75" s="689"/>
      <c r="D75" s="689"/>
      <c r="E75" s="689"/>
      <c r="F75" s="689"/>
      <c r="G75" s="689"/>
      <c r="H75" s="689"/>
      <c r="I75" s="689"/>
      <c r="J75" s="689"/>
      <c r="K75" s="689"/>
      <c r="L75" s="689"/>
      <c r="M75" s="689"/>
      <c r="N75" s="689"/>
      <c r="O75" s="690"/>
    </row>
    <row r="76" spans="1:16" x14ac:dyDescent="0.2">
      <c r="A76" s="691"/>
      <c r="B76" s="692"/>
      <c r="C76" s="692"/>
      <c r="D76" s="692"/>
      <c r="E76" s="692"/>
      <c r="F76" s="692"/>
      <c r="G76" s="692"/>
      <c r="H76" s="692"/>
      <c r="I76" s="692"/>
      <c r="J76" s="692"/>
      <c r="K76" s="692"/>
      <c r="L76" s="692"/>
      <c r="M76" s="692"/>
      <c r="N76" s="692"/>
      <c r="O76" s="693"/>
    </row>
    <row r="77" spans="1:16" x14ac:dyDescent="0.2">
      <c r="A77" s="691"/>
      <c r="B77" s="692"/>
      <c r="C77" s="692"/>
      <c r="D77" s="692"/>
      <c r="E77" s="692"/>
      <c r="F77" s="692"/>
      <c r="G77" s="692"/>
      <c r="H77" s="692"/>
      <c r="I77" s="692"/>
      <c r="J77" s="692"/>
      <c r="K77" s="692"/>
      <c r="L77" s="692"/>
      <c r="M77" s="692"/>
      <c r="N77" s="692"/>
      <c r="O77" s="693"/>
      <c r="P77" s="223"/>
    </row>
    <row r="78" spans="1:16" x14ac:dyDescent="0.2">
      <c r="A78" s="691"/>
      <c r="B78" s="692"/>
      <c r="C78" s="692"/>
      <c r="D78" s="692"/>
      <c r="E78" s="692"/>
      <c r="F78" s="692"/>
      <c r="G78" s="692"/>
      <c r="H78" s="692"/>
      <c r="I78" s="692"/>
      <c r="J78" s="692"/>
      <c r="K78" s="692"/>
      <c r="L78" s="692"/>
      <c r="M78" s="692"/>
      <c r="N78" s="692"/>
      <c r="O78" s="693"/>
      <c r="P78" s="223"/>
    </row>
    <row r="79" spans="1:16" x14ac:dyDescent="0.2">
      <c r="A79" s="691"/>
      <c r="B79" s="692"/>
      <c r="C79" s="692"/>
      <c r="D79" s="692"/>
      <c r="E79" s="692"/>
      <c r="F79" s="692"/>
      <c r="G79" s="692"/>
      <c r="H79" s="692"/>
      <c r="I79" s="692"/>
      <c r="J79" s="692"/>
      <c r="K79" s="692"/>
      <c r="L79" s="692"/>
      <c r="M79" s="692"/>
      <c r="N79" s="692"/>
      <c r="O79" s="693"/>
    </row>
    <row r="80" spans="1:16" x14ac:dyDescent="0.2">
      <c r="A80" s="676"/>
      <c r="B80" s="677"/>
      <c r="C80" s="677"/>
      <c r="D80" s="677"/>
      <c r="E80" s="677"/>
      <c r="F80" s="677"/>
      <c r="G80" s="677"/>
      <c r="H80" s="677"/>
      <c r="I80" s="677"/>
      <c r="J80" s="677"/>
      <c r="K80" s="677"/>
      <c r="L80" s="677"/>
      <c r="M80" s="677"/>
      <c r="N80" s="677"/>
      <c r="O80" s="678"/>
    </row>
    <row r="81" spans="1:21" ht="18.350000000000001" x14ac:dyDescent="0.3">
      <c r="A81" s="633"/>
      <c r="B81" s="634"/>
      <c r="C81" s="634"/>
      <c r="D81" s="634"/>
      <c r="E81" s="634"/>
      <c r="F81" s="634"/>
      <c r="G81" s="634"/>
      <c r="H81" s="634"/>
      <c r="I81" s="634"/>
      <c r="J81" s="634"/>
      <c r="K81" s="634"/>
      <c r="L81" s="634"/>
      <c r="M81" s="634"/>
      <c r="N81" s="634"/>
      <c r="O81" s="635"/>
      <c r="P81" s="223"/>
    </row>
    <row r="82" spans="1:21" ht="15.65" x14ac:dyDescent="0.25">
      <c r="A82" s="636"/>
      <c r="B82" s="637"/>
      <c r="C82" s="637"/>
      <c r="D82" s="637"/>
      <c r="E82" s="637"/>
      <c r="F82" s="637"/>
      <c r="G82" s="637"/>
      <c r="H82" s="637"/>
      <c r="I82" s="637"/>
      <c r="J82" s="637"/>
      <c r="K82" s="637"/>
      <c r="L82" s="637"/>
      <c r="M82" s="637"/>
      <c r="N82" s="637"/>
      <c r="O82" s="638"/>
      <c r="P82" s="223"/>
    </row>
    <row r="83" spans="1:21" ht="14.3" x14ac:dyDescent="0.25">
      <c r="C83" s="644"/>
      <c r="D83" s="645"/>
      <c r="E83" s="645"/>
      <c r="F83" s="645"/>
      <c r="G83" s="645"/>
      <c r="H83" s="645"/>
      <c r="I83" s="645"/>
      <c r="J83" s="645"/>
      <c r="K83" s="645"/>
      <c r="L83" s="645"/>
      <c r="M83" s="645"/>
      <c r="N83" s="645"/>
      <c r="O83" s="646"/>
      <c r="Q83" s="647" t="s">
        <v>3615</v>
      </c>
      <c r="R83" s="647"/>
      <c r="S83" s="647"/>
      <c r="T83" s="647"/>
      <c r="U83" s="647"/>
    </row>
    <row r="84" spans="1:21" x14ac:dyDescent="0.2">
      <c r="A84" s="225"/>
      <c r="B84" s="225"/>
      <c r="C84" s="226"/>
      <c r="D84" s="226"/>
      <c r="E84" s="226"/>
      <c r="F84" s="226"/>
      <c r="G84" s="226"/>
      <c r="H84" s="226"/>
      <c r="I84" s="227"/>
      <c r="J84" s="227"/>
      <c r="K84" s="227"/>
      <c r="L84" s="227"/>
      <c r="M84" s="227"/>
      <c r="N84" s="227"/>
      <c r="O84" s="228"/>
    </row>
    <row r="85" spans="1:21" x14ac:dyDescent="0.2">
      <c r="A85" s="230"/>
      <c r="B85" s="230"/>
      <c r="C85" s="231"/>
      <c r="D85" s="231"/>
      <c r="E85" s="231"/>
      <c r="F85" s="231"/>
      <c r="G85" s="231"/>
      <c r="H85" s="231"/>
      <c r="I85" s="231"/>
      <c r="J85" s="231"/>
      <c r="K85" s="231"/>
      <c r="L85" s="231"/>
      <c r="M85" s="231"/>
      <c r="N85" s="231"/>
      <c r="O85" s="231"/>
      <c r="P85" s="223"/>
    </row>
    <row r="86" spans="1:21" ht="13.6" x14ac:dyDescent="0.2">
      <c r="A86" s="232"/>
      <c r="B86" s="233"/>
      <c r="C86" s="234"/>
      <c r="D86" s="234"/>
      <c r="E86" s="234"/>
      <c r="F86" s="234"/>
      <c r="G86" s="234"/>
      <c r="H86" s="234"/>
      <c r="I86" s="234"/>
      <c r="J86" s="234"/>
      <c r="K86" s="234"/>
      <c r="L86" s="234"/>
      <c r="M86" s="234"/>
      <c r="N86" s="234"/>
      <c r="O86" s="235"/>
      <c r="P86" s="223"/>
    </row>
    <row r="87" spans="1:21" ht="13.6" x14ac:dyDescent="0.2">
      <c r="A87" s="232"/>
      <c r="B87" s="233"/>
      <c r="C87" s="234"/>
      <c r="D87" s="234"/>
      <c r="E87" s="234"/>
      <c r="F87" s="234"/>
      <c r="G87" s="234"/>
      <c r="H87" s="234"/>
      <c r="I87" s="234"/>
      <c r="J87" s="234"/>
      <c r="K87" s="234"/>
      <c r="L87" s="234"/>
      <c r="M87" s="234"/>
      <c r="N87" s="234"/>
      <c r="O87" s="235"/>
      <c r="P87" s="223"/>
    </row>
    <row r="88" spans="1:21" ht="13.6" x14ac:dyDescent="0.2">
      <c r="A88" s="232"/>
      <c r="B88" s="233"/>
      <c r="C88" s="234"/>
      <c r="D88" s="234"/>
      <c r="E88" s="234"/>
      <c r="F88" s="234"/>
      <c r="G88" s="234"/>
      <c r="H88" s="234"/>
      <c r="I88" s="234"/>
      <c r="J88" s="234"/>
      <c r="K88" s="234"/>
      <c r="L88" s="234"/>
      <c r="M88" s="234"/>
      <c r="N88" s="234"/>
      <c r="O88" s="235"/>
      <c r="P88" s="223"/>
    </row>
    <row r="89" spans="1:21" ht="13.6" x14ac:dyDescent="0.2">
      <c r="A89" s="232"/>
      <c r="B89" s="233"/>
      <c r="C89" s="234"/>
      <c r="D89" s="234"/>
      <c r="E89" s="234"/>
      <c r="F89" s="234"/>
      <c r="G89" s="234"/>
      <c r="H89" s="234"/>
      <c r="I89" s="234"/>
      <c r="J89" s="234"/>
      <c r="K89" s="234"/>
      <c r="L89" s="234"/>
      <c r="M89" s="234"/>
      <c r="N89" s="234"/>
      <c r="O89" s="235"/>
      <c r="P89" s="223"/>
    </row>
    <row r="90" spans="1:21" ht="13.6" x14ac:dyDescent="0.2">
      <c r="A90" s="232"/>
      <c r="B90" s="233"/>
      <c r="C90" s="234"/>
      <c r="D90" s="234"/>
      <c r="E90" s="234"/>
      <c r="F90" s="234"/>
      <c r="G90" s="234"/>
      <c r="H90" s="234"/>
      <c r="I90" s="234"/>
      <c r="J90" s="234"/>
      <c r="K90" s="234"/>
      <c r="L90" s="234"/>
      <c r="M90" s="234"/>
      <c r="N90" s="234"/>
      <c r="O90" s="235"/>
      <c r="P90" s="223"/>
    </row>
    <row r="91" spans="1:21" ht="13.6" x14ac:dyDescent="0.2">
      <c r="A91" s="232"/>
      <c r="B91" s="233"/>
      <c r="C91" s="234"/>
      <c r="D91" s="234"/>
      <c r="E91" s="234"/>
      <c r="F91" s="234"/>
      <c r="G91" s="234"/>
      <c r="H91" s="234"/>
      <c r="I91" s="234"/>
      <c r="J91" s="234"/>
      <c r="K91" s="234"/>
      <c r="L91" s="234"/>
      <c r="M91" s="234"/>
      <c r="N91" s="234"/>
      <c r="O91" s="235"/>
    </row>
    <row r="92" spans="1:21" ht="13.6" x14ac:dyDescent="0.2">
      <c r="A92" s="232"/>
      <c r="B92" s="233"/>
      <c r="C92" s="234"/>
      <c r="D92" s="234"/>
      <c r="E92" s="234"/>
      <c r="F92" s="234"/>
      <c r="G92" s="234"/>
      <c r="H92" s="234"/>
      <c r="I92" s="234"/>
      <c r="J92" s="234"/>
      <c r="K92" s="234"/>
      <c r="L92" s="234"/>
      <c r="M92" s="234"/>
      <c r="N92" s="234"/>
      <c r="O92" s="235"/>
      <c r="P92" s="223"/>
    </row>
    <row r="93" spans="1:21" ht="13.6" x14ac:dyDescent="0.2">
      <c r="A93" s="232"/>
      <c r="B93" s="233"/>
      <c r="C93" s="234"/>
      <c r="D93" s="234"/>
      <c r="E93" s="234"/>
      <c r="F93" s="234"/>
      <c r="G93" s="234"/>
      <c r="H93" s="234"/>
      <c r="I93" s="234"/>
      <c r="J93" s="234"/>
      <c r="K93" s="234"/>
      <c r="L93" s="234"/>
      <c r="M93" s="234"/>
      <c r="N93" s="234"/>
      <c r="O93" s="235"/>
    </row>
    <row r="94" spans="1:21" ht="13.6" x14ac:dyDescent="0.2">
      <c r="A94" s="232"/>
      <c r="B94" s="233"/>
      <c r="C94" s="234"/>
      <c r="D94" s="234"/>
      <c r="E94" s="234"/>
      <c r="F94" s="234"/>
      <c r="G94" s="234"/>
      <c r="H94" s="234"/>
      <c r="I94" s="234"/>
      <c r="J94" s="234"/>
      <c r="K94" s="234"/>
      <c r="L94" s="234"/>
      <c r="M94" s="234"/>
      <c r="N94" s="234"/>
      <c r="O94" s="235"/>
    </row>
    <row r="95" spans="1:21" ht="13.6" x14ac:dyDescent="0.2">
      <c r="A95" s="232"/>
      <c r="B95" s="233"/>
      <c r="C95" s="234"/>
      <c r="D95" s="234"/>
      <c r="E95" s="234"/>
      <c r="F95" s="234"/>
      <c r="G95" s="234"/>
      <c r="H95" s="234"/>
      <c r="I95" s="234"/>
      <c r="J95" s="234"/>
      <c r="K95" s="234"/>
      <c r="L95" s="234"/>
      <c r="M95" s="234"/>
      <c r="N95" s="234"/>
      <c r="O95" s="235"/>
    </row>
    <row r="96" spans="1:21" ht="13.6" x14ac:dyDescent="0.2">
      <c r="A96" s="232"/>
      <c r="B96" s="233"/>
      <c r="C96" s="234"/>
      <c r="D96" s="234"/>
      <c r="E96" s="234"/>
      <c r="F96" s="234"/>
      <c r="G96" s="234"/>
      <c r="H96" s="234"/>
      <c r="I96" s="234"/>
      <c r="J96" s="234"/>
      <c r="K96" s="234"/>
      <c r="L96" s="234"/>
      <c r="M96" s="234"/>
      <c r="N96" s="234"/>
      <c r="O96" s="235"/>
    </row>
    <row r="97" spans="1:15" x14ac:dyDescent="0.2">
      <c r="A97" s="237"/>
      <c r="B97" s="238"/>
      <c r="C97" s="239"/>
      <c r="D97" s="239"/>
      <c r="E97" s="239"/>
      <c r="F97" s="239"/>
      <c r="G97" s="239"/>
      <c r="H97" s="239"/>
      <c r="I97" s="239"/>
      <c r="J97" s="239"/>
      <c r="K97" s="239"/>
      <c r="L97" s="239"/>
      <c r="M97" s="239"/>
      <c r="N97" s="239"/>
      <c r="O97" s="239"/>
    </row>
    <row r="98" spans="1:15" ht="13.6" x14ac:dyDescent="0.2">
      <c r="A98" s="240"/>
      <c r="B98" s="241"/>
      <c r="C98" s="649"/>
      <c r="D98" s="650"/>
      <c r="E98" s="650"/>
      <c r="F98" s="650"/>
      <c r="G98" s="650"/>
      <c r="H98" s="650"/>
      <c r="I98" s="650"/>
      <c r="J98" s="650"/>
      <c r="K98" s="650"/>
      <c r="L98" s="650"/>
      <c r="M98" s="650"/>
      <c r="N98" s="650"/>
      <c r="O98" s="651"/>
    </row>
    <row r="99" spans="1:15" ht="13.6" x14ac:dyDescent="0.2">
      <c r="A99" s="232"/>
      <c r="B99" s="242"/>
      <c r="C99" s="234"/>
      <c r="D99" s="234"/>
      <c r="E99" s="234"/>
      <c r="F99" s="234"/>
      <c r="G99" s="234"/>
      <c r="H99" s="234"/>
      <c r="I99" s="234"/>
      <c r="J99" s="234"/>
      <c r="K99" s="234"/>
      <c r="L99" s="234"/>
      <c r="M99" s="234"/>
      <c r="N99" s="234"/>
      <c r="O99" s="235"/>
    </row>
    <row r="100" spans="1:15" ht="13.6" x14ac:dyDescent="0.2">
      <c r="A100" s="232"/>
      <c r="B100" s="233"/>
      <c r="C100" s="234"/>
      <c r="D100" s="234"/>
      <c r="E100" s="234"/>
      <c r="F100" s="234"/>
      <c r="G100" s="234"/>
      <c r="H100" s="234"/>
      <c r="I100" s="234"/>
      <c r="J100" s="234"/>
      <c r="K100" s="234"/>
      <c r="L100" s="234"/>
      <c r="M100" s="234"/>
      <c r="N100" s="234"/>
      <c r="O100" s="235"/>
    </row>
    <row r="101" spans="1:15" ht="13.6" x14ac:dyDescent="0.2">
      <c r="A101" s="232"/>
      <c r="B101" s="233"/>
      <c r="C101" s="234"/>
      <c r="D101" s="234"/>
      <c r="E101" s="234"/>
      <c r="F101" s="234"/>
      <c r="G101" s="234"/>
      <c r="H101" s="234"/>
      <c r="I101" s="234"/>
      <c r="J101" s="234"/>
      <c r="K101" s="234"/>
      <c r="L101" s="234"/>
      <c r="M101" s="234"/>
      <c r="N101" s="234"/>
      <c r="O101" s="235"/>
    </row>
    <row r="102" spans="1:15" ht="13.6" x14ac:dyDescent="0.2">
      <c r="A102" s="232"/>
      <c r="B102" s="233"/>
      <c r="C102" s="234"/>
      <c r="D102" s="234"/>
      <c r="E102" s="234"/>
      <c r="F102" s="234"/>
      <c r="G102" s="234"/>
      <c r="H102" s="234"/>
      <c r="I102" s="234"/>
      <c r="J102" s="234"/>
      <c r="K102" s="234"/>
      <c r="L102" s="234"/>
      <c r="M102" s="234"/>
      <c r="N102" s="234"/>
      <c r="O102" s="235"/>
    </row>
    <row r="103" spans="1:15" ht="13.6" x14ac:dyDescent="0.2">
      <c r="A103" s="232"/>
      <c r="B103" s="233"/>
      <c r="C103" s="234"/>
      <c r="D103" s="234"/>
      <c r="E103" s="234"/>
      <c r="F103" s="234"/>
      <c r="G103" s="234"/>
      <c r="H103" s="234"/>
      <c r="I103" s="234"/>
      <c r="J103" s="234"/>
      <c r="K103" s="234"/>
      <c r="L103" s="234"/>
      <c r="M103" s="234"/>
      <c r="N103" s="234"/>
      <c r="O103" s="235"/>
    </row>
    <row r="104" spans="1:15" ht="13.6" x14ac:dyDescent="0.2">
      <c r="A104" s="232"/>
      <c r="B104" s="233"/>
      <c r="C104" s="234"/>
      <c r="D104" s="234"/>
      <c r="E104" s="234"/>
      <c r="F104" s="234"/>
      <c r="G104" s="234"/>
      <c r="H104" s="234"/>
      <c r="I104" s="234"/>
      <c r="J104" s="234"/>
      <c r="K104" s="234"/>
      <c r="L104" s="234"/>
      <c r="M104" s="234"/>
      <c r="N104" s="234"/>
      <c r="O104" s="235"/>
    </row>
    <row r="105" spans="1:15" ht="13.6" x14ac:dyDescent="0.2">
      <c r="A105" s="232"/>
      <c r="B105" s="233"/>
      <c r="C105" s="234"/>
      <c r="D105" s="234"/>
      <c r="E105" s="234"/>
      <c r="F105" s="234"/>
      <c r="G105" s="234"/>
      <c r="H105" s="234"/>
      <c r="I105" s="234"/>
      <c r="J105" s="234"/>
      <c r="K105" s="234"/>
      <c r="L105" s="234"/>
      <c r="M105" s="234"/>
      <c r="N105" s="234"/>
      <c r="O105" s="235"/>
    </row>
    <row r="106" spans="1:15" ht="13.6" x14ac:dyDescent="0.2">
      <c r="A106" s="232"/>
      <c r="B106" s="233"/>
      <c r="C106" s="234"/>
      <c r="D106" s="234"/>
      <c r="E106" s="234"/>
      <c r="F106" s="234"/>
      <c r="G106" s="234"/>
      <c r="H106" s="234"/>
      <c r="I106" s="234"/>
      <c r="J106" s="234"/>
      <c r="K106" s="234"/>
      <c r="L106" s="234"/>
      <c r="M106" s="234"/>
      <c r="N106" s="234"/>
      <c r="O106" s="235"/>
    </row>
    <row r="107" spans="1:15" ht="13.6" x14ac:dyDescent="0.2">
      <c r="A107" s="232"/>
      <c r="B107" s="233"/>
      <c r="C107" s="234"/>
      <c r="D107" s="234"/>
      <c r="E107" s="234"/>
      <c r="F107" s="234"/>
      <c r="G107" s="234"/>
      <c r="H107" s="234"/>
      <c r="I107" s="234"/>
      <c r="J107" s="234"/>
      <c r="K107" s="234"/>
      <c r="L107" s="234"/>
      <c r="M107" s="234"/>
      <c r="N107" s="234"/>
      <c r="O107" s="235"/>
    </row>
    <row r="108" spans="1:15" ht="13.6" x14ac:dyDescent="0.2">
      <c r="A108" s="232"/>
      <c r="B108" s="233"/>
      <c r="C108" s="234"/>
      <c r="D108" s="234"/>
      <c r="E108" s="234"/>
      <c r="F108" s="234"/>
      <c r="G108" s="234"/>
      <c r="H108" s="234"/>
      <c r="I108" s="234"/>
      <c r="J108" s="234"/>
      <c r="K108" s="234"/>
      <c r="L108" s="234"/>
      <c r="M108" s="234"/>
      <c r="N108" s="234"/>
      <c r="O108" s="235"/>
    </row>
    <row r="109" spans="1:15" ht="13.6" x14ac:dyDescent="0.2">
      <c r="A109" s="232"/>
      <c r="B109" s="233"/>
      <c r="C109" s="234"/>
      <c r="D109" s="234"/>
      <c r="E109" s="234"/>
      <c r="F109" s="234"/>
      <c r="G109" s="234"/>
      <c r="H109" s="234"/>
      <c r="I109" s="234"/>
      <c r="J109" s="234"/>
      <c r="K109" s="234"/>
      <c r="L109" s="234"/>
      <c r="M109" s="234"/>
      <c r="N109" s="234"/>
      <c r="O109" s="235"/>
    </row>
    <row r="110" spans="1:15" ht="13.6" x14ac:dyDescent="0.2">
      <c r="A110" s="232"/>
      <c r="B110" s="233"/>
      <c r="C110" s="234"/>
      <c r="D110" s="234"/>
      <c r="E110" s="234"/>
      <c r="F110" s="234"/>
      <c r="G110" s="234"/>
      <c r="H110" s="234"/>
      <c r="I110" s="234"/>
      <c r="J110" s="234"/>
      <c r="K110" s="234"/>
      <c r="L110" s="234"/>
      <c r="M110" s="234"/>
      <c r="N110" s="234"/>
      <c r="O110" s="235"/>
    </row>
    <row r="111" spans="1:15" ht="13.6" x14ac:dyDescent="0.2">
      <c r="A111" s="232"/>
      <c r="B111" s="233"/>
      <c r="C111" s="234"/>
      <c r="D111" s="234"/>
      <c r="E111" s="234"/>
      <c r="F111" s="234"/>
      <c r="G111" s="234"/>
      <c r="H111" s="234"/>
      <c r="I111" s="234"/>
      <c r="J111" s="234"/>
      <c r="K111" s="234"/>
      <c r="L111" s="234"/>
      <c r="M111" s="234"/>
      <c r="N111" s="234"/>
      <c r="O111" s="235"/>
    </row>
    <row r="112" spans="1:15" ht="13.6" x14ac:dyDescent="0.2">
      <c r="A112" s="232"/>
      <c r="B112" s="233"/>
      <c r="C112" s="234"/>
      <c r="D112" s="234"/>
      <c r="E112" s="234"/>
      <c r="F112" s="234"/>
      <c r="G112" s="234"/>
      <c r="H112" s="234"/>
      <c r="I112" s="234"/>
      <c r="J112" s="234"/>
      <c r="K112" s="234"/>
      <c r="L112" s="234"/>
      <c r="M112" s="234"/>
      <c r="N112" s="234"/>
      <c r="O112" s="235"/>
    </row>
    <row r="113" spans="1:16" x14ac:dyDescent="0.2">
      <c r="A113" s="243"/>
      <c r="B113" s="238"/>
      <c r="C113" s="239"/>
      <c r="D113" s="239"/>
      <c r="E113" s="239"/>
      <c r="F113" s="239"/>
      <c r="G113" s="239"/>
      <c r="H113" s="239"/>
      <c r="I113" s="239"/>
      <c r="J113" s="239"/>
      <c r="K113" s="239"/>
      <c r="L113" s="239"/>
      <c r="M113" s="239"/>
      <c r="N113" s="239"/>
      <c r="O113" s="239"/>
    </row>
    <row r="114" spans="1:16" ht="14.3" x14ac:dyDescent="0.2">
      <c r="A114" s="244"/>
      <c r="B114" s="245"/>
      <c r="C114" s="652"/>
      <c r="D114" s="653"/>
      <c r="E114" s="653"/>
      <c r="F114" s="653"/>
      <c r="G114" s="653"/>
      <c r="H114" s="653"/>
      <c r="I114" s="653"/>
      <c r="J114" s="653"/>
      <c r="K114" s="653"/>
      <c r="L114" s="653"/>
      <c r="M114" s="653"/>
      <c r="N114" s="653"/>
      <c r="O114" s="654"/>
    </row>
    <row r="115" spans="1:16" ht="13.6" x14ac:dyDescent="0.2">
      <c r="A115" s="246"/>
      <c r="B115" s="233"/>
      <c r="C115" s="234"/>
      <c r="D115" s="234"/>
      <c r="E115" s="234"/>
      <c r="F115" s="234"/>
      <c r="G115" s="234"/>
      <c r="H115" s="234"/>
      <c r="I115" s="234"/>
      <c r="J115" s="234"/>
      <c r="K115" s="234"/>
      <c r="L115" s="234"/>
      <c r="M115" s="234"/>
      <c r="N115" s="234"/>
      <c r="O115" s="235"/>
      <c r="P115" s="223"/>
    </row>
    <row r="116" spans="1:16" ht="13.6" x14ac:dyDescent="0.2">
      <c r="A116" s="232"/>
      <c r="B116" s="233"/>
      <c r="C116" s="234"/>
      <c r="D116" s="234"/>
      <c r="E116" s="234"/>
      <c r="F116" s="234"/>
      <c r="G116" s="234"/>
      <c r="H116" s="234"/>
      <c r="I116" s="234"/>
      <c r="J116" s="234"/>
      <c r="K116" s="234"/>
      <c r="L116" s="234"/>
      <c r="M116" s="234"/>
      <c r="N116" s="234"/>
      <c r="O116" s="235"/>
    </row>
    <row r="117" spans="1:16" ht="13.6" x14ac:dyDescent="0.2">
      <c r="A117" s="232"/>
      <c r="B117" s="233"/>
      <c r="C117" s="234"/>
      <c r="D117" s="234"/>
      <c r="E117" s="234"/>
      <c r="F117" s="234"/>
      <c r="G117" s="234"/>
      <c r="H117" s="234"/>
      <c r="I117" s="234"/>
      <c r="J117" s="234"/>
      <c r="K117" s="234"/>
      <c r="L117" s="234"/>
      <c r="M117" s="234"/>
      <c r="N117" s="234"/>
      <c r="O117" s="235"/>
    </row>
    <row r="118" spans="1:16" ht="13.6" x14ac:dyDescent="0.2">
      <c r="A118" s="232"/>
      <c r="B118" s="233"/>
      <c r="C118" s="234"/>
      <c r="D118" s="234"/>
      <c r="E118" s="234"/>
      <c r="F118" s="234"/>
      <c r="G118" s="234"/>
      <c r="H118" s="234"/>
      <c r="I118" s="234"/>
      <c r="J118" s="234"/>
      <c r="K118" s="234"/>
      <c r="L118" s="234"/>
      <c r="M118" s="234"/>
      <c r="N118" s="234"/>
      <c r="O118" s="235"/>
    </row>
    <row r="119" spans="1:16" x14ac:dyDescent="0.2">
      <c r="A119" s="243"/>
      <c r="B119" s="238"/>
      <c r="C119" s="239"/>
      <c r="D119" s="239"/>
      <c r="E119" s="239"/>
      <c r="F119" s="239"/>
      <c r="G119" s="239"/>
      <c r="H119" s="239"/>
      <c r="I119" s="239"/>
      <c r="J119" s="239"/>
      <c r="K119" s="239"/>
      <c r="L119" s="239"/>
      <c r="M119" s="239"/>
      <c r="N119" s="239"/>
      <c r="O119" s="239"/>
    </row>
    <row r="120" spans="1:16" ht="14.3" x14ac:dyDescent="0.2">
      <c r="A120" s="247"/>
      <c r="B120" s="248"/>
      <c r="C120" s="655"/>
      <c r="D120" s="656"/>
      <c r="E120" s="656"/>
      <c r="F120" s="656"/>
      <c r="G120" s="656"/>
      <c r="H120" s="656"/>
      <c r="I120" s="656"/>
      <c r="J120" s="656"/>
      <c r="K120" s="656"/>
      <c r="L120" s="656"/>
      <c r="M120" s="656"/>
      <c r="N120" s="656"/>
      <c r="O120" s="657"/>
    </row>
    <row r="121" spans="1:16" ht="13.6" x14ac:dyDescent="0.2">
      <c r="A121" s="232"/>
      <c r="B121" s="233"/>
      <c r="C121" s="234"/>
      <c r="D121" s="234"/>
      <c r="E121" s="234"/>
      <c r="F121" s="234"/>
      <c r="G121" s="234"/>
      <c r="H121" s="234"/>
      <c r="I121" s="234"/>
      <c r="J121" s="234"/>
      <c r="K121" s="234"/>
      <c r="L121" s="234"/>
      <c r="M121" s="234"/>
      <c r="N121" s="234"/>
      <c r="O121" s="235"/>
    </row>
    <row r="122" spans="1:16" ht="13.6" x14ac:dyDescent="0.2">
      <c r="A122" s="232"/>
      <c r="B122" s="233"/>
      <c r="C122" s="234"/>
      <c r="D122" s="234"/>
      <c r="E122" s="234"/>
      <c r="F122" s="234"/>
      <c r="G122" s="234"/>
      <c r="H122" s="234"/>
      <c r="I122" s="234"/>
      <c r="J122" s="234"/>
      <c r="K122" s="234"/>
      <c r="L122" s="234"/>
      <c r="M122" s="234"/>
      <c r="N122" s="234"/>
      <c r="O122" s="235"/>
    </row>
    <row r="123" spans="1:16" ht="13.6" x14ac:dyDescent="0.2">
      <c r="A123" s="232"/>
      <c r="B123" s="233"/>
      <c r="C123" s="234"/>
      <c r="D123" s="234"/>
      <c r="E123" s="234"/>
      <c r="F123" s="234"/>
      <c r="G123" s="234"/>
      <c r="H123" s="234"/>
      <c r="I123" s="234"/>
      <c r="J123" s="234"/>
      <c r="K123" s="234"/>
      <c r="L123" s="234"/>
      <c r="M123" s="234"/>
      <c r="N123" s="234"/>
      <c r="O123" s="235"/>
    </row>
    <row r="124" spans="1:16" ht="13.6" x14ac:dyDescent="0.2">
      <c r="A124" s="232"/>
      <c r="B124" s="233"/>
      <c r="C124" s="234"/>
      <c r="D124" s="234"/>
      <c r="E124" s="234"/>
      <c r="F124" s="234"/>
      <c r="G124" s="234"/>
      <c r="H124" s="234"/>
      <c r="I124" s="234"/>
      <c r="J124" s="234"/>
      <c r="K124" s="234"/>
      <c r="L124" s="234"/>
      <c r="M124" s="234"/>
      <c r="N124" s="234"/>
      <c r="O124" s="235"/>
    </row>
    <row r="125" spans="1:16" ht="13.6" x14ac:dyDescent="0.2">
      <c r="A125" s="232"/>
      <c r="B125" s="233"/>
      <c r="C125" s="234"/>
      <c r="D125" s="234"/>
      <c r="E125" s="234"/>
      <c r="F125" s="234"/>
      <c r="G125" s="234"/>
      <c r="H125" s="234"/>
      <c r="I125" s="234"/>
      <c r="J125" s="234"/>
      <c r="K125" s="234"/>
      <c r="L125" s="234"/>
      <c r="M125" s="234"/>
      <c r="N125" s="234"/>
      <c r="O125" s="235"/>
    </row>
    <row r="126" spans="1:16" ht="13.6" x14ac:dyDescent="0.2">
      <c r="A126" s="232"/>
      <c r="B126" s="233"/>
      <c r="C126" s="234"/>
      <c r="D126" s="234"/>
      <c r="E126" s="234"/>
      <c r="F126" s="234"/>
      <c r="G126" s="234"/>
      <c r="H126" s="234"/>
      <c r="I126" s="234"/>
      <c r="J126" s="234"/>
      <c r="K126" s="234"/>
      <c r="L126" s="234"/>
      <c r="M126" s="234"/>
      <c r="N126" s="234"/>
      <c r="O126" s="235"/>
    </row>
    <row r="127" spans="1:16" ht="13.6" x14ac:dyDescent="0.2">
      <c r="A127" s="232"/>
      <c r="B127" s="233"/>
      <c r="C127" s="234"/>
      <c r="D127" s="234"/>
      <c r="E127" s="234"/>
      <c r="F127" s="234"/>
      <c r="G127" s="234"/>
      <c r="H127" s="234"/>
      <c r="I127" s="234"/>
      <c r="J127" s="234"/>
      <c r="K127" s="234"/>
      <c r="L127" s="234"/>
      <c r="M127" s="234"/>
      <c r="N127" s="234"/>
      <c r="O127" s="235"/>
    </row>
    <row r="128" spans="1:16" ht="13.6" x14ac:dyDescent="0.2">
      <c r="A128" s="232"/>
      <c r="B128" s="233"/>
      <c r="C128" s="234"/>
      <c r="D128" s="234"/>
      <c r="E128" s="234"/>
      <c r="F128" s="234"/>
      <c r="G128" s="234"/>
      <c r="H128" s="234"/>
      <c r="I128" s="234"/>
      <c r="J128" s="234"/>
      <c r="K128" s="234"/>
      <c r="L128" s="234"/>
      <c r="M128" s="234"/>
      <c r="N128" s="234"/>
      <c r="O128" s="235"/>
    </row>
    <row r="129" spans="1:16" ht="13.6" x14ac:dyDescent="0.2">
      <c r="A129" s="232"/>
      <c r="B129" s="233"/>
      <c r="C129" s="234"/>
      <c r="D129" s="234"/>
      <c r="E129" s="234"/>
      <c r="F129" s="234"/>
      <c r="G129" s="234"/>
      <c r="H129" s="234"/>
      <c r="I129" s="234"/>
      <c r="J129" s="234"/>
      <c r="K129" s="234"/>
      <c r="L129" s="234"/>
      <c r="M129" s="234"/>
      <c r="N129" s="234"/>
      <c r="O129" s="235"/>
    </row>
    <row r="130" spans="1:16" x14ac:dyDescent="0.2">
      <c r="A130" s="243"/>
      <c r="B130" s="238"/>
      <c r="C130" s="239"/>
      <c r="D130" s="239"/>
      <c r="E130" s="239"/>
      <c r="F130" s="239"/>
      <c r="G130" s="239"/>
      <c r="H130" s="239"/>
      <c r="I130" s="239"/>
      <c r="J130" s="239"/>
      <c r="K130" s="239"/>
      <c r="L130" s="239"/>
      <c r="M130" s="239"/>
      <c r="N130" s="239"/>
      <c r="O130" s="239"/>
    </row>
    <row r="131" spans="1:16" ht="14.3" x14ac:dyDescent="0.2">
      <c r="A131" s="249"/>
      <c r="B131" s="250"/>
      <c r="C131" s="658"/>
      <c r="D131" s="659"/>
      <c r="E131" s="659"/>
      <c r="F131" s="659"/>
      <c r="G131" s="659"/>
      <c r="H131" s="659"/>
      <c r="I131" s="659"/>
      <c r="J131" s="659"/>
      <c r="K131" s="659"/>
      <c r="L131" s="659"/>
      <c r="M131" s="659"/>
      <c r="N131" s="659"/>
      <c r="O131" s="660"/>
    </row>
    <row r="132" spans="1:16" ht="13.6" x14ac:dyDescent="0.2">
      <c r="A132" s="232"/>
      <c r="B132" s="233"/>
      <c r="C132" s="234"/>
      <c r="D132" s="234"/>
      <c r="E132" s="234"/>
      <c r="F132" s="234"/>
      <c r="G132" s="234"/>
      <c r="H132" s="234"/>
      <c r="I132" s="234"/>
      <c r="J132" s="234"/>
      <c r="K132" s="234"/>
      <c r="L132" s="234"/>
      <c r="M132" s="234"/>
      <c r="N132" s="234"/>
      <c r="O132" s="235"/>
      <c r="P132" s="223"/>
    </row>
    <row r="133" spans="1:16" ht="13.6" x14ac:dyDescent="0.2">
      <c r="A133" s="232"/>
      <c r="B133" s="233"/>
      <c r="C133" s="234"/>
      <c r="D133" s="234"/>
      <c r="E133" s="234"/>
      <c r="F133" s="234"/>
      <c r="G133" s="234"/>
      <c r="H133" s="234"/>
      <c r="I133" s="234"/>
      <c r="J133" s="234"/>
      <c r="K133" s="234"/>
      <c r="L133" s="234"/>
      <c r="M133" s="234"/>
      <c r="N133" s="234"/>
      <c r="O133" s="235"/>
    </row>
    <row r="134" spans="1:16" x14ac:dyDescent="0.2">
      <c r="A134" s="243"/>
      <c r="B134" s="238"/>
      <c r="C134" s="239"/>
      <c r="D134" s="239"/>
      <c r="E134" s="239"/>
      <c r="F134" s="239"/>
      <c r="G134" s="239"/>
      <c r="H134" s="239"/>
      <c r="I134" s="239"/>
      <c r="J134" s="239"/>
      <c r="K134" s="239"/>
      <c r="L134" s="239"/>
      <c r="M134" s="239"/>
      <c r="N134" s="239"/>
      <c r="O134" s="239"/>
    </row>
    <row r="135" spans="1:16" ht="14.3" x14ac:dyDescent="0.2">
      <c r="A135" s="251"/>
      <c r="B135" s="251"/>
      <c r="C135" s="252"/>
      <c r="D135" s="252"/>
      <c r="E135" s="252"/>
      <c r="F135" s="252"/>
      <c r="G135" s="252"/>
      <c r="H135" s="252"/>
      <c r="I135" s="252"/>
      <c r="J135" s="252"/>
      <c r="K135" s="252"/>
      <c r="L135" s="252"/>
      <c r="M135" s="252"/>
      <c r="N135" s="252"/>
      <c r="O135" s="252"/>
    </row>
    <row r="136" spans="1:16" ht="14.3" x14ac:dyDescent="0.2">
      <c r="A136" s="253"/>
      <c r="B136" s="254"/>
      <c r="C136" s="661"/>
      <c r="D136" s="662"/>
      <c r="E136" s="662"/>
      <c r="F136" s="662"/>
      <c r="G136" s="662"/>
      <c r="H136" s="662"/>
      <c r="I136" s="662"/>
      <c r="J136" s="662"/>
      <c r="K136" s="662"/>
      <c r="L136" s="662"/>
      <c r="M136" s="662"/>
      <c r="N136" s="662"/>
      <c r="O136" s="663"/>
    </row>
    <row r="137" spans="1:16" x14ac:dyDescent="0.2">
      <c r="A137" s="246"/>
      <c r="B137" s="243"/>
      <c r="C137" s="252"/>
      <c r="D137" s="252"/>
      <c r="E137" s="252"/>
      <c r="F137" s="252"/>
      <c r="G137" s="252"/>
      <c r="H137" s="252"/>
      <c r="I137" s="252"/>
      <c r="J137" s="252"/>
      <c r="K137" s="252"/>
      <c r="L137" s="252"/>
      <c r="M137" s="252"/>
      <c r="N137" s="252"/>
      <c r="O137" s="252"/>
      <c r="P137" s="223"/>
    </row>
    <row r="138" spans="1:16" ht="13.6" x14ac:dyDescent="0.2">
      <c r="A138" s="232"/>
      <c r="B138" s="243"/>
      <c r="C138" s="234"/>
      <c r="D138" s="234"/>
      <c r="E138" s="234"/>
      <c r="F138" s="234"/>
      <c r="G138" s="234"/>
      <c r="H138" s="234"/>
      <c r="I138" s="234"/>
      <c r="J138" s="234"/>
      <c r="K138" s="234"/>
      <c r="L138" s="234"/>
      <c r="M138" s="234"/>
      <c r="N138" s="234"/>
      <c r="O138" s="235"/>
    </row>
    <row r="139" spans="1:16" ht="13.6" x14ac:dyDescent="0.2">
      <c r="A139" s="232"/>
      <c r="B139" s="233"/>
      <c r="C139" s="234"/>
      <c r="D139" s="234"/>
      <c r="E139" s="234"/>
      <c r="F139" s="234"/>
      <c r="G139" s="234"/>
      <c r="H139" s="234"/>
      <c r="I139" s="234"/>
      <c r="J139" s="234"/>
      <c r="K139" s="234"/>
      <c r="L139" s="234"/>
      <c r="M139" s="234"/>
      <c r="N139" s="234"/>
      <c r="O139" s="235"/>
    </row>
    <row r="140" spans="1:16" ht="13.6" x14ac:dyDescent="0.2">
      <c r="A140" s="232"/>
      <c r="B140" s="233"/>
      <c r="C140" s="234"/>
      <c r="D140" s="234"/>
      <c r="E140" s="234"/>
      <c r="F140" s="234"/>
      <c r="G140" s="234"/>
      <c r="H140" s="255"/>
      <c r="I140" s="234"/>
      <c r="J140" s="234"/>
      <c r="K140" s="234"/>
      <c r="L140" s="234"/>
      <c r="M140" s="234"/>
      <c r="N140" s="234"/>
      <c r="O140" s="235"/>
    </row>
    <row r="141" spans="1:16" ht="13.6" x14ac:dyDescent="0.2">
      <c r="A141" s="232"/>
      <c r="B141" s="233"/>
      <c r="C141" s="234"/>
      <c r="D141" s="234"/>
      <c r="E141" s="234"/>
      <c r="F141" s="234"/>
      <c r="G141" s="234"/>
      <c r="H141" s="255"/>
      <c r="I141" s="234"/>
      <c r="J141" s="234"/>
      <c r="K141" s="234"/>
      <c r="L141" s="234"/>
      <c r="M141" s="234"/>
      <c r="N141" s="234"/>
      <c r="O141" s="235"/>
    </row>
    <row r="142" spans="1:16" ht="13.6" x14ac:dyDescent="0.2">
      <c r="A142" s="232"/>
      <c r="B142" s="233"/>
      <c r="C142" s="234"/>
      <c r="D142" s="234"/>
      <c r="E142" s="234"/>
      <c r="F142" s="234"/>
      <c r="G142" s="234"/>
      <c r="H142" s="255"/>
      <c r="I142" s="234"/>
      <c r="J142" s="234"/>
      <c r="K142" s="234"/>
      <c r="L142" s="234"/>
      <c r="M142" s="234"/>
      <c r="N142" s="234"/>
      <c r="O142" s="235"/>
    </row>
    <row r="143" spans="1:16" x14ac:dyDescent="0.2">
      <c r="A143" s="243"/>
      <c r="B143" s="238"/>
      <c r="C143" s="239"/>
      <c r="D143" s="239"/>
      <c r="E143" s="239"/>
      <c r="F143" s="239"/>
      <c r="G143" s="239"/>
      <c r="H143" s="239"/>
      <c r="I143" s="239"/>
      <c r="J143" s="239"/>
      <c r="K143" s="239"/>
      <c r="L143" s="239"/>
      <c r="M143" s="239"/>
      <c r="N143" s="239"/>
      <c r="O143" s="239"/>
    </row>
    <row r="144" spans="1:16" ht="15.65" x14ac:dyDescent="0.2">
      <c r="A144" s="256"/>
      <c r="B144" s="257"/>
      <c r="C144" s="258"/>
      <c r="D144" s="258"/>
      <c r="E144" s="258"/>
      <c r="F144" s="258"/>
      <c r="G144" s="258"/>
      <c r="H144" s="258"/>
      <c r="I144" s="258"/>
      <c r="J144" s="258"/>
      <c r="K144" s="258"/>
      <c r="L144" s="258"/>
      <c r="M144" s="258"/>
      <c r="N144" s="258"/>
      <c r="O144" s="258"/>
    </row>
    <row r="146" spans="1:16" x14ac:dyDescent="0.2">
      <c r="A146" s="664"/>
      <c r="B146" s="665"/>
      <c r="C146" s="665"/>
      <c r="D146" s="665"/>
      <c r="E146" s="665"/>
      <c r="F146" s="665"/>
      <c r="G146" s="665"/>
      <c r="H146" s="665"/>
      <c r="I146" s="665"/>
      <c r="J146" s="665"/>
      <c r="K146" s="665"/>
      <c r="L146" s="665"/>
      <c r="M146" s="665"/>
      <c r="N146" s="665"/>
      <c r="O146" s="666"/>
    </row>
    <row r="147" spans="1:16" ht="15.65" x14ac:dyDescent="0.25">
      <c r="A147" s="642"/>
      <c r="B147" s="642"/>
      <c r="C147" s="642"/>
      <c r="D147" s="642"/>
      <c r="E147" s="642"/>
      <c r="F147" s="642"/>
      <c r="G147" s="642"/>
      <c r="H147" s="642"/>
      <c r="I147" s="642"/>
      <c r="J147" s="642"/>
      <c r="K147" s="642"/>
      <c r="L147" s="642"/>
      <c r="M147" s="642"/>
      <c r="N147" s="642"/>
      <c r="O147" s="643"/>
      <c r="P147" s="259"/>
    </row>
    <row r="148" spans="1:16" x14ac:dyDescent="0.2">
      <c r="A148" s="667"/>
      <c r="B148" s="667"/>
      <c r="C148" s="667"/>
      <c r="D148" s="667"/>
      <c r="E148" s="667"/>
      <c r="F148" s="667"/>
      <c r="G148" s="667"/>
      <c r="H148" s="667"/>
      <c r="I148" s="667"/>
      <c r="J148" s="667"/>
      <c r="K148" s="667"/>
      <c r="L148" s="667"/>
      <c r="M148" s="667"/>
      <c r="N148" s="667"/>
      <c r="O148" s="671"/>
    </row>
    <row r="149" spans="1:16" x14ac:dyDescent="0.2">
      <c r="A149" s="668"/>
      <c r="B149" s="667"/>
      <c r="C149" s="667"/>
      <c r="D149" s="667"/>
      <c r="E149" s="667"/>
      <c r="F149" s="667"/>
      <c r="G149" s="667"/>
      <c r="H149" s="667"/>
      <c r="I149" s="667"/>
      <c r="J149" s="667"/>
      <c r="K149" s="667"/>
      <c r="L149" s="667"/>
      <c r="M149" s="667"/>
      <c r="N149" s="667"/>
      <c r="O149" s="671"/>
      <c r="P149" s="259"/>
    </row>
    <row r="150" spans="1:16" x14ac:dyDescent="0.2">
      <c r="A150" s="667"/>
      <c r="B150" s="667"/>
      <c r="C150" s="667"/>
      <c r="D150" s="667"/>
      <c r="E150" s="667"/>
      <c r="F150" s="667"/>
      <c r="G150" s="667"/>
      <c r="H150" s="667"/>
      <c r="I150" s="667"/>
      <c r="J150" s="667"/>
      <c r="K150" s="667"/>
      <c r="L150" s="667"/>
      <c r="M150" s="667"/>
      <c r="N150" s="667"/>
      <c r="O150" s="667"/>
      <c r="P150" s="259"/>
    </row>
    <row r="151" spans="1:16" x14ac:dyDescent="0.2">
      <c r="A151" s="667"/>
      <c r="B151" s="667"/>
      <c r="C151" s="667"/>
      <c r="D151" s="667"/>
      <c r="E151" s="667"/>
      <c r="F151" s="667"/>
      <c r="G151" s="667"/>
      <c r="H151" s="667"/>
      <c r="I151" s="667"/>
      <c r="J151" s="667"/>
      <c r="K151" s="667"/>
      <c r="L151" s="667"/>
      <c r="M151" s="667"/>
      <c r="N151" s="667"/>
      <c r="O151" s="667"/>
      <c r="P151" s="259"/>
    </row>
    <row r="152" spans="1:16" x14ac:dyDescent="0.2">
      <c r="A152" s="694"/>
      <c r="B152" s="694"/>
      <c r="C152" s="694"/>
      <c r="D152" s="694"/>
      <c r="E152" s="694"/>
      <c r="F152" s="694"/>
      <c r="G152" s="694"/>
      <c r="H152" s="694"/>
      <c r="I152" s="694"/>
      <c r="J152" s="694"/>
      <c r="K152" s="694"/>
      <c r="L152" s="694"/>
      <c r="M152" s="694"/>
      <c r="N152" s="694"/>
      <c r="O152" s="694"/>
      <c r="P152" s="259"/>
    </row>
    <row r="153" spans="1:16" x14ac:dyDescent="0.2">
      <c r="A153" s="667"/>
      <c r="B153" s="667"/>
      <c r="C153" s="667"/>
      <c r="D153" s="667"/>
      <c r="E153" s="667"/>
      <c r="F153" s="667"/>
      <c r="G153" s="667"/>
      <c r="H153" s="667"/>
      <c r="I153" s="667"/>
      <c r="J153" s="667"/>
      <c r="K153" s="667"/>
      <c r="L153" s="667"/>
      <c r="M153" s="667"/>
      <c r="N153" s="667"/>
      <c r="O153" s="667"/>
      <c r="P153" s="259"/>
    </row>
    <row r="154" spans="1:16" x14ac:dyDescent="0.2">
      <c r="A154" s="667"/>
      <c r="B154" s="667"/>
      <c r="C154" s="667"/>
      <c r="D154" s="667"/>
      <c r="E154" s="667"/>
      <c r="F154" s="667"/>
      <c r="G154" s="667"/>
      <c r="H154" s="667"/>
      <c r="I154" s="667"/>
      <c r="J154" s="667"/>
      <c r="K154" s="667"/>
      <c r="L154" s="667"/>
      <c r="M154" s="667"/>
      <c r="N154" s="667"/>
      <c r="O154" s="667"/>
      <c r="P154" s="259"/>
    </row>
    <row r="155" spans="1:16" x14ac:dyDescent="0.2">
      <c r="A155" s="668"/>
      <c r="B155" s="667"/>
      <c r="C155" s="667"/>
      <c r="D155" s="667"/>
      <c r="E155" s="667"/>
      <c r="F155" s="667"/>
      <c r="G155" s="667"/>
      <c r="H155" s="667"/>
      <c r="I155" s="667"/>
      <c r="J155" s="667"/>
      <c r="K155" s="667"/>
      <c r="L155" s="667"/>
      <c r="M155" s="667"/>
      <c r="N155" s="667"/>
      <c r="O155" s="667"/>
      <c r="P155" s="259"/>
    </row>
    <row r="156" spans="1:16" ht="13.6" thickBot="1" x14ac:dyDescent="0.25">
      <c r="A156" s="669"/>
      <c r="B156" s="669"/>
      <c r="C156" s="669"/>
      <c r="D156" s="669"/>
      <c r="E156" s="669"/>
      <c r="F156" s="669"/>
      <c r="G156" s="669"/>
      <c r="H156" s="669"/>
      <c r="I156" s="669"/>
      <c r="J156" s="669"/>
      <c r="K156" s="669"/>
      <c r="L156" s="669"/>
      <c r="M156" s="669"/>
      <c r="N156" s="669"/>
      <c r="O156" s="670"/>
    </row>
  </sheetData>
  <sheetProtection sheet="1" objects="1" scenarios="1"/>
  <mergeCells count="38">
    <mergeCell ref="A155:O155"/>
    <mergeCell ref="A156:O156"/>
    <mergeCell ref="A149:O149"/>
    <mergeCell ref="A150:O150"/>
    <mergeCell ref="A151:O151"/>
    <mergeCell ref="A152:O152"/>
    <mergeCell ref="A153:O153"/>
    <mergeCell ref="A154:O154"/>
    <mergeCell ref="A148:O148"/>
    <mergeCell ref="A81:O81"/>
    <mergeCell ref="A82:O82"/>
    <mergeCell ref="C83:O83"/>
    <mergeCell ref="Q83:U83"/>
    <mergeCell ref="C98:O98"/>
    <mergeCell ref="C114:O114"/>
    <mergeCell ref="C120:O120"/>
    <mergeCell ref="C131:O131"/>
    <mergeCell ref="C136:O136"/>
    <mergeCell ref="A146:O146"/>
    <mergeCell ref="A147:O147"/>
    <mergeCell ref="A80:O80"/>
    <mergeCell ref="C23:O23"/>
    <mergeCell ref="C39:O39"/>
    <mergeCell ref="C45:O45"/>
    <mergeCell ref="C56:O56"/>
    <mergeCell ref="C61:O61"/>
    <mergeCell ref="A71:O71"/>
    <mergeCell ref="A72:O75"/>
    <mergeCell ref="A76:O76"/>
    <mergeCell ref="A77:O77"/>
    <mergeCell ref="A78:O78"/>
    <mergeCell ref="A79:O79"/>
    <mergeCell ref="Q8:U8"/>
    <mergeCell ref="A2:O2"/>
    <mergeCell ref="A4:O4"/>
    <mergeCell ref="A6:O6"/>
    <mergeCell ref="A7:O7"/>
    <mergeCell ref="C8:O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895"/>
  <sheetViews>
    <sheetView topLeftCell="A318" workbookViewId="0">
      <selection activeCell="F333" sqref="F333:F335"/>
    </sheetView>
  </sheetViews>
  <sheetFormatPr baseColWidth="10" defaultColWidth="11.375" defaultRowHeight="12.9" x14ac:dyDescent="0.2"/>
  <cols>
    <col min="1" max="1" width="3.625" style="189" customWidth="1"/>
    <col min="2" max="2" width="3.75" style="189" customWidth="1"/>
    <col min="3" max="3" width="8.375" style="189" customWidth="1"/>
    <col min="4" max="4" width="8.125" style="189" customWidth="1"/>
    <col min="5" max="5" width="9.625" style="189" customWidth="1"/>
    <col min="6" max="6" width="10" style="189" customWidth="1"/>
    <col min="7" max="7" width="27.625" style="189" bestFit="1" customWidth="1"/>
    <col min="8" max="8" width="25.875" style="189" customWidth="1"/>
    <col min="9" max="9" width="27.25" style="189" customWidth="1"/>
    <col min="10" max="10" width="8.125" style="189" customWidth="1"/>
    <col min="11" max="11" width="8.375" style="189" customWidth="1"/>
    <col min="12" max="12" width="10" style="189" customWidth="1"/>
    <col min="13" max="13" width="9" style="189" customWidth="1"/>
    <col min="14" max="14" width="28.625" style="189" customWidth="1"/>
    <col min="16" max="16" width="11.375" style="189"/>
    <col min="17" max="17" width="69.5" style="189" bestFit="1" customWidth="1"/>
    <col min="18" max="16384" width="11.375" style="189"/>
  </cols>
  <sheetData>
    <row r="1" spans="1:17" ht="12.75" customHeight="1" x14ac:dyDescent="0.2">
      <c r="A1" s="353" t="s">
        <v>2696</v>
      </c>
      <c r="B1" s="353"/>
      <c r="C1" s="353"/>
      <c r="D1" s="353"/>
      <c r="E1" s="353"/>
      <c r="F1" s="353"/>
      <c r="G1" s="353"/>
      <c r="H1" s="353"/>
      <c r="I1" s="353"/>
      <c r="J1" s="353"/>
      <c r="K1" s="353"/>
      <c r="L1" s="353"/>
      <c r="M1" s="353"/>
      <c r="N1" s="353"/>
    </row>
    <row r="2" spans="1:17" ht="12.75" customHeight="1" x14ac:dyDescent="0.2">
      <c r="A2" s="353"/>
      <c r="B2" s="353"/>
      <c r="C2" s="353"/>
      <c r="D2" s="353"/>
      <c r="E2" s="353"/>
      <c r="F2" s="353"/>
      <c r="G2" s="353"/>
      <c r="H2" s="353"/>
      <c r="I2" s="353"/>
      <c r="J2" s="353"/>
      <c r="K2" s="353"/>
      <c r="L2" s="353"/>
      <c r="M2" s="353"/>
      <c r="N2" s="353"/>
    </row>
    <row r="3" spans="1:17" x14ac:dyDescent="0.2">
      <c r="A3" s="695" t="s">
        <v>2697</v>
      </c>
      <c r="B3" s="695" t="s">
        <v>2698</v>
      </c>
      <c r="C3" s="697" t="s">
        <v>2699</v>
      </c>
      <c r="D3" s="697" t="s">
        <v>2700</v>
      </c>
      <c r="E3" s="699" t="s">
        <v>2701</v>
      </c>
      <c r="F3" s="701" t="s">
        <v>2702</v>
      </c>
      <c r="G3" s="695" t="s">
        <v>2703</v>
      </c>
      <c r="H3" s="695" t="s">
        <v>2704</v>
      </c>
      <c r="I3" s="695" t="s">
        <v>2705</v>
      </c>
      <c r="J3" s="695" t="s">
        <v>2706</v>
      </c>
      <c r="K3" s="695" t="s">
        <v>2707</v>
      </c>
      <c r="L3" s="697" t="s">
        <v>2708</v>
      </c>
      <c r="M3" s="697" t="s">
        <v>2709</v>
      </c>
      <c r="N3" s="695" t="s">
        <v>2710</v>
      </c>
    </row>
    <row r="4" spans="1:17" x14ac:dyDescent="0.2">
      <c r="A4" s="696"/>
      <c r="B4" s="696"/>
      <c r="C4" s="698"/>
      <c r="D4" s="698"/>
      <c r="E4" s="700"/>
      <c r="F4" s="702"/>
      <c r="G4" s="696"/>
      <c r="H4" s="696"/>
      <c r="I4" s="696"/>
      <c r="J4" s="696"/>
      <c r="K4" s="696"/>
      <c r="L4" s="698"/>
      <c r="M4" s="698"/>
      <c r="N4" s="696"/>
    </row>
    <row r="5" spans="1:17" x14ac:dyDescent="0.2">
      <c r="A5" s="190">
        <v>1</v>
      </c>
      <c r="B5" s="190">
        <v>1</v>
      </c>
      <c r="C5" s="191" t="s">
        <v>2711</v>
      </c>
      <c r="D5" s="191" t="s">
        <v>2712</v>
      </c>
      <c r="E5" s="190">
        <v>5</v>
      </c>
      <c r="F5" s="191" t="s">
        <v>2713</v>
      </c>
      <c r="G5" s="190" t="s">
        <v>2714</v>
      </c>
      <c r="H5" s="190" t="s">
        <v>2715</v>
      </c>
      <c r="I5" s="190" t="s">
        <v>2716</v>
      </c>
      <c r="J5" s="190" t="s">
        <v>2717</v>
      </c>
      <c r="K5" s="190"/>
      <c r="L5" s="190"/>
      <c r="M5" s="190"/>
      <c r="N5" s="190" t="s">
        <v>2718</v>
      </c>
      <c r="Q5" s="352"/>
    </row>
    <row r="6" spans="1:17" x14ac:dyDescent="0.2">
      <c r="A6" s="190">
        <v>2</v>
      </c>
      <c r="B6" s="190">
        <v>1</v>
      </c>
      <c r="C6" s="191" t="s">
        <v>2719</v>
      </c>
      <c r="D6" s="191" t="s">
        <v>2720</v>
      </c>
      <c r="E6" s="190">
        <v>5</v>
      </c>
      <c r="F6" s="191" t="s">
        <v>2713</v>
      </c>
      <c r="G6" s="190" t="s">
        <v>2721</v>
      </c>
      <c r="H6" s="190" t="s">
        <v>2722</v>
      </c>
      <c r="I6" s="190" t="s">
        <v>2723</v>
      </c>
      <c r="J6" s="190" t="s">
        <v>2717</v>
      </c>
      <c r="K6" s="190"/>
      <c r="L6" s="190"/>
      <c r="M6" s="190"/>
      <c r="N6" s="190" t="s">
        <v>2718</v>
      </c>
      <c r="Q6" s="352" t="s">
        <v>2161</v>
      </c>
    </row>
    <row r="7" spans="1:17" x14ac:dyDescent="0.2">
      <c r="A7" s="190">
        <v>3</v>
      </c>
      <c r="B7" s="190">
        <v>4</v>
      </c>
      <c r="C7" s="191" t="s">
        <v>2724</v>
      </c>
      <c r="D7" s="191" t="s">
        <v>2725</v>
      </c>
      <c r="E7" s="190">
        <v>5</v>
      </c>
      <c r="F7" s="191" t="s">
        <v>2726</v>
      </c>
      <c r="G7" s="190" t="s">
        <v>2721</v>
      </c>
      <c r="H7" s="190" t="s">
        <v>2727</v>
      </c>
      <c r="I7" s="190" t="s">
        <v>2728</v>
      </c>
      <c r="J7" s="190" t="s">
        <v>2729</v>
      </c>
      <c r="K7" s="190"/>
      <c r="L7" s="190"/>
      <c r="M7" s="190"/>
      <c r="N7" s="190" t="s">
        <v>2718</v>
      </c>
      <c r="Q7" s="352" t="s">
        <v>29</v>
      </c>
    </row>
    <row r="8" spans="1:17" x14ac:dyDescent="0.2">
      <c r="A8" s="190">
        <v>4</v>
      </c>
      <c r="B8" s="190">
        <v>4</v>
      </c>
      <c r="C8" s="191" t="s">
        <v>2730</v>
      </c>
      <c r="D8" s="191" t="s">
        <v>2731</v>
      </c>
      <c r="E8" s="190">
        <v>5</v>
      </c>
      <c r="F8" s="191" t="s">
        <v>2732</v>
      </c>
      <c r="G8" s="190" t="s">
        <v>2714</v>
      </c>
      <c r="H8" s="190" t="s">
        <v>2733</v>
      </c>
      <c r="I8" s="190" t="s">
        <v>2716</v>
      </c>
      <c r="J8" s="190" t="s">
        <v>2717</v>
      </c>
      <c r="K8" s="190"/>
      <c r="L8" s="190"/>
      <c r="M8" s="190"/>
      <c r="N8" s="190" t="s">
        <v>2718</v>
      </c>
      <c r="Q8" s="352" t="s">
        <v>64</v>
      </c>
    </row>
    <row r="9" spans="1:17" x14ac:dyDescent="0.2">
      <c r="A9" s="190">
        <v>5</v>
      </c>
      <c r="B9" s="190">
        <v>6</v>
      </c>
      <c r="C9" s="191" t="s">
        <v>2734</v>
      </c>
      <c r="D9" s="191" t="s">
        <v>2735</v>
      </c>
      <c r="E9" s="190">
        <v>5</v>
      </c>
      <c r="F9" s="191" t="s">
        <v>2713</v>
      </c>
      <c r="G9" s="190" t="s">
        <v>2736</v>
      </c>
      <c r="H9" s="190" t="s">
        <v>2737</v>
      </c>
      <c r="I9" s="190" t="s">
        <v>2716</v>
      </c>
      <c r="J9" s="190"/>
      <c r="K9" s="190" t="s">
        <v>2717</v>
      </c>
      <c r="L9" s="190"/>
      <c r="M9" s="190"/>
      <c r="N9" s="190" t="s">
        <v>2738</v>
      </c>
      <c r="Q9" s="352" t="s">
        <v>451</v>
      </c>
    </row>
    <row r="10" spans="1:17" x14ac:dyDescent="0.2">
      <c r="A10" s="190">
        <v>6</v>
      </c>
      <c r="B10" s="190">
        <v>7</v>
      </c>
      <c r="C10" s="191" t="s">
        <v>2739</v>
      </c>
      <c r="D10" s="191" t="s">
        <v>2740</v>
      </c>
      <c r="E10" s="190">
        <v>2</v>
      </c>
      <c r="F10" s="191" t="s">
        <v>2713</v>
      </c>
      <c r="G10" s="190" t="s">
        <v>2741</v>
      </c>
      <c r="H10" s="190" t="s">
        <v>2742</v>
      </c>
      <c r="I10" s="190" t="s">
        <v>2716</v>
      </c>
      <c r="J10" s="190" t="s">
        <v>2743</v>
      </c>
      <c r="K10" s="190"/>
      <c r="L10" s="190"/>
      <c r="M10" s="190"/>
      <c r="N10" s="190" t="s">
        <v>2738</v>
      </c>
      <c r="Q10" s="352" t="s">
        <v>244</v>
      </c>
    </row>
    <row r="11" spans="1:17" x14ac:dyDescent="0.2">
      <c r="A11" s="190">
        <v>7</v>
      </c>
      <c r="B11" s="190">
        <v>7</v>
      </c>
      <c r="C11" s="191" t="s">
        <v>2744</v>
      </c>
      <c r="D11" s="191" t="s">
        <v>2745</v>
      </c>
      <c r="E11" s="190">
        <v>5</v>
      </c>
      <c r="F11" s="191" t="s">
        <v>2746</v>
      </c>
      <c r="G11" s="190" t="s">
        <v>2714</v>
      </c>
      <c r="H11" s="190" t="s">
        <v>2747</v>
      </c>
      <c r="I11" s="190" t="s">
        <v>2716</v>
      </c>
      <c r="J11" s="190" t="s">
        <v>2717</v>
      </c>
      <c r="K11" s="190"/>
      <c r="L11" s="190"/>
      <c r="M11" s="190"/>
      <c r="N11" s="190" t="s">
        <v>2748</v>
      </c>
      <c r="Q11" s="352" t="s">
        <v>888</v>
      </c>
    </row>
    <row r="12" spans="1:17" x14ac:dyDescent="0.2">
      <c r="A12" s="190">
        <v>8</v>
      </c>
      <c r="B12" s="190">
        <v>10</v>
      </c>
      <c r="C12" s="191" t="s">
        <v>2749</v>
      </c>
      <c r="D12" s="191" t="s">
        <v>2750</v>
      </c>
      <c r="E12" s="190">
        <v>2</v>
      </c>
      <c r="F12" s="191" t="s">
        <v>2732</v>
      </c>
      <c r="G12" s="190" t="s">
        <v>2751</v>
      </c>
      <c r="H12" s="190" t="s">
        <v>2752</v>
      </c>
      <c r="I12" s="190" t="s">
        <v>2716</v>
      </c>
      <c r="J12" s="190" t="s">
        <v>2743</v>
      </c>
      <c r="K12" s="190"/>
      <c r="L12" s="190"/>
      <c r="M12" s="190"/>
      <c r="N12" s="190" t="s">
        <v>2753</v>
      </c>
      <c r="Q12" s="352" t="s">
        <v>656</v>
      </c>
    </row>
    <row r="13" spans="1:17" x14ac:dyDescent="0.2">
      <c r="A13" s="190">
        <v>9</v>
      </c>
      <c r="B13" s="190">
        <v>13</v>
      </c>
      <c r="C13" s="191" t="s">
        <v>2754</v>
      </c>
      <c r="D13" s="191" t="s">
        <v>2755</v>
      </c>
      <c r="E13" s="190">
        <v>5</v>
      </c>
      <c r="F13" s="191" t="s">
        <v>2713</v>
      </c>
      <c r="G13" s="190" t="s">
        <v>2714</v>
      </c>
      <c r="H13" s="190" t="s">
        <v>2756</v>
      </c>
      <c r="I13" s="190" t="s">
        <v>2716</v>
      </c>
      <c r="J13" s="190" t="s">
        <v>2717</v>
      </c>
      <c r="K13" s="190"/>
      <c r="L13" s="190"/>
      <c r="M13" s="190"/>
      <c r="N13" s="190" t="s">
        <v>2738</v>
      </c>
      <c r="Q13" s="352" t="s">
        <v>2401</v>
      </c>
    </row>
    <row r="14" spans="1:17" x14ac:dyDescent="0.2">
      <c r="A14" s="190">
        <v>10</v>
      </c>
      <c r="B14" s="190">
        <v>14</v>
      </c>
      <c r="C14" s="191" t="s">
        <v>2757</v>
      </c>
      <c r="D14" s="191" t="s">
        <v>2758</v>
      </c>
      <c r="E14" s="190">
        <v>1</v>
      </c>
      <c r="F14" s="191" t="s">
        <v>2713</v>
      </c>
      <c r="G14" s="190" t="s">
        <v>2751</v>
      </c>
      <c r="H14" s="190" t="s">
        <v>2759</v>
      </c>
      <c r="I14" s="190" t="s">
        <v>2716</v>
      </c>
      <c r="J14" s="190"/>
      <c r="K14" s="190"/>
      <c r="L14" s="190"/>
      <c r="M14" s="190" t="s">
        <v>2760</v>
      </c>
      <c r="N14" s="190" t="s">
        <v>2738</v>
      </c>
      <c r="Q14" s="352" t="s">
        <v>11</v>
      </c>
    </row>
    <row r="15" spans="1:17" x14ac:dyDescent="0.2">
      <c r="A15" s="190">
        <v>11</v>
      </c>
      <c r="B15" s="190">
        <v>17</v>
      </c>
      <c r="C15" s="191" t="s">
        <v>2761</v>
      </c>
      <c r="D15" s="191" t="s">
        <v>2762</v>
      </c>
      <c r="E15" s="190">
        <v>5</v>
      </c>
      <c r="F15" s="191" t="s">
        <v>2763</v>
      </c>
      <c r="G15" s="190" t="s">
        <v>2764</v>
      </c>
      <c r="H15" s="190" t="s">
        <v>2747</v>
      </c>
      <c r="I15" s="190" t="s">
        <v>2716</v>
      </c>
      <c r="J15" s="190" t="s">
        <v>2717</v>
      </c>
      <c r="K15" s="190"/>
      <c r="L15" s="190"/>
      <c r="M15" s="190"/>
      <c r="N15" s="190" t="s">
        <v>2718</v>
      </c>
      <c r="Q15" s="352" t="s">
        <v>147</v>
      </c>
    </row>
    <row r="16" spans="1:17" x14ac:dyDescent="0.2">
      <c r="A16" s="190">
        <v>12</v>
      </c>
      <c r="B16" s="190">
        <v>17</v>
      </c>
      <c r="C16" s="191" t="s">
        <v>2765</v>
      </c>
      <c r="D16" s="191" t="s">
        <v>2766</v>
      </c>
      <c r="E16" s="190">
        <v>2</v>
      </c>
      <c r="F16" s="191" t="s">
        <v>2713</v>
      </c>
      <c r="G16" s="190" t="s">
        <v>2751</v>
      </c>
      <c r="H16" s="190" t="s">
        <v>2767</v>
      </c>
      <c r="I16" s="190" t="s">
        <v>2768</v>
      </c>
      <c r="J16" s="190"/>
      <c r="K16" s="190"/>
      <c r="L16" s="190" t="s">
        <v>2769</v>
      </c>
      <c r="M16" s="190" t="s">
        <v>2770</v>
      </c>
      <c r="N16" s="190" t="s">
        <v>2738</v>
      </c>
      <c r="Q16" s="352" t="s">
        <v>52</v>
      </c>
    </row>
    <row r="17" spans="1:17" x14ac:dyDescent="0.2">
      <c r="A17" s="190">
        <v>13</v>
      </c>
      <c r="B17" s="190">
        <v>17</v>
      </c>
      <c r="C17" s="191" t="s">
        <v>2771</v>
      </c>
      <c r="D17" s="191" t="s">
        <v>2772</v>
      </c>
      <c r="E17" s="190">
        <v>5</v>
      </c>
      <c r="F17" s="191" t="s">
        <v>2732</v>
      </c>
      <c r="G17" s="190" t="s">
        <v>2714</v>
      </c>
      <c r="H17" s="190" t="s">
        <v>2773</v>
      </c>
      <c r="I17" s="190" t="s">
        <v>2716</v>
      </c>
      <c r="J17" s="190" t="s">
        <v>2717</v>
      </c>
      <c r="K17" s="190"/>
      <c r="L17" s="190"/>
      <c r="M17" s="190"/>
      <c r="N17" s="190" t="s">
        <v>2738</v>
      </c>
      <c r="Q17" s="352" t="s">
        <v>481</v>
      </c>
    </row>
    <row r="18" spans="1:17" x14ac:dyDescent="0.2">
      <c r="A18" s="190">
        <v>14</v>
      </c>
      <c r="B18" s="190">
        <v>19</v>
      </c>
      <c r="C18" s="191" t="s">
        <v>2774</v>
      </c>
      <c r="D18" s="191" t="s">
        <v>2775</v>
      </c>
      <c r="E18" s="190">
        <v>5</v>
      </c>
      <c r="F18" s="191" t="s">
        <v>2776</v>
      </c>
      <c r="G18" s="190" t="s">
        <v>2714</v>
      </c>
      <c r="H18" s="190" t="s">
        <v>2777</v>
      </c>
      <c r="I18" s="190" t="s">
        <v>2778</v>
      </c>
      <c r="J18" s="190" t="s">
        <v>2717</v>
      </c>
      <c r="K18" s="190"/>
      <c r="L18" s="190"/>
      <c r="M18" s="190"/>
      <c r="N18" s="190" t="s">
        <v>2738</v>
      </c>
      <c r="Q18" s="352" t="s">
        <v>397</v>
      </c>
    </row>
    <row r="19" spans="1:17" x14ac:dyDescent="0.2">
      <c r="A19" s="190">
        <v>15</v>
      </c>
      <c r="B19" s="190">
        <v>21</v>
      </c>
      <c r="C19" s="191" t="s">
        <v>2779</v>
      </c>
      <c r="D19" s="191" t="s">
        <v>2780</v>
      </c>
      <c r="E19" s="190">
        <v>5</v>
      </c>
      <c r="F19" s="191" t="s">
        <v>2732</v>
      </c>
      <c r="G19" s="190" t="s">
        <v>2764</v>
      </c>
      <c r="H19" s="190" t="s">
        <v>2781</v>
      </c>
      <c r="I19" s="190" t="s">
        <v>2716</v>
      </c>
      <c r="J19" s="190" t="s">
        <v>2717</v>
      </c>
      <c r="K19" s="190"/>
      <c r="L19" s="190"/>
      <c r="M19" s="190"/>
      <c r="N19" s="190" t="s">
        <v>2718</v>
      </c>
      <c r="Q19" s="352" t="s">
        <v>324</v>
      </c>
    </row>
    <row r="20" spans="1:17" x14ac:dyDescent="0.2">
      <c r="A20" s="192">
        <v>16</v>
      </c>
      <c r="B20" s="190">
        <v>27</v>
      </c>
      <c r="C20" s="191" t="s">
        <v>2782</v>
      </c>
      <c r="D20" s="191" t="s">
        <v>2783</v>
      </c>
      <c r="E20" s="190">
        <v>5</v>
      </c>
      <c r="F20" s="191" t="s">
        <v>2713</v>
      </c>
      <c r="G20" s="190" t="s">
        <v>2764</v>
      </c>
      <c r="H20" s="190" t="s">
        <v>2784</v>
      </c>
      <c r="I20" s="190" t="s">
        <v>2785</v>
      </c>
      <c r="J20" s="190" t="s">
        <v>2717</v>
      </c>
      <c r="K20" s="190"/>
      <c r="L20" s="190"/>
      <c r="M20" s="190"/>
      <c r="N20" s="190" t="s">
        <v>2786</v>
      </c>
      <c r="Q20" s="352" t="s">
        <v>2162</v>
      </c>
    </row>
    <row r="21" spans="1:17" x14ac:dyDescent="0.2">
      <c r="A21" s="190">
        <v>17</v>
      </c>
      <c r="B21" s="190">
        <v>27</v>
      </c>
      <c r="C21" s="191" t="s">
        <v>2787</v>
      </c>
      <c r="D21" s="191" t="s">
        <v>2788</v>
      </c>
      <c r="E21" s="193" t="s">
        <v>2789</v>
      </c>
      <c r="F21" s="191" t="s">
        <v>2790</v>
      </c>
      <c r="G21" s="190" t="s">
        <v>2791</v>
      </c>
      <c r="H21" s="190" t="s">
        <v>2792</v>
      </c>
      <c r="I21" s="190" t="s">
        <v>2716</v>
      </c>
      <c r="J21" s="190"/>
      <c r="K21" s="190"/>
      <c r="L21" s="190"/>
      <c r="M21" s="190"/>
      <c r="N21" s="190" t="s">
        <v>2793</v>
      </c>
      <c r="Q21" s="352" t="s">
        <v>2163</v>
      </c>
    </row>
    <row r="22" spans="1:17" x14ac:dyDescent="0.2">
      <c r="A22" s="190">
        <v>18</v>
      </c>
      <c r="B22" s="190">
        <v>27</v>
      </c>
      <c r="C22" s="191" t="s">
        <v>2794</v>
      </c>
      <c r="D22" s="191" t="s">
        <v>2795</v>
      </c>
      <c r="E22" s="190">
        <v>5</v>
      </c>
      <c r="F22" s="191" t="s">
        <v>2713</v>
      </c>
      <c r="G22" s="190" t="s">
        <v>2714</v>
      </c>
      <c r="H22" s="190" t="s">
        <v>2796</v>
      </c>
      <c r="I22" s="190" t="s">
        <v>2716</v>
      </c>
      <c r="J22" s="190" t="s">
        <v>2717</v>
      </c>
      <c r="K22" s="190"/>
      <c r="L22" s="190"/>
      <c r="M22" s="190"/>
      <c r="N22" s="190" t="s">
        <v>2718</v>
      </c>
      <c r="Q22" s="352" t="s">
        <v>152</v>
      </c>
    </row>
    <row r="23" spans="1:17" x14ac:dyDescent="0.2">
      <c r="A23" s="190">
        <v>19</v>
      </c>
      <c r="B23" s="190">
        <v>29</v>
      </c>
      <c r="C23" s="191" t="s">
        <v>2797</v>
      </c>
      <c r="D23" s="191" t="s">
        <v>2798</v>
      </c>
      <c r="E23" s="190">
        <v>5</v>
      </c>
      <c r="F23" s="191" t="s">
        <v>2732</v>
      </c>
      <c r="G23" s="190" t="s">
        <v>2764</v>
      </c>
      <c r="H23" s="190" t="s">
        <v>2799</v>
      </c>
      <c r="I23" s="190" t="s">
        <v>2716</v>
      </c>
      <c r="J23" s="190" t="s">
        <v>2717</v>
      </c>
      <c r="K23" s="190"/>
      <c r="L23" s="190"/>
      <c r="M23" s="190"/>
      <c r="N23" s="190" t="s">
        <v>2718</v>
      </c>
      <c r="Q23" s="352" t="s">
        <v>2164</v>
      </c>
    </row>
    <row r="24" spans="1:17" x14ac:dyDescent="0.2">
      <c r="A24" s="190">
        <v>20</v>
      </c>
      <c r="B24" s="190">
        <v>30</v>
      </c>
      <c r="C24" s="191" t="s">
        <v>2800</v>
      </c>
      <c r="D24" s="191" t="s">
        <v>2801</v>
      </c>
      <c r="E24" s="190">
        <v>5</v>
      </c>
      <c r="F24" s="191" t="s">
        <v>2802</v>
      </c>
      <c r="G24" s="190" t="s">
        <v>2803</v>
      </c>
      <c r="H24" s="190"/>
      <c r="I24" s="190"/>
      <c r="J24" s="190"/>
      <c r="K24" s="190"/>
      <c r="L24" s="190"/>
      <c r="M24" s="190"/>
      <c r="N24" s="190" t="s">
        <v>2738</v>
      </c>
      <c r="Q24" s="352" t="s">
        <v>137</v>
      </c>
    </row>
    <row r="25" spans="1:17" ht="12.75" customHeight="1" x14ac:dyDescent="0.2">
      <c r="A25" s="353" t="s">
        <v>2804</v>
      </c>
      <c r="B25" s="353"/>
      <c r="C25" s="353"/>
      <c r="D25" s="353"/>
      <c r="E25" s="353"/>
      <c r="F25" s="353"/>
      <c r="G25" s="353"/>
      <c r="H25" s="353"/>
      <c r="I25" s="353"/>
      <c r="J25" s="353"/>
      <c r="K25" s="353"/>
      <c r="L25" s="353"/>
      <c r="M25" s="353"/>
      <c r="N25" s="353"/>
      <c r="Q25" s="352" t="s">
        <v>312</v>
      </c>
    </row>
    <row r="26" spans="1:17" ht="12.75" customHeight="1" x14ac:dyDescent="0.2">
      <c r="A26" s="353"/>
      <c r="B26" s="353"/>
      <c r="C26" s="353"/>
      <c r="D26" s="353"/>
      <c r="E26" s="353"/>
      <c r="F26" s="353"/>
      <c r="G26" s="353"/>
      <c r="H26" s="353"/>
      <c r="I26" s="353"/>
      <c r="J26" s="353"/>
      <c r="K26" s="353"/>
      <c r="L26" s="353"/>
      <c r="M26" s="353"/>
      <c r="N26" s="353"/>
      <c r="Q26" s="352" t="s">
        <v>2156</v>
      </c>
    </row>
    <row r="27" spans="1:17" x14ac:dyDescent="0.2">
      <c r="A27" s="695" t="s">
        <v>2697</v>
      </c>
      <c r="B27" s="695" t="s">
        <v>2698</v>
      </c>
      <c r="C27" s="697" t="s">
        <v>2699</v>
      </c>
      <c r="D27" s="697" t="s">
        <v>2700</v>
      </c>
      <c r="E27" s="699" t="s">
        <v>2701</v>
      </c>
      <c r="F27" s="701" t="s">
        <v>2702</v>
      </c>
      <c r="G27" s="695" t="s">
        <v>2703</v>
      </c>
      <c r="H27" s="695" t="s">
        <v>2704</v>
      </c>
      <c r="I27" s="695" t="s">
        <v>2705</v>
      </c>
      <c r="J27" s="695" t="s">
        <v>2706</v>
      </c>
      <c r="K27" s="695" t="s">
        <v>2707</v>
      </c>
      <c r="L27" s="697" t="s">
        <v>2708</v>
      </c>
      <c r="M27" s="697" t="s">
        <v>2709</v>
      </c>
      <c r="N27" s="695" t="s">
        <v>2710</v>
      </c>
      <c r="Q27" s="352" t="s">
        <v>2157</v>
      </c>
    </row>
    <row r="28" spans="1:17" x14ac:dyDescent="0.2">
      <c r="A28" s="696"/>
      <c r="B28" s="696"/>
      <c r="C28" s="698"/>
      <c r="D28" s="698"/>
      <c r="E28" s="700"/>
      <c r="F28" s="702"/>
      <c r="G28" s="696"/>
      <c r="H28" s="696"/>
      <c r="I28" s="696"/>
      <c r="J28" s="696"/>
      <c r="K28" s="696"/>
      <c r="L28" s="698"/>
      <c r="M28" s="698"/>
      <c r="N28" s="696"/>
      <c r="Q28" s="352" t="s">
        <v>163</v>
      </c>
    </row>
    <row r="29" spans="1:17" x14ac:dyDescent="0.2">
      <c r="A29" s="194">
        <v>1</v>
      </c>
      <c r="B29" s="194">
        <v>1</v>
      </c>
      <c r="C29" s="194" t="s">
        <v>2805</v>
      </c>
      <c r="D29" s="194" t="s">
        <v>2806</v>
      </c>
      <c r="E29" s="194">
        <v>5</v>
      </c>
      <c r="F29" s="194" t="s">
        <v>2807</v>
      </c>
      <c r="G29" s="194" t="s">
        <v>2764</v>
      </c>
      <c r="H29" s="194" t="s">
        <v>2808</v>
      </c>
      <c r="I29" s="194" t="s">
        <v>2809</v>
      </c>
      <c r="J29" s="194"/>
      <c r="K29" s="194"/>
      <c r="L29" s="194"/>
      <c r="M29" s="194"/>
      <c r="N29" s="194" t="s">
        <v>2810</v>
      </c>
      <c r="Q29" s="352" t="s">
        <v>188</v>
      </c>
    </row>
    <row r="30" spans="1:17" x14ac:dyDescent="0.2">
      <c r="A30" s="194">
        <v>2</v>
      </c>
      <c r="B30" s="194">
        <v>4</v>
      </c>
      <c r="C30" s="194" t="s">
        <v>2811</v>
      </c>
      <c r="D30" s="194" t="s">
        <v>2812</v>
      </c>
      <c r="E30" s="194" t="s">
        <v>2813</v>
      </c>
      <c r="F30" s="194" t="s">
        <v>2732</v>
      </c>
      <c r="G30" s="194" t="s">
        <v>2791</v>
      </c>
      <c r="H30" s="194" t="s">
        <v>2814</v>
      </c>
      <c r="I30" s="194" t="s">
        <v>2815</v>
      </c>
      <c r="J30" s="194" t="s">
        <v>2717</v>
      </c>
      <c r="K30" s="194"/>
      <c r="L30" s="194"/>
      <c r="M30" s="194"/>
      <c r="N30" s="194" t="s">
        <v>2816</v>
      </c>
      <c r="Q30" s="352" t="s">
        <v>24</v>
      </c>
    </row>
    <row r="31" spans="1:17" x14ac:dyDescent="0.2">
      <c r="A31" s="190">
        <v>3</v>
      </c>
      <c r="B31" s="190">
        <v>5</v>
      </c>
      <c r="C31" s="191" t="s">
        <v>2817</v>
      </c>
      <c r="D31" s="191" t="s">
        <v>2818</v>
      </c>
      <c r="E31" s="190">
        <v>5</v>
      </c>
      <c r="F31" s="191" t="s">
        <v>2713</v>
      </c>
      <c r="G31" s="190" t="s">
        <v>2764</v>
      </c>
      <c r="H31" s="190" t="s">
        <v>2819</v>
      </c>
      <c r="I31" s="190" t="s">
        <v>2809</v>
      </c>
      <c r="J31" s="190"/>
      <c r="K31" s="190"/>
      <c r="L31" s="190"/>
      <c r="M31" s="190"/>
      <c r="N31" s="190" t="s">
        <v>2738</v>
      </c>
      <c r="Q31" s="352"/>
    </row>
    <row r="32" spans="1:17" x14ac:dyDescent="0.2">
      <c r="A32" s="190">
        <v>4</v>
      </c>
      <c r="B32" s="190">
        <v>6</v>
      </c>
      <c r="C32" s="191" t="s">
        <v>2820</v>
      </c>
      <c r="D32" s="191" t="s">
        <v>2821</v>
      </c>
      <c r="E32" s="190">
        <v>5</v>
      </c>
      <c r="F32" s="191" t="s">
        <v>2726</v>
      </c>
      <c r="G32" s="190" t="s">
        <v>2714</v>
      </c>
      <c r="H32" s="190" t="s">
        <v>2822</v>
      </c>
      <c r="I32" s="190" t="s">
        <v>2809</v>
      </c>
      <c r="J32" s="190" t="s">
        <v>2717</v>
      </c>
      <c r="K32" s="190"/>
      <c r="L32" s="190"/>
      <c r="M32" s="190"/>
      <c r="N32" s="190" t="s">
        <v>2786</v>
      </c>
    </row>
    <row r="33" spans="1:14" x14ac:dyDescent="0.2">
      <c r="A33" s="190">
        <v>5</v>
      </c>
      <c r="B33" s="190">
        <v>8</v>
      </c>
      <c r="C33" s="191" t="s">
        <v>2823</v>
      </c>
      <c r="D33" s="191" t="s">
        <v>2824</v>
      </c>
      <c r="E33" s="193" t="s">
        <v>2825</v>
      </c>
      <c r="F33" s="191" t="s">
        <v>2732</v>
      </c>
      <c r="G33" s="190" t="s">
        <v>2826</v>
      </c>
      <c r="H33" s="190" t="s">
        <v>2827</v>
      </c>
      <c r="I33" s="190" t="s">
        <v>2828</v>
      </c>
      <c r="J33" s="190"/>
      <c r="K33" s="190"/>
      <c r="L33" s="190"/>
      <c r="M33" s="190"/>
      <c r="N33" s="190" t="s">
        <v>2786</v>
      </c>
    </row>
    <row r="34" spans="1:14" x14ac:dyDescent="0.2">
      <c r="A34" s="190">
        <v>6</v>
      </c>
      <c r="B34" s="190">
        <v>9</v>
      </c>
      <c r="C34" s="191" t="s">
        <v>2829</v>
      </c>
      <c r="D34" s="191" t="s">
        <v>2830</v>
      </c>
      <c r="E34" s="190">
        <v>5</v>
      </c>
      <c r="F34" s="191" t="s">
        <v>2807</v>
      </c>
      <c r="G34" s="190" t="s">
        <v>2764</v>
      </c>
      <c r="H34" s="190" t="s">
        <v>2822</v>
      </c>
      <c r="I34" s="190" t="s">
        <v>2831</v>
      </c>
      <c r="J34" s="190" t="s">
        <v>2717</v>
      </c>
      <c r="K34" s="190"/>
      <c r="L34" s="190"/>
      <c r="M34" s="190"/>
      <c r="N34" s="190" t="s">
        <v>2738</v>
      </c>
    </row>
    <row r="35" spans="1:14" x14ac:dyDescent="0.2">
      <c r="A35" s="190">
        <v>7</v>
      </c>
      <c r="B35" s="190">
        <v>13</v>
      </c>
      <c r="C35" s="191" t="s">
        <v>2832</v>
      </c>
      <c r="D35" s="191" t="s">
        <v>2833</v>
      </c>
      <c r="E35" s="190">
        <v>2</v>
      </c>
      <c r="F35" s="191" t="s">
        <v>2776</v>
      </c>
      <c r="G35" s="190" t="s">
        <v>2834</v>
      </c>
      <c r="H35" s="190" t="s">
        <v>2835</v>
      </c>
      <c r="I35" s="190" t="s">
        <v>2809</v>
      </c>
      <c r="J35" s="190"/>
      <c r="K35" s="190"/>
      <c r="L35" s="190"/>
      <c r="M35" s="190"/>
      <c r="N35" s="190" t="s">
        <v>2836</v>
      </c>
    </row>
    <row r="36" spans="1:14" x14ac:dyDescent="0.2">
      <c r="A36" s="190">
        <v>8</v>
      </c>
      <c r="B36" s="190">
        <v>14</v>
      </c>
      <c r="C36" s="191" t="s">
        <v>2837</v>
      </c>
      <c r="D36" s="191" t="s">
        <v>2838</v>
      </c>
      <c r="E36" s="190">
        <v>5</v>
      </c>
      <c r="F36" s="191" t="s">
        <v>2713</v>
      </c>
      <c r="G36" s="190" t="s">
        <v>2721</v>
      </c>
      <c r="H36" s="190" t="s">
        <v>2839</v>
      </c>
      <c r="I36" s="190" t="s">
        <v>2809</v>
      </c>
      <c r="J36" s="190" t="s">
        <v>2717</v>
      </c>
      <c r="K36" s="190"/>
      <c r="L36" s="190"/>
      <c r="M36" s="190"/>
      <c r="N36" s="190" t="s">
        <v>2810</v>
      </c>
    </row>
    <row r="37" spans="1:14" x14ac:dyDescent="0.2">
      <c r="A37" s="190">
        <v>9</v>
      </c>
      <c r="B37" s="190">
        <v>16</v>
      </c>
      <c r="C37" s="191" t="s">
        <v>2840</v>
      </c>
      <c r="D37" s="191" t="s">
        <v>2841</v>
      </c>
      <c r="E37" s="190">
        <v>5</v>
      </c>
      <c r="F37" s="191" t="s">
        <v>2790</v>
      </c>
      <c r="G37" s="190" t="s">
        <v>2714</v>
      </c>
      <c r="H37" s="190" t="s">
        <v>2842</v>
      </c>
      <c r="I37" s="190" t="s">
        <v>2716</v>
      </c>
      <c r="J37" s="190" t="s">
        <v>2717</v>
      </c>
      <c r="K37" s="190"/>
      <c r="L37" s="190"/>
      <c r="M37" s="190"/>
      <c r="N37" s="190" t="s">
        <v>2718</v>
      </c>
    </row>
    <row r="38" spans="1:14" x14ac:dyDescent="0.2">
      <c r="A38" s="190">
        <v>10</v>
      </c>
      <c r="B38" s="190">
        <v>18</v>
      </c>
      <c r="C38" s="191" t="s">
        <v>2843</v>
      </c>
      <c r="D38" s="191" t="s">
        <v>2844</v>
      </c>
      <c r="E38" s="190">
        <v>5</v>
      </c>
      <c r="F38" s="191" t="s">
        <v>2713</v>
      </c>
      <c r="G38" s="190" t="s">
        <v>2714</v>
      </c>
      <c r="H38" s="190" t="s">
        <v>2845</v>
      </c>
      <c r="I38" s="190" t="s">
        <v>2716</v>
      </c>
      <c r="J38" s="190" t="s">
        <v>2717</v>
      </c>
      <c r="K38" s="190"/>
      <c r="L38" s="190"/>
      <c r="M38" s="190"/>
      <c r="N38" s="190" t="s">
        <v>2738</v>
      </c>
    </row>
    <row r="39" spans="1:14" x14ac:dyDescent="0.2">
      <c r="A39" s="190">
        <v>11</v>
      </c>
      <c r="B39" s="190">
        <v>18</v>
      </c>
      <c r="C39" s="191" t="s">
        <v>2846</v>
      </c>
      <c r="D39" s="191" t="s">
        <v>2847</v>
      </c>
      <c r="E39" s="190">
        <v>5</v>
      </c>
      <c r="F39" s="191" t="s">
        <v>2726</v>
      </c>
      <c r="G39" s="190" t="s">
        <v>2714</v>
      </c>
      <c r="H39" s="190" t="s">
        <v>2848</v>
      </c>
      <c r="I39" s="190" t="s">
        <v>2716</v>
      </c>
      <c r="J39" s="190" t="s">
        <v>2717</v>
      </c>
      <c r="K39" s="190"/>
      <c r="L39" s="190"/>
      <c r="M39" s="190"/>
      <c r="N39" s="190" t="s">
        <v>2786</v>
      </c>
    </row>
    <row r="40" spans="1:14" x14ac:dyDescent="0.2">
      <c r="A40" s="190">
        <v>12</v>
      </c>
      <c r="B40" s="190">
        <v>18</v>
      </c>
      <c r="C40" s="191" t="s">
        <v>2849</v>
      </c>
      <c r="D40" s="191" t="s">
        <v>2850</v>
      </c>
      <c r="E40" s="190">
        <v>5</v>
      </c>
      <c r="F40" s="191" t="s">
        <v>2732</v>
      </c>
      <c r="G40" s="190" t="s">
        <v>2714</v>
      </c>
      <c r="H40" s="190" t="s">
        <v>2851</v>
      </c>
      <c r="I40" s="190" t="s">
        <v>2716</v>
      </c>
      <c r="J40" s="190" t="s">
        <v>2717</v>
      </c>
      <c r="K40" s="190"/>
      <c r="L40" s="190"/>
      <c r="M40" s="190"/>
      <c r="N40" s="190" t="s">
        <v>2748</v>
      </c>
    </row>
    <row r="41" spans="1:14" x14ac:dyDescent="0.2">
      <c r="A41" s="190">
        <v>13</v>
      </c>
      <c r="B41" s="190">
        <v>19</v>
      </c>
      <c r="C41" s="191" t="s">
        <v>2852</v>
      </c>
      <c r="D41" s="191" t="s">
        <v>2853</v>
      </c>
      <c r="E41" s="190">
        <v>5</v>
      </c>
      <c r="F41" s="191" t="s">
        <v>2726</v>
      </c>
      <c r="G41" s="190" t="s">
        <v>2806</v>
      </c>
      <c r="H41" s="190" t="s">
        <v>2839</v>
      </c>
      <c r="I41" s="190" t="s">
        <v>2809</v>
      </c>
      <c r="J41" s="190" t="s">
        <v>2815</v>
      </c>
      <c r="K41" s="190"/>
      <c r="L41" s="190"/>
      <c r="M41" s="190"/>
      <c r="N41" s="190" t="s">
        <v>2718</v>
      </c>
    </row>
    <row r="42" spans="1:14" x14ac:dyDescent="0.2">
      <c r="A42" s="190">
        <v>14</v>
      </c>
      <c r="B42" s="190">
        <v>19</v>
      </c>
      <c r="C42" s="191" t="s">
        <v>2854</v>
      </c>
      <c r="D42" s="191" t="s">
        <v>2855</v>
      </c>
      <c r="E42" s="190">
        <v>5</v>
      </c>
      <c r="F42" s="191" t="s">
        <v>2713</v>
      </c>
      <c r="G42" s="190" t="s">
        <v>2714</v>
      </c>
      <c r="H42" s="190" t="s">
        <v>2856</v>
      </c>
      <c r="I42" s="190" t="s">
        <v>2716</v>
      </c>
      <c r="J42" s="190" t="s">
        <v>2717</v>
      </c>
      <c r="K42" s="190" t="s">
        <v>2717</v>
      </c>
      <c r="L42" s="190"/>
      <c r="M42" s="190"/>
      <c r="N42" s="190" t="s">
        <v>2786</v>
      </c>
    </row>
    <row r="43" spans="1:14" x14ac:dyDescent="0.2">
      <c r="A43" s="190">
        <v>15</v>
      </c>
      <c r="B43" s="190">
        <v>20</v>
      </c>
      <c r="C43" s="190" t="s">
        <v>2857</v>
      </c>
      <c r="D43" s="190" t="s">
        <v>2858</v>
      </c>
      <c r="E43" s="190">
        <v>5</v>
      </c>
      <c r="F43" s="190" t="s">
        <v>2732</v>
      </c>
      <c r="G43" s="190" t="s">
        <v>2714</v>
      </c>
      <c r="H43" s="190" t="s">
        <v>2859</v>
      </c>
      <c r="I43" s="190" t="s">
        <v>2716</v>
      </c>
      <c r="J43" s="190" t="s">
        <v>2717</v>
      </c>
      <c r="K43" s="190"/>
      <c r="L43" s="190"/>
      <c r="M43" s="190"/>
      <c r="N43" s="190" t="s">
        <v>2718</v>
      </c>
    </row>
    <row r="44" spans="1:14" x14ac:dyDescent="0.2">
      <c r="A44" s="190">
        <v>16</v>
      </c>
      <c r="B44" s="190">
        <v>20</v>
      </c>
      <c r="C44" s="191" t="s">
        <v>2860</v>
      </c>
      <c r="D44" s="191" t="s">
        <v>2861</v>
      </c>
      <c r="E44" s="190">
        <v>2</v>
      </c>
      <c r="F44" s="191" t="s">
        <v>2732</v>
      </c>
      <c r="G44" s="190" t="s">
        <v>2862</v>
      </c>
      <c r="H44" s="190" t="s">
        <v>2815</v>
      </c>
      <c r="I44" s="190" t="s">
        <v>2815</v>
      </c>
      <c r="J44" s="190"/>
      <c r="K44" s="190"/>
      <c r="L44" s="190"/>
      <c r="M44" s="190"/>
      <c r="N44" s="190" t="s">
        <v>2718</v>
      </c>
    </row>
    <row r="45" spans="1:14" x14ac:dyDescent="0.2">
      <c r="A45" s="190">
        <v>17</v>
      </c>
      <c r="B45" s="190">
        <v>21</v>
      </c>
      <c r="C45" s="191" t="s">
        <v>2863</v>
      </c>
      <c r="D45" s="191" t="s">
        <v>2864</v>
      </c>
      <c r="E45" s="190">
        <v>5</v>
      </c>
      <c r="F45" s="191" t="s">
        <v>2713</v>
      </c>
      <c r="G45" s="190" t="s">
        <v>2714</v>
      </c>
      <c r="H45" s="190" t="s">
        <v>2865</v>
      </c>
      <c r="I45" s="190" t="s">
        <v>2716</v>
      </c>
      <c r="J45" s="190" t="s">
        <v>2717</v>
      </c>
      <c r="K45" s="190"/>
      <c r="L45" s="190"/>
      <c r="M45" s="190"/>
      <c r="N45" s="190" t="s">
        <v>2738</v>
      </c>
    </row>
    <row r="46" spans="1:14" x14ac:dyDescent="0.2">
      <c r="A46" s="190">
        <v>18</v>
      </c>
      <c r="B46" s="190">
        <v>21</v>
      </c>
      <c r="C46" s="191" t="s">
        <v>2866</v>
      </c>
      <c r="D46" s="191" t="s">
        <v>2867</v>
      </c>
      <c r="E46" s="190">
        <v>5</v>
      </c>
      <c r="F46" s="191" t="s">
        <v>2713</v>
      </c>
      <c r="G46" s="190" t="s">
        <v>2714</v>
      </c>
      <c r="H46" s="190" t="s">
        <v>2868</v>
      </c>
      <c r="I46" s="190" t="s">
        <v>2716</v>
      </c>
      <c r="J46" s="190" t="s">
        <v>2869</v>
      </c>
      <c r="K46" s="190"/>
      <c r="L46" s="190"/>
      <c r="M46" s="190"/>
      <c r="N46" s="190" t="s">
        <v>2718</v>
      </c>
    </row>
    <row r="47" spans="1:14" x14ac:dyDescent="0.2">
      <c r="A47" s="190">
        <v>19</v>
      </c>
      <c r="B47" s="190">
        <v>22</v>
      </c>
      <c r="C47" s="191" t="s">
        <v>2870</v>
      </c>
      <c r="D47" s="191" t="s">
        <v>2871</v>
      </c>
      <c r="E47" s="190">
        <v>5</v>
      </c>
      <c r="F47" s="191" t="s">
        <v>2802</v>
      </c>
      <c r="G47" s="190" t="s">
        <v>2764</v>
      </c>
      <c r="H47" s="190" t="s">
        <v>2872</v>
      </c>
      <c r="I47" s="190" t="s">
        <v>2716</v>
      </c>
      <c r="J47" s="190" t="s">
        <v>2869</v>
      </c>
      <c r="K47" s="190"/>
      <c r="L47" s="190"/>
      <c r="M47" s="190"/>
      <c r="N47" s="190" t="s">
        <v>2786</v>
      </c>
    </row>
    <row r="48" spans="1:14" x14ac:dyDescent="0.2">
      <c r="A48" s="190">
        <v>20</v>
      </c>
      <c r="B48" s="190">
        <v>23</v>
      </c>
      <c r="C48" s="191" t="s">
        <v>2858</v>
      </c>
      <c r="D48" s="191" t="s">
        <v>2873</v>
      </c>
      <c r="E48" s="190">
        <v>5</v>
      </c>
      <c r="F48" s="191" t="s">
        <v>2732</v>
      </c>
      <c r="G48" s="190" t="s">
        <v>2714</v>
      </c>
      <c r="H48" s="190" t="s">
        <v>2874</v>
      </c>
      <c r="I48" s="190" t="s">
        <v>2716</v>
      </c>
      <c r="J48" s="190" t="s">
        <v>2717</v>
      </c>
      <c r="K48" s="190"/>
      <c r="L48" s="190"/>
      <c r="M48" s="190"/>
      <c r="N48" s="190" t="s">
        <v>2718</v>
      </c>
    </row>
    <row r="49" spans="1:14" x14ac:dyDescent="0.2">
      <c r="A49" s="190">
        <v>21</v>
      </c>
      <c r="B49" s="190">
        <v>23</v>
      </c>
      <c r="C49" s="191" t="s">
        <v>2861</v>
      </c>
      <c r="D49" s="191" t="s">
        <v>2875</v>
      </c>
      <c r="E49" s="190">
        <v>2</v>
      </c>
      <c r="F49" s="191" t="s">
        <v>2713</v>
      </c>
      <c r="G49" s="192" t="s">
        <v>2751</v>
      </c>
      <c r="H49" s="190" t="s">
        <v>2876</v>
      </c>
      <c r="I49" s="190" t="s">
        <v>2877</v>
      </c>
      <c r="J49" s="190"/>
      <c r="K49" s="190"/>
      <c r="L49" s="190"/>
      <c r="M49" s="190" t="s">
        <v>2770</v>
      </c>
      <c r="N49" s="190" t="s">
        <v>2810</v>
      </c>
    </row>
    <row r="50" spans="1:14" x14ac:dyDescent="0.2">
      <c r="A50" s="190">
        <v>22</v>
      </c>
      <c r="B50" s="190">
        <v>23</v>
      </c>
      <c r="C50" s="191" t="s">
        <v>2878</v>
      </c>
      <c r="D50" s="191" t="s">
        <v>2879</v>
      </c>
      <c r="E50" s="190">
        <v>5</v>
      </c>
      <c r="F50" s="191" t="s">
        <v>2713</v>
      </c>
      <c r="G50" s="190" t="s">
        <v>2714</v>
      </c>
      <c r="H50" s="190" t="s">
        <v>2880</v>
      </c>
      <c r="I50" s="190" t="s">
        <v>2716</v>
      </c>
      <c r="J50" s="190" t="s">
        <v>2869</v>
      </c>
      <c r="K50" s="190"/>
      <c r="L50" s="190"/>
      <c r="M50" s="190"/>
      <c r="N50" s="190" t="s">
        <v>2718</v>
      </c>
    </row>
    <row r="51" spans="1:14" x14ac:dyDescent="0.2">
      <c r="A51" s="190">
        <v>23</v>
      </c>
      <c r="B51" s="190">
        <v>24</v>
      </c>
      <c r="C51" s="191" t="s">
        <v>2794</v>
      </c>
      <c r="D51" s="191" t="s">
        <v>2881</v>
      </c>
      <c r="E51" s="190">
        <v>5</v>
      </c>
      <c r="F51" s="191" t="s">
        <v>2713</v>
      </c>
      <c r="G51" s="190" t="s">
        <v>2714</v>
      </c>
      <c r="H51" s="190" t="s">
        <v>2882</v>
      </c>
      <c r="I51" s="190" t="s">
        <v>2716</v>
      </c>
      <c r="J51" s="190"/>
      <c r="K51" s="190"/>
      <c r="L51" s="190"/>
      <c r="M51" s="190"/>
      <c r="N51" s="190" t="s">
        <v>2810</v>
      </c>
    </row>
    <row r="52" spans="1:14" x14ac:dyDescent="0.2">
      <c r="A52" s="190">
        <v>24</v>
      </c>
      <c r="B52" s="190">
        <v>26</v>
      </c>
      <c r="C52" s="191" t="s">
        <v>2883</v>
      </c>
      <c r="D52" s="191" t="s">
        <v>2884</v>
      </c>
      <c r="E52" s="190">
        <v>5</v>
      </c>
      <c r="F52" s="191" t="s">
        <v>2713</v>
      </c>
      <c r="G52" s="190" t="s">
        <v>2714</v>
      </c>
      <c r="H52" s="190" t="s">
        <v>2885</v>
      </c>
      <c r="I52" s="190" t="s">
        <v>2716</v>
      </c>
      <c r="J52" s="190" t="s">
        <v>2717</v>
      </c>
      <c r="K52" s="190"/>
      <c r="L52" s="190"/>
      <c r="M52" s="190"/>
      <c r="N52" s="190" t="s">
        <v>2738</v>
      </c>
    </row>
    <row r="53" spans="1:14" x14ac:dyDescent="0.2">
      <c r="A53" s="190">
        <v>25</v>
      </c>
      <c r="B53" s="190">
        <v>27</v>
      </c>
      <c r="C53" s="191" t="s">
        <v>2886</v>
      </c>
      <c r="D53" s="191" t="s">
        <v>2887</v>
      </c>
      <c r="E53" s="190">
        <v>2</v>
      </c>
      <c r="F53" s="191" t="s">
        <v>2726</v>
      </c>
      <c r="G53" s="190" t="s">
        <v>2862</v>
      </c>
      <c r="H53" s="190" t="s">
        <v>2888</v>
      </c>
      <c r="I53" s="190" t="s">
        <v>2815</v>
      </c>
      <c r="J53" s="190"/>
      <c r="K53" s="190"/>
      <c r="L53" s="190"/>
      <c r="M53" s="190"/>
      <c r="N53" s="190" t="s">
        <v>2738</v>
      </c>
    </row>
    <row r="54" spans="1:14" x14ac:dyDescent="0.2">
      <c r="A54" s="190">
        <v>26</v>
      </c>
      <c r="B54" s="190">
        <v>28</v>
      </c>
      <c r="C54" s="190" t="s">
        <v>2889</v>
      </c>
      <c r="D54" s="190" t="s">
        <v>2818</v>
      </c>
      <c r="E54" s="190">
        <v>2</v>
      </c>
      <c r="F54" s="190" t="s">
        <v>2732</v>
      </c>
      <c r="G54" s="190" t="s">
        <v>2862</v>
      </c>
      <c r="H54" s="190" t="s">
        <v>2890</v>
      </c>
      <c r="I54" s="190" t="s">
        <v>2815</v>
      </c>
      <c r="J54" s="190"/>
      <c r="K54" s="190"/>
      <c r="L54" s="190"/>
      <c r="M54" s="190"/>
      <c r="N54" s="190" t="s">
        <v>2718</v>
      </c>
    </row>
    <row r="55" spans="1:14" ht="12.75" customHeight="1" x14ac:dyDescent="0.2">
      <c r="A55" s="353" t="s">
        <v>2891</v>
      </c>
      <c r="B55" s="353"/>
      <c r="C55" s="353"/>
      <c r="D55" s="353"/>
      <c r="E55" s="353"/>
      <c r="F55" s="353"/>
      <c r="G55" s="353"/>
      <c r="H55" s="353"/>
      <c r="I55" s="353"/>
      <c r="J55" s="353"/>
      <c r="K55" s="353"/>
      <c r="L55" s="353"/>
      <c r="M55" s="353"/>
      <c r="N55" s="353"/>
    </row>
    <row r="56" spans="1:14" ht="12.75" customHeight="1" x14ac:dyDescent="0.2">
      <c r="A56" s="353"/>
      <c r="B56" s="353"/>
      <c r="C56" s="353"/>
      <c r="D56" s="353"/>
      <c r="E56" s="353"/>
      <c r="F56" s="353"/>
      <c r="G56" s="353"/>
      <c r="H56" s="353"/>
      <c r="I56" s="353"/>
      <c r="J56" s="353"/>
      <c r="K56" s="353"/>
      <c r="L56" s="353"/>
      <c r="M56" s="353"/>
      <c r="N56" s="353"/>
    </row>
    <row r="57" spans="1:14" x14ac:dyDescent="0.2">
      <c r="A57" s="695" t="s">
        <v>2697</v>
      </c>
      <c r="B57" s="695" t="s">
        <v>2698</v>
      </c>
      <c r="C57" s="697" t="s">
        <v>2699</v>
      </c>
      <c r="D57" s="697" t="s">
        <v>2700</v>
      </c>
      <c r="E57" s="699" t="s">
        <v>2701</v>
      </c>
      <c r="F57" s="701" t="s">
        <v>2702</v>
      </c>
      <c r="G57" s="695" t="s">
        <v>2703</v>
      </c>
      <c r="H57" s="695" t="s">
        <v>2704</v>
      </c>
      <c r="I57" s="695" t="s">
        <v>2705</v>
      </c>
      <c r="J57" s="695" t="s">
        <v>2706</v>
      </c>
      <c r="K57" s="695" t="s">
        <v>2707</v>
      </c>
      <c r="L57" s="697" t="s">
        <v>2708</v>
      </c>
      <c r="M57" s="697" t="s">
        <v>2709</v>
      </c>
      <c r="N57" s="695" t="s">
        <v>2710</v>
      </c>
    </row>
    <row r="58" spans="1:14" x14ac:dyDescent="0.2">
      <c r="A58" s="696"/>
      <c r="B58" s="696"/>
      <c r="C58" s="698"/>
      <c r="D58" s="698"/>
      <c r="E58" s="700"/>
      <c r="F58" s="702"/>
      <c r="G58" s="696"/>
      <c r="H58" s="696"/>
      <c r="I58" s="696"/>
      <c r="J58" s="696"/>
      <c r="K58" s="696"/>
      <c r="L58" s="698"/>
      <c r="M58" s="698"/>
      <c r="N58" s="696"/>
    </row>
    <row r="59" spans="1:14" x14ac:dyDescent="0.2">
      <c r="A59" s="194">
        <v>1</v>
      </c>
      <c r="B59" s="194">
        <v>1</v>
      </c>
      <c r="C59" s="196" t="s">
        <v>2892</v>
      </c>
      <c r="D59" s="196" t="s">
        <v>2893</v>
      </c>
      <c r="E59" s="194">
        <v>5</v>
      </c>
      <c r="F59" s="196" t="s">
        <v>2732</v>
      </c>
      <c r="G59" s="194" t="s">
        <v>2714</v>
      </c>
      <c r="H59" s="194" t="s">
        <v>2868</v>
      </c>
      <c r="I59" s="194" t="s">
        <v>2716</v>
      </c>
      <c r="J59" s="194" t="s">
        <v>2815</v>
      </c>
      <c r="K59" s="194"/>
      <c r="L59" s="194"/>
      <c r="M59" s="194"/>
      <c r="N59" s="194" t="s">
        <v>2748</v>
      </c>
    </row>
    <row r="60" spans="1:14" x14ac:dyDescent="0.2">
      <c r="A60" s="190">
        <v>2</v>
      </c>
      <c r="B60" s="190">
        <v>1</v>
      </c>
      <c r="C60" s="191" t="s">
        <v>2894</v>
      </c>
      <c r="D60" s="191" t="s">
        <v>2895</v>
      </c>
      <c r="E60" s="190">
        <v>5</v>
      </c>
      <c r="F60" s="191" t="s">
        <v>2732</v>
      </c>
      <c r="G60" s="190" t="s">
        <v>2896</v>
      </c>
      <c r="H60" s="190" t="s">
        <v>2897</v>
      </c>
      <c r="I60" s="190" t="s">
        <v>2716</v>
      </c>
      <c r="J60" s="190" t="s">
        <v>2743</v>
      </c>
      <c r="K60" s="190"/>
      <c r="L60" s="190"/>
      <c r="M60" s="190"/>
      <c r="N60" s="190" t="s">
        <v>2738</v>
      </c>
    </row>
    <row r="61" spans="1:14" x14ac:dyDescent="0.2">
      <c r="A61" s="194">
        <v>3</v>
      </c>
      <c r="B61" s="190">
        <v>1</v>
      </c>
      <c r="C61" s="191" t="s">
        <v>2898</v>
      </c>
      <c r="D61" s="191" t="s">
        <v>2899</v>
      </c>
      <c r="E61" s="190">
        <v>2</v>
      </c>
      <c r="F61" s="191" t="s">
        <v>2815</v>
      </c>
      <c r="G61" s="190" t="s">
        <v>2862</v>
      </c>
      <c r="H61" s="190" t="s">
        <v>2900</v>
      </c>
      <c r="I61" s="190" t="s">
        <v>2815</v>
      </c>
      <c r="J61" s="190"/>
      <c r="K61" s="190"/>
      <c r="L61" s="190"/>
      <c r="M61" s="190"/>
      <c r="N61" s="190" t="s">
        <v>2901</v>
      </c>
    </row>
    <row r="62" spans="1:14" x14ac:dyDescent="0.2">
      <c r="A62" s="190">
        <v>4</v>
      </c>
      <c r="B62" s="190">
        <v>3</v>
      </c>
      <c r="C62" s="191" t="s">
        <v>2902</v>
      </c>
      <c r="D62" s="191" t="s">
        <v>2903</v>
      </c>
      <c r="E62" s="190">
        <v>3</v>
      </c>
      <c r="F62" s="191" t="s">
        <v>2904</v>
      </c>
      <c r="G62" s="190" t="s">
        <v>2721</v>
      </c>
      <c r="H62" s="190" t="s">
        <v>2905</v>
      </c>
      <c r="I62" s="190" t="s">
        <v>2809</v>
      </c>
      <c r="J62" s="190" t="s">
        <v>2717</v>
      </c>
      <c r="K62" s="190"/>
      <c r="L62" s="190"/>
      <c r="M62" s="190"/>
      <c r="N62" s="190" t="s">
        <v>2718</v>
      </c>
    </row>
    <row r="63" spans="1:14" x14ac:dyDescent="0.2">
      <c r="A63" s="194">
        <v>5</v>
      </c>
      <c r="B63" s="190">
        <v>3</v>
      </c>
      <c r="C63" s="191" t="s">
        <v>2906</v>
      </c>
      <c r="D63" s="191" t="s">
        <v>2907</v>
      </c>
      <c r="E63" s="190">
        <v>2</v>
      </c>
      <c r="F63" s="191" t="s">
        <v>2713</v>
      </c>
      <c r="G63" s="190" t="s">
        <v>2862</v>
      </c>
      <c r="H63" s="190" t="s">
        <v>2908</v>
      </c>
      <c r="I63" s="190" t="s">
        <v>2909</v>
      </c>
      <c r="J63" s="190"/>
      <c r="K63" s="190"/>
      <c r="L63" s="190"/>
      <c r="M63" s="190"/>
      <c r="N63" s="190" t="s">
        <v>2810</v>
      </c>
    </row>
    <row r="64" spans="1:14" x14ac:dyDescent="0.2">
      <c r="A64" s="190">
        <v>6</v>
      </c>
      <c r="B64" s="190">
        <v>4</v>
      </c>
      <c r="C64" s="191" t="s">
        <v>2910</v>
      </c>
      <c r="D64" s="191" t="s">
        <v>2911</v>
      </c>
      <c r="E64" s="190">
        <v>2</v>
      </c>
      <c r="F64" s="191" t="s">
        <v>2713</v>
      </c>
      <c r="G64" s="192" t="s">
        <v>2912</v>
      </c>
      <c r="H64" s="190" t="s">
        <v>2913</v>
      </c>
      <c r="I64" s="190" t="s">
        <v>2914</v>
      </c>
      <c r="J64" s="190" t="s">
        <v>2743</v>
      </c>
      <c r="K64" s="190"/>
      <c r="L64" s="190"/>
      <c r="M64" s="190"/>
      <c r="N64" s="190" t="s">
        <v>2738</v>
      </c>
    </row>
    <row r="65" spans="1:14" x14ac:dyDescent="0.2">
      <c r="A65" s="194">
        <v>7</v>
      </c>
      <c r="B65" s="190">
        <v>4</v>
      </c>
      <c r="C65" s="191" t="s">
        <v>2915</v>
      </c>
      <c r="D65" s="191" t="s">
        <v>2916</v>
      </c>
      <c r="E65" s="193" t="s">
        <v>2825</v>
      </c>
      <c r="F65" s="191" t="s">
        <v>2732</v>
      </c>
      <c r="G65" s="192" t="s">
        <v>2751</v>
      </c>
      <c r="H65" s="190" t="s">
        <v>2917</v>
      </c>
      <c r="I65" s="190" t="s">
        <v>2716</v>
      </c>
      <c r="J65" s="190"/>
      <c r="K65" s="190"/>
      <c r="L65" s="190" t="s">
        <v>2918</v>
      </c>
      <c r="M65" s="190" t="s">
        <v>2770</v>
      </c>
      <c r="N65" s="190" t="s">
        <v>2919</v>
      </c>
    </row>
    <row r="66" spans="1:14" x14ac:dyDescent="0.2">
      <c r="A66" s="190">
        <v>8</v>
      </c>
      <c r="B66" s="190">
        <v>4</v>
      </c>
      <c r="C66" s="191" t="s">
        <v>2920</v>
      </c>
      <c r="D66" s="191" t="s">
        <v>2921</v>
      </c>
      <c r="E66" s="190">
        <v>2</v>
      </c>
      <c r="F66" s="191" t="s">
        <v>2776</v>
      </c>
      <c r="G66" s="194" t="s">
        <v>2862</v>
      </c>
      <c r="H66" s="190" t="s">
        <v>2922</v>
      </c>
      <c r="I66" s="190" t="s">
        <v>2815</v>
      </c>
      <c r="J66" s="190"/>
      <c r="K66" s="190"/>
      <c r="L66" s="190"/>
      <c r="M66" s="190"/>
      <c r="N66" s="190" t="s">
        <v>2718</v>
      </c>
    </row>
    <row r="67" spans="1:14" x14ac:dyDescent="0.2">
      <c r="A67" s="194">
        <v>9</v>
      </c>
      <c r="B67" s="190">
        <v>5</v>
      </c>
      <c r="C67" s="191" t="s">
        <v>2923</v>
      </c>
      <c r="D67" s="191" t="s">
        <v>2924</v>
      </c>
      <c r="E67" s="190">
        <v>2</v>
      </c>
      <c r="F67" s="191" t="s">
        <v>2776</v>
      </c>
      <c r="G67" s="192" t="s">
        <v>2751</v>
      </c>
      <c r="H67" s="190" t="s">
        <v>2925</v>
      </c>
      <c r="I67" s="190" t="s">
        <v>2815</v>
      </c>
      <c r="J67" s="190"/>
      <c r="K67" s="190"/>
      <c r="L67" s="190"/>
      <c r="M67" s="190" t="s">
        <v>2760</v>
      </c>
      <c r="N67" s="190" t="s">
        <v>2836</v>
      </c>
    </row>
    <row r="68" spans="1:14" x14ac:dyDescent="0.2">
      <c r="A68" s="190">
        <v>10</v>
      </c>
      <c r="B68" s="190">
        <v>6</v>
      </c>
      <c r="C68" s="191" t="s">
        <v>2926</v>
      </c>
      <c r="D68" s="191" t="s">
        <v>2927</v>
      </c>
      <c r="E68" s="190">
        <v>2</v>
      </c>
      <c r="F68" s="191" t="s">
        <v>2763</v>
      </c>
      <c r="G68" s="190" t="s">
        <v>2862</v>
      </c>
      <c r="H68" s="190" t="s">
        <v>2928</v>
      </c>
      <c r="I68" s="190" t="s">
        <v>2929</v>
      </c>
      <c r="J68" s="190"/>
      <c r="K68" s="190"/>
      <c r="L68" s="190"/>
      <c r="M68" s="190"/>
      <c r="N68" s="190" t="s">
        <v>2748</v>
      </c>
    </row>
    <row r="69" spans="1:14" x14ac:dyDescent="0.2">
      <c r="A69" s="190">
        <v>11</v>
      </c>
      <c r="B69" s="190">
        <v>8</v>
      </c>
      <c r="C69" s="191" t="s">
        <v>2930</v>
      </c>
      <c r="D69" s="191" t="s">
        <v>2931</v>
      </c>
      <c r="E69" s="190">
        <v>5</v>
      </c>
      <c r="F69" s="191" t="s">
        <v>2776</v>
      </c>
      <c r="G69" s="190" t="s">
        <v>2764</v>
      </c>
      <c r="H69" s="190" t="s">
        <v>2932</v>
      </c>
      <c r="I69" s="190" t="s">
        <v>2933</v>
      </c>
      <c r="J69" s="190" t="s">
        <v>2717</v>
      </c>
      <c r="K69" s="190"/>
      <c r="L69" s="190"/>
      <c r="M69" s="190"/>
      <c r="N69" s="190" t="s">
        <v>2748</v>
      </c>
    </row>
    <row r="70" spans="1:14" x14ac:dyDescent="0.2">
      <c r="A70" s="190">
        <v>12</v>
      </c>
      <c r="B70" s="190">
        <v>9</v>
      </c>
      <c r="C70" s="191" t="s">
        <v>2811</v>
      </c>
      <c r="D70" s="191" t="s">
        <v>2934</v>
      </c>
      <c r="E70" s="190">
        <v>5</v>
      </c>
      <c r="F70" s="191" t="s">
        <v>2732</v>
      </c>
      <c r="G70" s="190" t="s">
        <v>2714</v>
      </c>
      <c r="H70" s="190" t="s">
        <v>2935</v>
      </c>
      <c r="I70" s="190" t="s">
        <v>2716</v>
      </c>
      <c r="J70" s="190" t="s">
        <v>2717</v>
      </c>
      <c r="K70" s="190"/>
      <c r="L70" s="190"/>
      <c r="M70" s="190"/>
      <c r="N70" s="190" t="s">
        <v>2748</v>
      </c>
    </row>
    <row r="71" spans="1:14" x14ac:dyDescent="0.2">
      <c r="A71" s="190">
        <v>13</v>
      </c>
      <c r="B71" s="190">
        <v>14</v>
      </c>
      <c r="C71" s="191" t="s">
        <v>2936</v>
      </c>
      <c r="D71" s="191" t="s">
        <v>2806</v>
      </c>
      <c r="E71" s="190">
        <v>2</v>
      </c>
      <c r="F71" s="191" t="s">
        <v>2732</v>
      </c>
      <c r="G71" s="190" t="s">
        <v>2937</v>
      </c>
      <c r="H71" s="190" t="s">
        <v>2938</v>
      </c>
      <c r="I71" s="190" t="s">
        <v>2716</v>
      </c>
      <c r="J71" s="190"/>
      <c r="K71" s="190"/>
      <c r="L71" s="190"/>
      <c r="M71" s="190"/>
      <c r="N71" s="190" t="s">
        <v>2718</v>
      </c>
    </row>
    <row r="72" spans="1:14" x14ac:dyDescent="0.2">
      <c r="A72" s="190">
        <v>14</v>
      </c>
      <c r="B72" s="190">
        <v>14</v>
      </c>
      <c r="C72" s="191" t="s">
        <v>2939</v>
      </c>
      <c r="D72" s="191" t="s">
        <v>2940</v>
      </c>
      <c r="E72" s="190">
        <v>2</v>
      </c>
      <c r="F72" s="191" t="s">
        <v>2732</v>
      </c>
      <c r="G72" s="190" t="s">
        <v>2862</v>
      </c>
      <c r="H72" s="190" t="s">
        <v>2941</v>
      </c>
      <c r="I72" s="190" t="s">
        <v>2809</v>
      </c>
      <c r="J72" s="190"/>
      <c r="K72" s="190"/>
      <c r="L72" s="190"/>
      <c r="M72" s="190"/>
      <c r="N72" s="190" t="s">
        <v>2718</v>
      </c>
    </row>
    <row r="73" spans="1:14" x14ac:dyDescent="0.2">
      <c r="A73" s="190">
        <v>15</v>
      </c>
      <c r="B73" s="190">
        <v>15</v>
      </c>
      <c r="C73" s="191" t="s">
        <v>2942</v>
      </c>
      <c r="D73" s="191" t="s">
        <v>2943</v>
      </c>
      <c r="E73" s="190">
        <v>2</v>
      </c>
      <c r="F73" s="191" t="s">
        <v>2732</v>
      </c>
      <c r="G73" s="190" t="s">
        <v>2944</v>
      </c>
      <c r="H73" s="190" t="s">
        <v>2945</v>
      </c>
      <c r="I73" s="190" t="s">
        <v>2815</v>
      </c>
      <c r="J73" s="190"/>
      <c r="K73" s="190"/>
      <c r="L73" s="190"/>
      <c r="M73" s="190"/>
      <c r="N73" s="190" t="s">
        <v>2718</v>
      </c>
    </row>
    <row r="74" spans="1:14" x14ac:dyDescent="0.2">
      <c r="A74" s="190">
        <v>16</v>
      </c>
      <c r="B74" s="190">
        <v>16</v>
      </c>
      <c r="C74" s="191" t="s">
        <v>2946</v>
      </c>
      <c r="D74" s="191" t="s">
        <v>2947</v>
      </c>
      <c r="E74" s="190">
        <v>2</v>
      </c>
      <c r="F74" s="191" t="s">
        <v>2763</v>
      </c>
      <c r="G74" s="192" t="s">
        <v>2741</v>
      </c>
      <c r="H74" s="190" t="s">
        <v>2948</v>
      </c>
      <c r="I74" s="190" t="s">
        <v>2949</v>
      </c>
      <c r="J74" s="190"/>
      <c r="K74" s="190"/>
      <c r="L74" s="190"/>
      <c r="M74" s="190"/>
      <c r="N74" s="190" t="s">
        <v>2738</v>
      </c>
    </row>
    <row r="75" spans="1:14" x14ac:dyDescent="0.2">
      <c r="A75" s="192">
        <v>17</v>
      </c>
      <c r="B75" s="190">
        <v>17</v>
      </c>
      <c r="C75" s="191" t="s">
        <v>2950</v>
      </c>
      <c r="D75" s="191" t="s">
        <v>2951</v>
      </c>
      <c r="E75" s="190">
        <v>5</v>
      </c>
      <c r="F75" s="191" t="s">
        <v>2763</v>
      </c>
      <c r="G75" s="190" t="s">
        <v>2714</v>
      </c>
      <c r="H75" s="190" t="s">
        <v>2952</v>
      </c>
      <c r="I75" s="190" t="s">
        <v>2716</v>
      </c>
      <c r="J75" s="190" t="s">
        <v>2717</v>
      </c>
      <c r="K75" s="190"/>
      <c r="L75" s="190"/>
      <c r="M75" s="190"/>
      <c r="N75" s="190" t="s">
        <v>2738</v>
      </c>
    </row>
    <row r="76" spans="1:14" x14ac:dyDescent="0.2">
      <c r="A76" s="190">
        <v>18</v>
      </c>
      <c r="B76" s="190">
        <v>19</v>
      </c>
      <c r="C76" s="191" t="s">
        <v>2953</v>
      </c>
      <c r="D76" s="191" t="s">
        <v>2954</v>
      </c>
      <c r="E76" s="190">
        <v>5</v>
      </c>
      <c r="F76" s="191" t="s">
        <v>2726</v>
      </c>
      <c r="G76" s="190" t="s">
        <v>2764</v>
      </c>
      <c r="H76" s="190" t="s">
        <v>2955</v>
      </c>
      <c r="I76" s="190" t="s">
        <v>2815</v>
      </c>
      <c r="J76" s="190"/>
      <c r="K76" s="190" t="s">
        <v>2717</v>
      </c>
      <c r="L76" s="190"/>
      <c r="M76" s="190"/>
      <c r="N76" s="190" t="s">
        <v>2748</v>
      </c>
    </row>
    <row r="77" spans="1:14" x14ac:dyDescent="0.2">
      <c r="A77" s="190">
        <v>19</v>
      </c>
      <c r="B77" s="190">
        <v>20</v>
      </c>
      <c r="C77" s="190" t="s">
        <v>2956</v>
      </c>
      <c r="D77" s="190" t="s">
        <v>2957</v>
      </c>
      <c r="E77" s="190">
        <v>5</v>
      </c>
      <c r="F77" s="190" t="s">
        <v>2732</v>
      </c>
      <c r="G77" s="190" t="s">
        <v>2714</v>
      </c>
      <c r="H77" s="190" t="s">
        <v>2958</v>
      </c>
      <c r="I77" s="190" t="s">
        <v>2716</v>
      </c>
      <c r="J77" s="190" t="s">
        <v>2717</v>
      </c>
      <c r="K77" s="190"/>
      <c r="L77" s="190"/>
      <c r="M77" s="190"/>
      <c r="N77" s="190" t="s">
        <v>2748</v>
      </c>
    </row>
    <row r="78" spans="1:14" x14ac:dyDescent="0.2">
      <c r="A78" s="190">
        <v>20</v>
      </c>
      <c r="B78" s="190">
        <v>21</v>
      </c>
      <c r="C78" s="190" t="s">
        <v>2959</v>
      </c>
      <c r="D78" s="190" t="s">
        <v>2960</v>
      </c>
      <c r="E78" s="190">
        <v>2</v>
      </c>
      <c r="F78" s="190" t="s">
        <v>2726</v>
      </c>
      <c r="G78" s="192" t="s">
        <v>2741</v>
      </c>
      <c r="H78" s="190" t="s">
        <v>2961</v>
      </c>
      <c r="I78" s="190" t="s">
        <v>2716</v>
      </c>
      <c r="J78" s="190"/>
      <c r="K78" s="190"/>
      <c r="L78" s="190"/>
      <c r="M78" s="190"/>
      <c r="N78" s="190" t="s">
        <v>2718</v>
      </c>
    </row>
    <row r="79" spans="1:14" x14ac:dyDescent="0.2">
      <c r="A79" s="190">
        <v>21</v>
      </c>
      <c r="B79" s="190">
        <v>21</v>
      </c>
      <c r="C79" s="190" t="s">
        <v>2962</v>
      </c>
      <c r="D79" s="190" t="s">
        <v>2963</v>
      </c>
      <c r="E79" s="190">
        <v>2</v>
      </c>
      <c r="F79" s="190" t="s">
        <v>2732</v>
      </c>
      <c r="G79" s="190" t="s">
        <v>2862</v>
      </c>
      <c r="H79" s="190" t="s">
        <v>2964</v>
      </c>
      <c r="I79" s="190" t="s">
        <v>2965</v>
      </c>
      <c r="J79" s="190"/>
      <c r="K79" s="190"/>
      <c r="L79" s="190"/>
      <c r="M79" s="190"/>
      <c r="N79" s="190" t="s">
        <v>2748</v>
      </c>
    </row>
    <row r="80" spans="1:14" x14ac:dyDescent="0.2">
      <c r="A80" s="194">
        <v>22</v>
      </c>
      <c r="B80" s="194">
        <v>22</v>
      </c>
      <c r="C80" s="194" t="s">
        <v>2966</v>
      </c>
      <c r="D80" s="194" t="s">
        <v>2875</v>
      </c>
      <c r="E80" s="194">
        <v>5</v>
      </c>
      <c r="F80" s="194" t="s">
        <v>2726</v>
      </c>
      <c r="G80" s="194" t="s">
        <v>2764</v>
      </c>
      <c r="H80" s="194" t="s">
        <v>2967</v>
      </c>
      <c r="I80" s="194" t="s">
        <v>2815</v>
      </c>
      <c r="J80" s="194" t="s">
        <v>2717</v>
      </c>
      <c r="K80" s="194"/>
      <c r="L80" s="194"/>
      <c r="M80" s="194"/>
      <c r="N80" s="194" t="s">
        <v>2738</v>
      </c>
    </row>
    <row r="81" spans="1:14" x14ac:dyDescent="0.2">
      <c r="A81" s="194">
        <v>23</v>
      </c>
      <c r="B81" s="194">
        <v>23</v>
      </c>
      <c r="C81" s="194" t="s">
        <v>2943</v>
      </c>
      <c r="D81" s="194" t="s">
        <v>2968</v>
      </c>
      <c r="E81" s="194" t="s">
        <v>2969</v>
      </c>
      <c r="F81" s="194" t="s">
        <v>2776</v>
      </c>
      <c r="G81" s="197" t="s">
        <v>2970</v>
      </c>
      <c r="H81" s="194" t="s">
        <v>2971</v>
      </c>
      <c r="I81" s="194" t="s">
        <v>2815</v>
      </c>
      <c r="J81" s="194"/>
      <c r="K81" s="194"/>
      <c r="L81" s="194"/>
      <c r="M81" s="194"/>
      <c r="N81" s="194" t="s">
        <v>2919</v>
      </c>
    </row>
    <row r="82" spans="1:14" x14ac:dyDescent="0.2">
      <c r="A82" s="194">
        <v>24</v>
      </c>
      <c r="B82" s="194">
        <v>24</v>
      </c>
      <c r="C82" s="194" t="s">
        <v>2972</v>
      </c>
      <c r="D82" s="194" t="s">
        <v>2973</v>
      </c>
      <c r="E82" s="194">
        <v>5</v>
      </c>
      <c r="F82" s="194" t="s">
        <v>2807</v>
      </c>
      <c r="G82" s="194" t="s">
        <v>2714</v>
      </c>
      <c r="H82" s="194" t="s">
        <v>2958</v>
      </c>
      <c r="I82" s="194" t="s">
        <v>2716</v>
      </c>
      <c r="J82" s="194" t="s">
        <v>2717</v>
      </c>
      <c r="K82" s="194"/>
      <c r="L82" s="194"/>
      <c r="M82" s="194"/>
      <c r="N82" s="194" t="s">
        <v>2748</v>
      </c>
    </row>
    <row r="83" spans="1:14" x14ac:dyDescent="0.2">
      <c r="A83" s="190">
        <v>25</v>
      </c>
      <c r="B83" s="190">
        <v>24</v>
      </c>
      <c r="C83" s="191" t="s">
        <v>2974</v>
      </c>
      <c r="D83" s="191" t="s">
        <v>2975</v>
      </c>
      <c r="E83" s="190">
        <v>5</v>
      </c>
      <c r="F83" s="191" t="s">
        <v>2763</v>
      </c>
      <c r="G83" s="190" t="s">
        <v>2714</v>
      </c>
      <c r="H83" s="190" t="s">
        <v>2976</v>
      </c>
      <c r="I83" s="190" t="s">
        <v>2716</v>
      </c>
      <c r="J83" s="190" t="s">
        <v>2717</v>
      </c>
      <c r="K83" s="190"/>
      <c r="L83" s="190"/>
      <c r="M83" s="190"/>
      <c r="N83" s="190" t="s">
        <v>2919</v>
      </c>
    </row>
    <row r="84" spans="1:14" x14ac:dyDescent="0.2">
      <c r="A84" s="190">
        <v>26</v>
      </c>
      <c r="B84" s="190">
        <v>26</v>
      </c>
      <c r="C84" s="191" t="s">
        <v>2977</v>
      </c>
      <c r="D84" s="191" t="s">
        <v>2978</v>
      </c>
      <c r="E84" s="190">
        <v>2</v>
      </c>
      <c r="F84" s="191" t="s">
        <v>2732</v>
      </c>
      <c r="G84" s="190" t="s">
        <v>2862</v>
      </c>
      <c r="H84" s="190" t="s">
        <v>2979</v>
      </c>
      <c r="I84" s="190" t="s">
        <v>2980</v>
      </c>
      <c r="J84" s="190"/>
      <c r="K84" s="190"/>
      <c r="L84" s="190"/>
      <c r="M84" s="190"/>
      <c r="N84" s="190" t="s">
        <v>2748</v>
      </c>
    </row>
    <row r="85" spans="1:14" x14ac:dyDescent="0.2">
      <c r="A85" s="190">
        <v>27</v>
      </c>
      <c r="B85" s="190">
        <v>27</v>
      </c>
      <c r="C85" s="191" t="s">
        <v>2981</v>
      </c>
      <c r="D85" s="191" t="s">
        <v>2982</v>
      </c>
      <c r="E85" s="190">
        <v>2</v>
      </c>
      <c r="F85" s="191" t="s">
        <v>2732</v>
      </c>
      <c r="G85" s="190" t="s">
        <v>2862</v>
      </c>
      <c r="H85" s="190" t="s">
        <v>2979</v>
      </c>
      <c r="I85" s="190" t="s">
        <v>2980</v>
      </c>
      <c r="J85" s="190"/>
      <c r="K85" s="190"/>
      <c r="L85" s="190"/>
      <c r="M85" s="190"/>
      <c r="N85" s="190" t="s">
        <v>2738</v>
      </c>
    </row>
    <row r="86" spans="1:14" x14ac:dyDescent="0.2">
      <c r="A86" s="190">
        <v>28</v>
      </c>
      <c r="B86" s="190">
        <v>30</v>
      </c>
      <c r="C86" s="191" t="s">
        <v>2983</v>
      </c>
      <c r="D86" s="191" t="s">
        <v>2984</v>
      </c>
      <c r="E86" s="190">
        <v>5</v>
      </c>
      <c r="F86" s="191" t="s">
        <v>2763</v>
      </c>
      <c r="G86" s="190" t="s">
        <v>2714</v>
      </c>
      <c r="H86" s="190" t="s">
        <v>2985</v>
      </c>
      <c r="I86" s="190" t="s">
        <v>2716</v>
      </c>
      <c r="J86" s="190" t="s">
        <v>2717</v>
      </c>
      <c r="K86" s="190"/>
      <c r="L86" s="190"/>
      <c r="M86" s="190"/>
      <c r="N86" s="190" t="s">
        <v>2786</v>
      </c>
    </row>
    <row r="87" spans="1:14" x14ac:dyDescent="0.2">
      <c r="A87" s="190">
        <v>29</v>
      </c>
      <c r="B87" s="190">
        <v>31</v>
      </c>
      <c r="C87" s="191" t="s">
        <v>2986</v>
      </c>
      <c r="D87" s="191" t="s">
        <v>2987</v>
      </c>
      <c r="E87" s="190">
        <v>5</v>
      </c>
      <c r="F87" s="191" t="s">
        <v>2763</v>
      </c>
      <c r="G87" s="190" t="s">
        <v>2714</v>
      </c>
      <c r="H87" s="190" t="s">
        <v>2988</v>
      </c>
      <c r="I87" s="190" t="s">
        <v>2716</v>
      </c>
      <c r="J87" s="190" t="s">
        <v>2717</v>
      </c>
      <c r="K87" s="190"/>
      <c r="L87" s="190"/>
      <c r="M87" s="190"/>
      <c r="N87" s="190" t="s">
        <v>2786</v>
      </c>
    </row>
    <row r="88" spans="1:14" x14ac:dyDescent="0.2">
      <c r="A88" s="190">
        <v>30</v>
      </c>
      <c r="B88" s="190">
        <v>31</v>
      </c>
      <c r="C88" s="191" t="s">
        <v>2989</v>
      </c>
      <c r="D88" s="191" t="s">
        <v>2821</v>
      </c>
      <c r="E88" s="190">
        <v>5</v>
      </c>
      <c r="F88" s="191" t="s">
        <v>2726</v>
      </c>
      <c r="G88" s="190" t="s">
        <v>2714</v>
      </c>
      <c r="H88" s="190" t="s">
        <v>2990</v>
      </c>
      <c r="I88" s="190" t="s">
        <v>2716</v>
      </c>
      <c r="J88" s="190" t="s">
        <v>2869</v>
      </c>
      <c r="K88" s="190"/>
      <c r="L88" s="190"/>
      <c r="M88" s="190"/>
      <c r="N88" s="190" t="s">
        <v>2786</v>
      </c>
    </row>
    <row r="89" spans="1:14" x14ac:dyDescent="0.2">
      <c r="A89" s="190">
        <v>31</v>
      </c>
      <c r="B89" s="190">
        <v>31</v>
      </c>
      <c r="C89" s="191" t="s">
        <v>2991</v>
      </c>
      <c r="D89" s="191" t="s">
        <v>2992</v>
      </c>
      <c r="E89" s="190">
        <v>5</v>
      </c>
      <c r="F89" s="191" t="s">
        <v>2713</v>
      </c>
      <c r="G89" s="190" t="s">
        <v>2714</v>
      </c>
      <c r="H89" s="190" t="s">
        <v>2958</v>
      </c>
      <c r="I89" s="190" t="s">
        <v>2716</v>
      </c>
      <c r="J89" s="190" t="s">
        <v>2717</v>
      </c>
      <c r="K89" s="190"/>
      <c r="L89" s="190"/>
      <c r="M89" s="190"/>
      <c r="N89" s="190" t="s">
        <v>2810</v>
      </c>
    </row>
    <row r="90" spans="1:14" ht="12.75" customHeight="1" x14ac:dyDescent="0.2">
      <c r="A90" s="353" t="s">
        <v>2993</v>
      </c>
      <c r="B90" s="353"/>
      <c r="C90" s="353"/>
      <c r="D90" s="353"/>
      <c r="E90" s="353"/>
      <c r="F90" s="353"/>
      <c r="G90" s="353"/>
      <c r="H90" s="353"/>
      <c r="I90" s="353"/>
      <c r="J90" s="353"/>
      <c r="K90" s="353"/>
      <c r="L90" s="353"/>
      <c r="M90" s="353"/>
      <c r="N90" s="353"/>
    </row>
    <row r="91" spans="1:14" ht="12.75" customHeight="1" x14ac:dyDescent="0.2">
      <c r="A91" s="353"/>
      <c r="B91" s="353"/>
      <c r="C91" s="353"/>
      <c r="D91" s="353"/>
      <c r="E91" s="353"/>
      <c r="F91" s="353"/>
      <c r="G91" s="353"/>
      <c r="H91" s="353"/>
      <c r="I91" s="353"/>
      <c r="J91" s="353"/>
      <c r="K91" s="353"/>
      <c r="L91" s="353"/>
      <c r="M91" s="353"/>
      <c r="N91" s="353"/>
    </row>
    <row r="92" spans="1:14" x14ac:dyDescent="0.2">
      <c r="A92" s="695" t="s">
        <v>2697</v>
      </c>
      <c r="B92" s="695" t="s">
        <v>2698</v>
      </c>
      <c r="C92" s="697" t="s">
        <v>2699</v>
      </c>
      <c r="D92" s="697" t="s">
        <v>2700</v>
      </c>
      <c r="E92" s="699" t="s">
        <v>2701</v>
      </c>
      <c r="F92" s="701" t="s">
        <v>2702</v>
      </c>
      <c r="G92" s="695" t="s">
        <v>2703</v>
      </c>
      <c r="H92" s="695" t="s">
        <v>2704</v>
      </c>
      <c r="I92" s="695" t="s">
        <v>2705</v>
      </c>
      <c r="J92" s="695" t="s">
        <v>2706</v>
      </c>
      <c r="K92" s="695" t="s">
        <v>2707</v>
      </c>
      <c r="L92" s="697" t="s">
        <v>2708</v>
      </c>
      <c r="M92" s="697" t="s">
        <v>2709</v>
      </c>
      <c r="N92" s="695" t="s">
        <v>2710</v>
      </c>
    </row>
    <row r="93" spans="1:14" x14ac:dyDescent="0.2">
      <c r="A93" s="696"/>
      <c r="B93" s="696"/>
      <c r="C93" s="698"/>
      <c r="D93" s="698"/>
      <c r="E93" s="700"/>
      <c r="F93" s="702"/>
      <c r="G93" s="696"/>
      <c r="H93" s="696"/>
      <c r="I93" s="696"/>
      <c r="J93" s="696"/>
      <c r="K93" s="696"/>
      <c r="L93" s="698"/>
      <c r="M93" s="698"/>
      <c r="N93" s="696"/>
    </row>
    <row r="94" spans="1:14" x14ac:dyDescent="0.2">
      <c r="A94" s="190">
        <v>1</v>
      </c>
      <c r="B94" s="190">
        <v>4</v>
      </c>
      <c r="C94" s="191" t="s">
        <v>2994</v>
      </c>
      <c r="D94" s="191" t="s">
        <v>2995</v>
      </c>
      <c r="E94" s="190">
        <v>2</v>
      </c>
      <c r="F94" s="191" t="s">
        <v>2713</v>
      </c>
      <c r="G94" s="190" t="s">
        <v>2862</v>
      </c>
      <c r="H94" s="190" t="s">
        <v>2815</v>
      </c>
      <c r="I94" s="190" t="s">
        <v>2815</v>
      </c>
      <c r="J94" s="190"/>
      <c r="K94" s="190"/>
      <c r="L94" s="190"/>
      <c r="M94" s="190"/>
      <c r="N94" s="190" t="s">
        <v>2810</v>
      </c>
    </row>
    <row r="95" spans="1:14" x14ac:dyDescent="0.2">
      <c r="A95" s="190">
        <v>2</v>
      </c>
      <c r="B95" s="190">
        <v>11</v>
      </c>
      <c r="C95" s="191" t="s">
        <v>2996</v>
      </c>
      <c r="D95" s="191" t="s">
        <v>2997</v>
      </c>
      <c r="E95" s="190">
        <v>5</v>
      </c>
      <c r="F95" s="191" t="s">
        <v>2732</v>
      </c>
      <c r="G95" s="190" t="s">
        <v>2764</v>
      </c>
      <c r="H95" s="190" t="s">
        <v>2998</v>
      </c>
      <c r="I95" s="190" t="s">
        <v>2716</v>
      </c>
      <c r="J95" s="190" t="s">
        <v>2869</v>
      </c>
      <c r="K95" s="190"/>
      <c r="L95" s="190"/>
      <c r="M95" s="190"/>
      <c r="N95" s="190" t="s">
        <v>2718</v>
      </c>
    </row>
    <row r="96" spans="1:14" x14ac:dyDescent="0.2">
      <c r="A96" s="190">
        <v>3</v>
      </c>
      <c r="B96" s="190">
        <v>12</v>
      </c>
      <c r="C96" s="191" t="s">
        <v>2999</v>
      </c>
      <c r="D96" s="191" t="s">
        <v>2821</v>
      </c>
      <c r="E96" s="190">
        <v>5</v>
      </c>
      <c r="F96" s="191" t="s">
        <v>2732</v>
      </c>
      <c r="G96" s="190" t="s">
        <v>2714</v>
      </c>
      <c r="H96" s="190" t="s">
        <v>3000</v>
      </c>
      <c r="I96" s="190" t="s">
        <v>2716</v>
      </c>
      <c r="J96" s="190" t="s">
        <v>2869</v>
      </c>
      <c r="K96" s="190"/>
      <c r="L96" s="190"/>
      <c r="M96" s="190"/>
      <c r="N96" s="190" t="s">
        <v>2786</v>
      </c>
    </row>
    <row r="97" spans="1:14" x14ac:dyDescent="0.2">
      <c r="A97" s="190">
        <v>4</v>
      </c>
      <c r="B97" s="190">
        <v>14</v>
      </c>
      <c r="C97" s="191" t="s">
        <v>3001</v>
      </c>
      <c r="D97" s="191" t="s">
        <v>2798</v>
      </c>
      <c r="E97" s="190">
        <v>5</v>
      </c>
      <c r="F97" s="191" t="s">
        <v>2732</v>
      </c>
      <c r="G97" s="190" t="s">
        <v>2714</v>
      </c>
      <c r="H97" s="190" t="s">
        <v>3002</v>
      </c>
      <c r="I97" s="190" t="s">
        <v>2716</v>
      </c>
      <c r="J97" s="190" t="s">
        <v>2717</v>
      </c>
      <c r="K97" s="190"/>
      <c r="L97" s="190"/>
      <c r="M97" s="190"/>
      <c r="N97" s="190" t="s">
        <v>2718</v>
      </c>
    </row>
    <row r="98" spans="1:14" x14ac:dyDescent="0.2">
      <c r="A98" s="190">
        <v>5</v>
      </c>
      <c r="B98" s="190">
        <v>15</v>
      </c>
      <c r="C98" s="191" t="s">
        <v>3003</v>
      </c>
      <c r="D98" s="191" t="s">
        <v>3004</v>
      </c>
      <c r="E98" s="190">
        <v>5</v>
      </c>
      <c r="F98" s="191" t="s">
        <v>2776</v>
      </c>
      <c r="G98" s="190" t="s">
        <v>2806</v>
      </c>
      <c r="H98" s="190" t="s">
        <v>2958</v>
      </c>
      <c r="I98" s="190" t="s">
        <v>2716</v>
      </c>
      <c r="J98" s="190" t="s">
        <v>2717</v>
      </c>
      <c r="K98" s="190"/>
      <c r="L98" s="190"/>
      <c r="M98" s="190"/>
      <c r="N98" s="190" t="s">
        <v>2810</v>
      </c>
    </row>
    <row r="99" spans="1:14" x14ac:dyDescent="0.2">
      <c r="A99" s="190">
        <v>6</v>
      </c>
      <c r="B99" s="190">
        <v>15</v>
      </c>
      <c r="C99" s="191" t="s">
        <v>2994</v>
      </c>
      <c r="D99" s="191" t="s">
        <v>2920</v>
      </c>
      <c r="E99" s="190">
        <v>2</v>
      </c>
      <c r="F99" s="191" t="s">
        <v>2776</v>
      </c>
      <c r="G99" s="190" t="s">
        <v>2862</v>
      </c>
      <c r="H99" s="190" t="s">
        <v>3005</v>
      </c>
      <c r="I99" s="190" t="s">
        <v>3006</v>
      </c>
      <c r="J99" s="190"/>
      <c r="K99" s="190"/>
      <c r="L99" s="190"/>
      <c r="M99" s="190"/>
      <c r="N99" s="190" t="s">
        <v>2718</v>
      </c>
    </row>
    <row r="100" spans="1:14" x14ac:dyDescent="0.2">
      <c r="A100" s="190">
        <v>7</v>
      </c>
      <c r="B100" s="190">
        <v>17</v>
      </c>
      <c r="C100" s="191" t="s">
        <v>3007</v>
      </c>
      <c r="D100" s="191" t="s">
        <v>3008</v>
      </c>
      <c r="E100" s="190">
        <v>5</v>
      </c>
      <c r="F100" s="191" t="s">
        <v>2732</v>
      </c>
      <c r="G100" s="190" t="s">
        <v>2714</v>
      </c>
      <c r="H100" s="190" t="s">
        <v>3009</v>
      </c>
      <c r="I100" s="190" t="s">
        <v>2716</v>
      </c>
      <c r="J100" s="190" t="s">
        <v>2869</v>
      </c>
      <c r="K100" s="190"/>
      <c r="L100" s="190"/>
      <c r="M100" s="190"/>
      <c r="N100" s="190" t="s">
        <v>2810</v>
      </c>
    </row>
    <row r="101" spans="1:14" x14ac:dyDescent="0.2">
      <c r="A101" s="190">
        <v>8</v>
      </c>
      <c r="B101" s="190">
        <v>20</v>
      </c>
      <c r="C101" s="191" t="s">
        <v>3010</v>
      </c>
      <c r="D101" s="191" t="s">
        <v>3011</v>
      </c>
      <c r="E101" s="190">
        <v>5</v>
      </c>
      <c r="F101" s="191" t="s">
        <v>2713</v>
      </c>
      <c r="G101" s="190" t="s">
        <v>2714</v>
      </c>
      <c r="H101" s="190" t="s">
        <v>3012</v>
      </c>
      <c r="I101" s="190" t="s">
        <v>2716</v>
      </c>
      <c r="J101" s="190" t="s">
        <v>2717</v>
      </c>
      <c r="K101" s="190"/>
      <c r="L101" s="190"/>
      <c r="M101" s="190"/>
      <c r="N101" s="190" t="s">
        <v>2748</v>
      </c>
    </row>
    <row r="102" spans="1:14" x14ac:dyDescent="0.2">
      <c r="A102" s="190">
        <v>9</v>
      </c>
      <c r="B102" s="190">
        <v>21</v>
      </c>
      <c r="C102" s="191" t="s">
        <v>3013</v>
      </c>
      <c r="D102" s="191" t="s">
        <v>2894</v>
      </c>
      <c r="E102" s="190">
        <v>5</v>
      </c>
      <c r="F102" s="191" t="s">
        <v>2726</v>
      </c>
      <c r="G102" s="190" t="s">
        <v>2714</v>
      </c>
      <c r="H102" s="190" t="s">
        <v>3014</v>
      </c>
      <c r="I102" s="190" t="s">
        <v>2716</v>
      </c>
      <c r="J102" s="190" t="s">
        <v>2869</v>
      </c>
      <c r="K102" s="190"/>
      <c r="L102" s="190"/>
      <c r="M102" s="190"/>
      <c r="N102" s="190" t="s">
        <v>2748</v>
      </c>
    </row>
    <row r="103" spans="1:14" x14ac:dyDescent="0.2">
      <c r="A103" s="190">
        <v>10</v>
      </c>
      <c r="B103" s="190">
        <v>21</v>
      </c>
      <c r="C103" s="191" t="s">
        <v>3015</v>
      </c>
      <c r="D103" s="191" t="s">
        <v>3016</v>
      </c>
      <c r="E103" s="190">
        <v>5</v>
      </c>
      <c r="F103" s="191" t="s">
        <v>2776</v>
      </c>
      <c r="G103" s="190" t="s">
        <v>2714</v>
      </c>
      <c r="H103" s="190" t="s">
        <v>3017</v>
      </c>
      <c r="I103" s="190" t="s">
        <v>2716</v>
      </c>
      <c r="J103" s="190" t="s">
        <v>2869</v>
      </c>
      <c r="K103" s="190"/>
      <c r="L103" s="190"/>
      <c r="M103" s="190"/>
      <c r="N103" s="190" t="s">
        <v>2718</v>
      </c>
    </row>
    <row r="104" spans="1:14" x14ac:dyDescent="0.2">
      <c r="A104" s="190">
        <v>11</v>
      </c>
      <c r="B104" s="190">
        <v>25</v>
      </c>
      <c r="C104" s="191" t="s">
        <v>2774</v>
      </c>
      <c r="D104" s="191" t="s">
        <v>3018</v>
      </c>
      <c r="E104" s="190">
        <v>2</v>
      </c>
      <c r="F104" s="191" t="s">
        <v>2732</v>
      </c>
      <c r="G104" s="190" t="s">
        <v>2826</v>
      </c>
      <c r="H104" s="190" t="s">
        <v>3019</v>
      </c>
      <c r="I104" s="190" t="s">
        <v>3020</v>
      </c>
      <c r="J104" s="190"/>
      <c r="K104" s="190"/>
      <c r="L104" s="190"/>
      <c r="M104" s="190"/>
      <c r="N104" s="190" t="s">
        <v>2738</v>
      </c>
    </row>
    <row r="105" spans="1:14" x14ac:dyDescent="0.2">
      <c r="A105" s="190">
        <v>12</v>
      </c>
      <c r="B105" s="190">
        <v>27</v>
      </c>
      <c r="C105" s="191" t="s">
        <v>3021</v>
      </c>
      <c r="D105" s="191" t="s">
        <v>3022</v>
      </c>
      <c r="E105" s="190">
        <v>5</v>
      </c>
      <c r="F105" s="191" t="s">
        <v>2807</v>
      </c>
      <c r="G105" s="190" t="s">
        <v>2714</v>
      </c>
      <c r="H105" s="190" t="s">
        <v>3023</v>
      </c>
      <c r="I105" s="190" t="s">
        <v>2716</v>
      </c>
      <c r="J105" s="190" t="s">
        <v>2717</v>
      </c>
      <c r="K105" s="190"/>
      <c r="L105" s="190"/>
      <c r="M105" s="190"/>
      <c r="N105" s="190" t="s">
        <v>2748</v>
      </c>
    </row>
    <row r="106" spans="1:14" x14ac:dyDescent="0.2">
      <c r="A106" s="190">
        <v>13</v>
      </c>
      <c r="B106" s="190">
        <v>28</v>
      </c>
      <c r="C106" s="191" t="s">
        <v>3024</v>
      </c>
      <c r="D106" s="191" t="s">
        <v>3025</v>
      </c>
      <c r="E106" s="190">
        <v>5</v>
      </c>
      <c r="F106" s="191" t="s">
        <v>2713</v>
      </c>
      <c r="G106" s="190" t="s">
        <v>2714</v>
      </c>
      <c r="H106" s="190" t="s">
        <v>3026</v>
      </c>
      <c r="I106" s="190" t="s">
        <v>2716</v>
      </c>
      <c r="J106" s="190" t="s">
        <v>2869</v>
      </c>
      <c r="K106" s="190"/>
      <c r="L106" s="190"/>
      <c r="M106" s="190"/>
      <c r="N106" s="190" t="s">
        <v>2738</v>
      </c>
    </row>
    <row r="107" spans="1:14" x14ac:dyDescent="0.2">
      <c r="A107" s="190">
        <v>14</v>
      </c>
      <c r="B107" s="190">
        <v>29</v>
      </c>
      <c r="C107" s="191" t="s">
        <v>3027</v>
      </c>
      <c r="D107" s="191" t="s">
        <v>3028</v>
      </c>
      <c r="E107" s="190">
        <v>5</v>
      </c>
      <c r="F107" s="191" t="s">
        <v>2776</v>
      </c>
      <c r="G107" s="190" t="s">
        <v>2714</v>
      </c>
      <c r="H107" s="190" t="s">
        <v>3029</v>
      </c>
      <c r="I107" s="190" t="s">
        <v>2716</v>
      </c>
      <c r="J107" s="190" t="s">
        <v>2717</v>
      </c>
      <c r="K107" s="190"/>
      <c r="L107" s="190"/>
      <c r="M107" s="190"/>
      <c r="N107" s="190" t="s">
        <v>2718</v>
      </c>
    </row>
    <row r="108" spans="1:14" ht="12.75" customHeight="1" x14ac:dyDescent="0.2">
      <c r="A108" s="353" t="s">
        <v>3030</v>
      </c>
      <c r="B108" s="353"/>
      <c r="C108" s="353"/>
      <c r="D108" s="353"/>
      <c r="E108" s="353"/>
      <c r="F108" s="353"/>
      <c r="G108" s="353"/>
      <c r="H108" s="353"/>
      <c r="I108" s="353"/>
      <c r="J108" s="353"/>
      <c r="K108" s="353"/>
      <c r="L108" s="353"/>
      <c r="M108" s="353"/>
      <c r="N108" s="353"/>
    </row>
    <row r="109" spans="1:14" ht="12.75" customHeight="1" x14ac:dyDescent="0.2">
      <c r="A109" s="353"/>
      <c r="B109" s="353"/>
      <c r="C109" s="353"/>
      <c r="D109" s="353"/>
      <c r="E109" s="353"/>
      <c r="F109" s="353"/>
      <c r="G109" s="353"/>
      <c r="H109" s="353"/>
      <c r="I109" s="353"/>
      <c r="J109" s="353"/>
      <c r="K109" s="353"/>
      <c r="L109" s="353"/>
      <c r="M109" s="353"/>
      <c r="N109" s="353"/>
    </row>
    <row r="110" spans="1:14" x14ac:dyDescent="0.2">
      <c r="A110" s="695" t="s">
        <v>2697</v>
      </c>
      <c r="B110" s="695" t="s">
        <v>2698</v>
      </c>
      <c r="C110" s="697" t="s">
        <v>2699</v>
      </c>
      <c r="D110" s="697" t="s">
        <v>2700</v>
      </c>
      <c r="E110" s="699" t="s">
        <v>2701</v>
      </c>
      <c r="F110" s="701" t="s">
        <v>2702</v>
      </c>
      <c r="G110" s="695" t="s">
        <v>2703</v>
      </c>
      <c r="H110" s="695" t="s">
        <v>2704</v>
      </c>
      <c r="I110" s="695" t="s">
        <v>2705</v>
      </c>
      <c r="J110" s="695" t="s">
        <v>2706</v>
      </c>
      <c r="K110" s="695" t="s">
        <v>2707</v>
      </c>
      <c r="L110" s="697" t="s">
        <v>2708</v>
      </c>
      <c r="M110" s="697" t="s">
        <v>2709</v>
      </c>
      <c r="N110" s="695" t="s">
        <v>2710</v>
      </c>
    </row>
    <row r="111" spans="1:14" x14ac:dyDescent="0.2">
      <c r="A111" s="696"/>
      <c r="B111" s="696"/>
      <c r="C111" s="698"/>
      <c r="D111" s="698"/>
      <c r="E111" s="700"/>
      <c r="F111" s="702"/>
      <c r="G111" s="696"/>
      <c r="H111" s="696"/>
      <c r="I111" s="696"/>
      <c r="J111" s="696"/>
      <c r="K111" s="696"/>
      <c r="L111" s="698"/>
      <c r="M111" s="698"/>
      <c r="N111" s="696"/>
    </row>
    <row r="112" spans="1:14" x14ac:dyDescent="0.2">
      <c r="A112" s="194">
        <v>1</v>
      </c>
      <c r="B112" s="194">
        <v>1</v>
      </c>
      <c r="C112" s="194" t="s">
        <v>3031</v>
      </c>
      <c r="D112" s="194" t="s">
        <v>3032</v>
      </c>
      <c r="E112" s="198">
        <v>5</v>
      </c>
      <c r="F112" s="194" t="s">
        <v>2713</v>
      </c>
      <c r="G112" s="194" t="s">
        <v>2764</v>
      </c>
      <c r="H112" s="194" t="s">
        <v>3033</v>
      </c>
      <c r="I112" s="194" t="s">
        <v>2815</v>
      </c>
      <c r="J112" s="194" t="s">
        <v>2717</v>
      </c>
      <c r="K112" s="194" t="s">
        <v>2717</v>
      </c>
      <c r="L112" s="199"/>
      <c r="M112" s="199"/>
      <c r="N112" s="199" t="s">
        <v>2718</v>
      </c>
    </row>
    <row r="113" spans="1:14" x14ac:dyDescent="0.2">
      <c r="A113" s="194">
        <v>2</v>
      </c>
      <c r="B113" s="194">
        <v>2</v>
      </c>
      <c r="C113" s="194" t="s">
        <v>3034</v>
      </c>
      <c r="D113" s="194" t="s">
        <v>3035</v>
      </c>
      <c r="E113" s="198">
        <v>5</v>
      </c>
      <c r="F113" s="194" t="s">
        <v>2807</v>
      </c>
      <c r="G113" s="194" t="s">
        <v>2714</v>
      </c>
      <c r="H113" s="194" t="s">
        <v>3036</v>
      </c>
      <c r="I113" s="194" t="s">
        <v>2716</v>
      </c>
      <c r="J113" s="194" t="s">
        <v>2717</v>
      </c>
      <c r="K113" s="194"/>
      <c r="L113" s="194"/>
      <c r="M113" s="194"/>
      <c r="N113" s="194" t="s">
        <v>2718</v>
      </c>
    </row>
    <row r="114" spans="1:14" x14ac:dyDescent="0.2">
      <c r="A114" s="194">
        <v>3</v>
      </c>
      <c r="B114" s="194">
        <v>4</v>
      </c>
      <c r="C114" s="194" t="s">
        <v>3037</v>
      </c>
      <c r="D114" s="194" t="s">
        <v>3038</v>
      </c>
      <c r="E114" s="198">
        <v>3</v>
      </c>
      <c r="F114" s="194" t="s">
        <v>2776</v>
      </c>
      <c r="G114" s="194" t="s">
        <v>2714</v>
      </c>
      <c r="H114" s="194" t="s">
        <v>3039</v>
      </c>
      <c r="I114" s="194" t="s">
        <v>2716</v>
      </c>
      <c r="J114" s="194" t="s">
        <v>2717</v>
      </c>
      <c r="K114" s="194"/>
      <c r="L114" s="194"/>
      <c r="M114" s="194"/>
      <c r="N114" s="194" t="s">
        <v>3040</v>
      </c>
    </row>
    <row r="115" spans="1:14" x14ac:dyDescent="0.2">
      <c r="A115" s="190">
        <v>4</v>
      </c>
      <c r="B115" s="190">
        <v>4</v>
      </c>
      <c r="C115" s="191" t="s">
        <v>2966</v>
      </c>
      <c r="D115" s="191" t="s">
        <v>3028</v>
      </c>
      <c r="E115" s="200">
        <v>2</v>
      </c>
      <c r="F115" s="191" t="s">
        <v>2732</v>
      </c>
      <c r="G115" s="192" t="s">
        <v>3041</v>
      </c>
      <c r="H115" s="190" t="s">
        <v>3042</v>
      </c>
      <c r="I115" s="190" t="s">
        <v>2877</v>
      </c>
      <c r="J115" s="190"/>
      <c r="K115" s="190"/>
      <c r="L115" s="190"/>
      <c r="M115" s="190" t="s">
        <v>2760</v>
      </c>
      <c r="N115" s="190" t="s">
        <v>2748</v>
      </c>
    </row>
    <row r="116" spans="1:14" x14ac:dyDescent="0.2">
      <c r="A116" s="190">
        <v>5</v>
      </c>
      <c r="B116" s="190">
        <v>5</v>
      </c>
      <c r="C116" s="191" t="s">
        <v>3043</v>
      </c>
      <c r="D116" s="191" t="s">
        <v>3044</v>
      </c>
      <c r="E116" s="200">
        <v>5</v>
      </c>
      <c r="F116" s="191" t="s">
        <v>2713</v>
      </c>
      <c r="G116" s="190" t="s">
        <v>2714</v>
      </c>
      <c r="H116" s="190" t="s">
        <v>3045</v>
      </c>
      <c r="I116" s="190" t="s">
        <v>2716</v>
      </c>
      <c r="J116" s="190" t="s">
        <v>2869</v>
      </c>
      <c r="K116" s="190"/>
      <c r="L116" s="190"/>
      <c r="M116" s="190"/>
      <c r="N116" s="190" t="s">
        <v>2748</v>
      </c>
    </row>
    <row r="117" spans="1:14" x14ac:dyDescent="0.2">
      <c r="A117" s="190">
        <v>6</v>
      </c>
      <c r="B117" s="190">
        <v>6</v>
      </c>
      <c r="C117" s="191" t="s">
        <v>3046</v>
      </c>
      <c r="D117" s="191" t="s">
        <v>3047</v>
      </c>
      <c r="E117" s="200" t="s">
        <v>3048</v>
      </c>
      <c r="F117" s="191" t="s">
        <v>2790</v>
      </c>
      <c r="G117" s="190" t="s">
        <v>2714</v>
      </c>
      <c r="H117" s="190" t="s">
        <v>3049</v>
      </c>
      <c r="I117" s="190" t="s">
        <v>2716</v>
      </c>
      <c r="J117" s="190" t="s">
        <v>2717</v>
      </c>
      <c r="K117" s="190"/>
      <c r="L117" s="190"/>
      <c r="M117" s="190"/>
      <c r="N117" s="190" t="s">
        <v>2919</v>
      </c>
    </row>
    <row r="118" spans="1:14" x14ac:dyDescent="0.2">
      <c r="A118" s="190">
        <v>7</v>
      </c>
      <c r="B118" s="190">
        <v>8</v>
      </c>
      <c r="C118" s="191" t="s">
        <v>3050</v>
      </c>
      <c r="D118" s="191" t="s">
        <v>3051</v>
      </c>
      <c r="E118" s="200" t="s">
        <v>3052</v>
      </c>
      <c r="F118" s="191" t="s">
        <v>2732</v>
      </c>
      <c r="G118" s="190" t="s">
        <v>2714</v>
      </c>
      <c r="H118" s="190" t="s">
        <v>3053</v>
      </c>
      <c r="I118" s="190" t="s">
        <v>2716</v>
      </c>
      <c r="J118" s="190" t="s">
        <v>2869</v>
      </c>
      <c r="K118" s="190"/>
      <c r="L118" s="190"/>
      <c r="M118" s="190"/>
      <c r="N118" s="190" t="s">
        <v>2718</v>
      </c>
    </row>
    <row r="119" spans="1:14" x14ac:dyDescent="0.2">
      <c r="A119" s="190">
        <v>8</v>
      </c>
      <c r="B119" s="190">
        <v>8</v>
      </c>
      <c r="C119" s="191" t="s">
        <v>3054</v>
      </c>
      <c r="D119" s="191" t="s">
        <v>3055</v>
      </c>
      <c r="E119" s="200" t="s">
        <v>3048</v>
      </c>
      <c r="F119" s="191" t="s">
        <v>2713</v>
      </c>
      <c r="G119" s="190" t="s">
        <v>2764</v>
      </c>
      <c r="H119" s="190" t="s">
        <v>3056</v>
      </c>
      <c r="I119" s="190" t="s">
        <v>2716</v>
      </c>
      <c r="J119" s="190"/>
      <c r="K119" s="190" t="s">
        <v>2717</v>
      </c>
      <c r="L119" s="190"/>
      <c r="M119" s="190"/>
      <c r="N119" s="190" t="s">
        <v>2816</v>
      </c>
    </row>
    <row r="120" spans="1:14" x14ac:dyDescent="0.2">
      <c r="A120" s="190">
        <v>9</v>
      </c>
      <c r="B120" s="190">
        <v>10</v>
      </c>
      <c r="C120" s="191" t="s">
        <v>3057</v>
      </c>
      <c r="D120" s="191" t="s">
        <v>3058</v>
      </c>
      <c r="E120" s="200" t="s">
        <v>3052</v>
      </c>
      <c r="F120" s="191" t="s">
        <v>2732</v>
      </c>
      <c r="G120" s="190" t="s">
        <v>2764</v>
      </c>
      <c r="H120" s="190" t="s">
        <v>3059</v>
      </c>
      <c r="I120" s="190" t="s">
        <v>3060</v>
      </c>
      <c r="J120" s="190" t="s">
        <v>2717</v>
      </c>
      <c r="K120" s="190"/>
      <c r="L120" s="190"/>
      <c r="M120" s="190"/>
      <c r="N120" s="190" t="s">
        <v>2718</v>
      </c>
    </row>
    <row r="121" spans="1:14" x14ac:dyDescent="0.2">
      <c r="A121" s="190">
        <v>10</v>
      </c>
      <c r="B121" s="190">
        <v>13</v>
      </c>
      <c r="C121" s="191" t="s">
        <v>3061</v>
      </c>
      <c r="D121" s="191" t="s">
        <v>3062</v>
      </c>
      <c r="E121" s="200" t="s">
        <v>3063</v>
      </c>
      <c r="F121" s="191" t="s">
        <v>2713</v>
      </c>
      <c r="G121" s="192" t="s">
        <v>2395</v>
      </c>
      <c r="H121" s="190" t="s">
        <v>3064</v>
      </c>
      <c r="I121" s="190" t="s">
        <v>2815</v>
      </c>
      <c r="J121" s="190"/>
      <c r="K121" s="190"/>
      <c r="L121" s="190"/>
      <c r="M121" s="190"/>
      <c r="N121" s="190" t="s">
        <v>2793</v>
      </c>
    </row>
    <row r="122" spans="1:14" x14ac:dyDescent="0.2">
      <c r="A122" s="190">
        <v>11</v>
      </c>
      <c r="B122" s="190">
        <v>14</v>
      </c>
      <c r="C122" s="191" t="s">
        <v>3065</v>
      </c>
      <c r="D122" s="191" t="s">
        <v>3066</v>
      </c>
      <c r="E122" s="200" t="s">
        <v>3052</v>
      </c>
      <c r="F122" s="191" t="s">
        <v>2776</v>
      </c>
      <c r="G122" s="190" t="s">
        <v>2714</v>
      </c>
      <c r="H122" s="190" t="s">
        <v>3067</v>
      </c>
      <c r="I122" s="190" t="s">
        <v>2716</v>
      </c>
      <c r="J122" s="190" t="s">
        <v>2869</v>
      </c>
      <c r="K122" s="190"/>
      <c r="L122" s="190"/>
      <c r="M122" s="190"/>
      <c r="N122" s="190" t="s">
        <v>2748</v>
      </c>
    </row>
    <row r="123" spans="1:14" x14ac:dyDescent="0.2">
      <c r="A123" s="190">
        <v>12</v>
      </c>
      <c r="B123" s="190">
        <v>16</v>
      </c>
      <c r="C123" s="191" t="s">
        <v>3068</v>
      </c>
      <c r="D123" s="191" t="s">
        <v>3069</v>
      </c>
      <c r="E123" s="200" t="s">
        <v>3063</v>
      </c>
      <c r="F123" s="191" t="s">
        <v>2732</v>
      </c>
      <c r="G123" s="192" t="s">
        <v>3070</v>
      </c>
      <c r="H123" s="190" t="s">
        <v>3071</v>
      </c>
      <c r="I123" s="190" t="s">
        <v>2815</v>
      </c>
      <c r="J123" s="190"/>
      <c r="K123" s="190"/>
      <c r="L123" s="190"/>
      <c r="M123" s="190"/>
      <c r="N123" s="190" t="s">
        <v>2718</v>
      </c>
    </row>
    <row r="124" spans="1:14" x14ac:dyDescent="0.2">
      <c r="A124" s="190">
        <v>13</v>
      </c>
      <c r="B124" s="190">
        <v>18</v>
      </c>
      <c r="C124" s="191" t="s">
        <v>3072</v>
      </c>
      <c r="D124" s="191" t="s">
        <v>3073</v>
      </c>
      <c r="E124" s="200" t="s">
        <v>3052</v>
      </c>
      <c r="F124" s="191" t="s">
        <v>2807</v>
      </c>
      <c r="G124" s="190" t="s">
        <v>2714</v>
      </c>
      <c r="H124" s="190" t="s">
        <v>3074</v>
      </c>
      <c r="I124" s="190" t="s">
        <v>2716</v>
      </c>
      <c r="J124" s="190" t="s">
        <v>2869</v>
      </c>
      <c r="K124" s="190"/>
      <c r="L124" s="190"/>
      <c r="M124" s="190"/>
      <c r="N124" s="190" t="s">
        <v>2718</v>
      </c>
    </row>
    <row r="125" spans="1:14" x14ac:dyDescent="0.2">
      <c r="A125" s="190">
        <v>14</v>
      </c>
      <c r="B125" s="190">
        <v>18</v>
      </c>
      <c r="C125" s="191" t="s">
        <v>2977</v>
      </c>
      <c r="D125" s="191" t="s">
        <v>3075</v>
      </c>
      <c r="E125" s="200" t="s">
        <v>3063</v>
      </c>
      <c r="F125" s="191" t="s">
        <v>2807</v>
      </c>
      <c r="G125" s="190" t="s">
        <v>2862</v>
      </c>
      <c r="H125" s="190" t="s">
        <v>3076</v>
      </c>
      <c r="I125" s="190" t="s">
        <v>2815</v>
      </c>
      <c r="J125" s="190"/>
      <c r="K125" s="190"/>
      <c r="L125" s="190"/>
      <c r="M125" s="190"/>
      <c r="N125" s="190" t="s">
        <v>2810</v>
      </c>
    </row>
    <row r="126" spans="1:14" x14ac:dyDescent="0.2">
      <c r="A126" s="190">
        <v>15</v>
      </c>
      <c r="B126" s="190">
        <v>19</v>
      </c>
      <c r="C126" s="191" t="s">
        <v>3077</v>
      </c>
      <c r="D126" s="191" t="s">
        <v>3078</v>
      </c>
      <c r="E126" s="200" t="s">
        <v>3063</v>
      </c>
      <c r="F126" s="191" t="s">
        <v>2807</v>
      </c>
      <c r="G126" s="192" t="s">
        <v>2970</v>
      </c>
      <c r="H126" s="190" t="s">
        <v>3079</v>
      </c>
      <c r="I126" s="190" t="s">
        <v>2877</v>
      </c>
      <c r="J126" s="190"/>
      <c r="K126" s="190"/>
      <c r="L126" s="190"/>
      <c r="M126" s="190" t="s">
        <v>3080</v>
      </c>
      <c r="N126" s="190" t="s">
        <v>2718</v>
      </c>
    </row>
    <row r="127" spans="1:14" x14ac:dyDescent="0.2">
      <c r="A127" s="190">
        <v>16</v>
      </c>
      <c r="B127" s="190">
        <v>19</v>
      </c>
      <c r="C127" s="191" t="s">
        <v>3081</v>
      </c>
      <c r="D127" s="191" t="s">
        <v>3082</v>
      </c>
      <c r="E127" s="200" t="s">
        <v>3052</v>
      </c>
      <c r="F127" s="191" t="s">
        <v>2807</v>
      </c>
      <c r="G127" s="190" t="s">
        <v>2714</v>
      </c>
      <c r="H127" s="190" t="s">
        <v>3083</v>
      </c>
      <c r="I127" s="190" t="s">
        <v>2716</v>
      </c>
      <c r="J127" s="190" t="s">
        <v>2869</v>
      </c>
      <c r="K127" s="190"/>
      <c r="L127" s="190"/>
      <c r="M127" s="190"/>
      <c r="N127" s="190" t="s">
        <v>2748</v>
      </c>
    </row>
    <row r="128" spans="1:14" x14ac:dyDescent="0.2">
      <c r="A128" s="190">
        <v>17</v>
      </c>
      <c r="B128" s="190">
        <v>19</v>
      </c>
      <c r="C128" s="191" t="s">
        <v>3084</v>
      </c>
      <c r="D128" s="191" t="s">
        <v>2875</v>
      </c>
      <c r="E128" s="200" t="s">
        <v>3052</v>
      </c>
      <c r="F128" s="191" t="s">
        <v>2807</v>
      </c>
      <c r="G128" s="190" t="s">
        <v>2764</v>
      </c>
      <c r="H128" s="190" t="s">
        <v>2747</v>
      </c>
      <c r="I128" s="190" t="s">
        <v>2716</v>
      </c>
      <c r="J128" s="190" t="s">
        <v>2717</v>
      </c>
      <c r="K128" s="190"/>
      <c r="L128" s="190"/>
      <c r="M128" s="190"/>
      <c r="N128" s="190" t="s">
        <v>2810</v>
      </c>
    </row>
    <row r="129" spans="1:14" x14ac:dyDescent="0.2">
      <c r="A129" s="190">
        <v>18</v>
      </c>
      <c r="B129" s="190">
        <v>20</v>
      </c>
      <c r="C129" s="191" t="s">
        <v>3085</v>
      </c>
      <c r="D129" s="191" t="s">
        <v>3086</v>
      </c>
      <c r="E129" s="200" t="s">
        <v>3052</v>
      </c>
      <c r="F129" s="191" t="s">
        <v>2732</v>
      </c>
      <c r="G129" s="190" t="s">
        <v>2714</v>
      </c>
      <c r="H129" s="190" t="s">
        <v>3087</v>
      </c>
      <c r="I129" s="190" t="s">
        <v>2716</v>
      </c>
      <c r="J129" s="190" t="s">
        <v>2869</v>
      </c>
      <c r="K129" s="190"/>
      <c r="L129" s="190"/>
      <c r="M129" s="190"/>
      <c r="N129" s="190" t="s">
        <v>2786</v>
      </c>
    </row>
    <row r="130" spans="1:14" x14ac:dyDescent="0.2">
      <c r="A130" s="192">
        <v>19</v>
      </c>
      <c r="B130" s="190">
        <v>21</v>
      </c>
      <c r="C130" s="191" t="s">
        <v>3088</v>
      </c>
      <c r="D130" s="191" t="s">
        <v>3089</v>
      </c>
      <c r="E130" s="200" t="s">
        <v>3052</v>
      </c>
      <c r="F130" s="191" t="s">
        <v>2713</v>
      </c>
      <c r="G130" s="190" t="s">
        <v>2714</v>
      </c>
      <c r="H130" s="190" t="s">
        <v>3090</v>
      </c>
      <c r="I130" s="190" t="s">
        <v>2716</v>
      </c>
      <c r="J130" s="190" t="s">
        <v>2869</v>
      </c>
      <c r="K130" s="190"/>
      <c r="L130" s="190"/>
      <c r="M130" s="190"/>
      <c r="N130" s="190" t="s">
        <v>2748</v>
      </c>
    </row>
    <row r="131" spans="1:14" x14ac:dyDescent="0.2">
      <c r="A131" s="190">
        <v>20</v>
      </c>
      <c r="B131" s="190">
        <v>22</v>
      </c>
      <c r="C131" s="193" t="s">
        <v>3091</v>
      </c>
      <c r="D131" s="191" t="s">
        <v>3092</v>
      </c>
      <c r="E131" s="200" t="s">
        <v>3052</v>
      </c>
      <c r="F131" s="191" t="s">
        <v>2776</v>
      </c>
      <c r="G131" s="190" t="s">
        <v>2764</v>
      </c>
      <c r="H131" s="190" t="s">
        <v>2815</v>
      </c>
      <c r="I131" s="190" t="s">
        <v>2716</v>
      </c>
      <c r="J131" s="190"/>
      <c r="K131" s="190" t="s">
        <v>2717</v>
      </c>
      <c r="L131" s="190"/>
      <c r="M131" s="190"/>
      <c r="N131" s="190" t="s">
        <v>2748</v>
      </c>
    </row>
    <row r="132" spans="1:14" x14ac:dyDescent="0.2">
      <c r="A132" s="190">
        <v>21</v>
      </c>
      <c r="B132" s="190">
        <v>24</v>
      </c>
      <c r="C132" s="191" t="s">
        <v>3093</v>
      </c>
      <c r="D132" s="191" t="s">
        <v>3094</v>
      </c>
      <c r="E132" s="200" t="s">
        <v>3052</v>
      </c>
      <c r="F132" s="191" t="s">
        <v>2807</v>
      </c>
      <c r="G132" s="190" t="s">
        <v>2764</v>
      </c>
      <c r="H132" s="190" t="s">
        <v>3095</v>
      </c>
      <c r="I132" s="190" t="s">
        <v>2716</v>
      </c>
      <c r="J132" s="190" t="s">
        <v>2717</v>
      </c>
      <c r="K132" s="190"/>
      <c r="L132" s="190"/>
      <c r="M132" s="190"/>
      <c r="N132" s="190" t="s">
        <v>2810</v>
      </c>
    </row>
    <row r="133" spans="1:14" x14ac:dyDescent="0.2">
      <c r="A133" s="190">
        <v>22</v>
      </c>
      <c r="B133" s="190">
        <v>24</v>
      </c>
      <c r="C133" s="191" t="s">
        <v>3096</v>
      </c>
      <c r="D133" s="191" t="s">
        <v>3097</v>
      </c>
      <c r="E133" s="200" t="s">
        <v>3052</v>
      </c>
      <c r="F133" s="191" t="s">
        <v>2713</v>
      </c>
      <c r="G133" s="190" t="s">
        <v>2764</v>
      </c>
      <c r="H133" s="190" t="s">
        <v>3098</v>
      </c>
      <c r="I133" s="190" t="s">
        <v>2716</v>
      </c>
      <c r="J133" s="190" t="s">
        <v>2717</v>
      </c>
      <c r="K133" s="190"/>
      <c r="L133" s="190"/>
      <c r="M133" s="190"/>
      <c r="N133" s="190" t="s">
        <v>2718</v>
      </c>
    </row>
    <row r="134" spans="1:14" x14ac:dyDescent="0.2">
      <c r="A134" s="190">
        <v>23</v>
      </c>
      <c r="B134" s="190">
        <v>24</v>
      </c>
      <c r="C134" s="191" t="s">
        <v>2924</v>
      </c>
      <c r="D134" s="191" t="s">
        <v>3099</v>
      </c>
      <c r="E134" s="200" t="s">
        <v>3052</v>
      </c>
      <c r="F134" s="191" t="s">
        <v>2776</v>
      </c>
      <c r="G134" s="190" t="s">
        <v>2764</v>
      </c>
      <c r="H134" s="190" t="s">
        <v>3100</v>
      </c>
      <c r="I134" s="190" t="s">
        <v>2716</v>
      </c>
      <c r="J134" s="190"/>
      <c r="K134" s="190"/>
      <c r="L134" s="190"/>
      <c r="M134" s="190"/>
      <c r="N134" s="190" t="s">
        <v>2718</v>
      </c>
    </row>
    <row r="135" spans="1:14" x14ac:dyDescent="0.2">
      <c r="A135" s="190">
        <v>24</v>
      </c>
      <c r="B135" s="190">
        <v>24</v>
      </c>
      <c r="C135" s="191" t="s">
        <v>3101</v>
      </c>
      <c r="D135" s="191" t="s">
        <v>3102</v>
      </c>
      <c r="E135" s="200" t="s">
        <v>3052</v>
      </c>
      <c r="F135" s="191" t="s">
        <v>2713</v>
      </c>
      <c r="G135" s="190" t="s">
        <v>2764</v>
      </c>
      <c r="H135" s="190" t="s">
        <v>3103</v>
      </c>
      <c r="I135" s="190" t="s">
        <v>2716</v>
      </c>
      <c r="J135" s="190"/>
      <c r="K135" s="190"/>
      <c r="L135" s="190"/>
      <c r="M135" s="190"/>
      <c r="N135" s="190" t="s">
        <v>2748</v>
      </c>
    </row>
    <row r="136" spans="1:14" x14ac:dyDescent="0.2">
      <c r="A136" s="190">
        <v>25</v>
      </c>
      <c r="B136" s="190">
        <v>26</v>
      </c>
      <c r="C136" s="191" t="s">
        <v>2907</v>
      </c>
      <c r="D136" s="191" t="s">
        <v>2867</v>
      </c>
      <c r="E136" s="200" t="s">
        <v>3052</v>
      </c>
      <c r="F136" s="191" t="s">
        <v>2713</v>
      </c>
      <c r="G136" s="190" t="s">
        <v>2714</v>
      </c>
      <c r="H136" s="190" t="s">
        <v>3104</v>
      </c>
      <c r="I136" s="190" t="s">
        <v>2716</v>
      </c>
      <c r="J136" s="190" t="s">
        <v>2717</v>
      </c>
      <c r="K136" s="190"/>
      <c r="L136" s="190"/>
      <c r="M136" s="190"/>
      <c r="N136" s="190" t="s">
        <v>3105</v>
      </c>
    </row>
    <row r="137" spans="1:14" x14ac:dyDescent="0.2">
      <c r="A137" s="190">
        <v>26</v>
      </c>
      <c r="B137" s="190">
        <v>27</v>
      </c>
      <c r="C137" s="191" t="s">
        <v>3106</v>
      </c>
      <c r="D137" s="191" t="s">
        <v>3075</v>
      </c>
      <c r="E137" s="200" t="s">
        <v>3052</v>
      </c>
      <c r="F137" s="191" t="s">
        <v>2732</v>
      </c>
      <c r="G137" s="190" t="s">
        <v>2714</v>
      </c>
      <c r="H137" s="190" t="s">
        <v>3107</v>
      </c>
      <c r="I137" s="190" t="s">
        <v>2716</v>
      </c>
      <c r="J137" s="190" t="s">
        <v>2869</v>
      </c>
      <c r="K137" s="190"/>
      <c r="L137" s="190"/>
      <c r="M137" s="190"/>
      <c r="N137" s="190" t="s">
        <v>2836</v>
      </c>
    </row>
    <row r="138" spans="1:14" x14ac:dyDescent="0.2">
      <c r="A138" s="190">
        <v>27</v>
      </c>
      <c r="B138" s="190">
        <v>31</v>
      </c>
      <c r="C138" s="191" t="s">
        <v>2907</v>
      </c>
      <c r="D138" s="191" t="s">
        <v>2921</v>
      </c>
      <c r="E138" s="200" t="s">
        <v>3052</v>
      </c>
      <c r="F138" s="191" t="s">
        <v>2790</v>
      </c>
      <c r="G138" s="190" t="s">
        <v>2714</v>
      </c>
      <c r="H138" s="190" t="s">
        <v>2988</v>
      </c>
      <c r="I138" s="190" t="s">
        <v>2716</v>
      </c>
      <c r="J138" s="190" t="s">
        <v>2717</v>
      </c>
      <c r="K138" s="190"/>
      <c r="L138" s="190"/>
      <c r="M138" s="190"/>
      <c r="N138" s="190" t="s">
        <v>2748</v>
      </c>
    </row>
    <row r="139" spans="1:14" ht="12.75" customHeight="1" x14ac:dyDescent="0.2">
      <c r="A139" s="353" t="s">
        <v>3108</v>
      </c>
      <c r="B139" s="353"/>
      <c r="C139" s="353"/>
      <c r="D139" s="353"/>
      <c r="E139" s="353"/>
      <c r="F139" s="353"/>
      <c r="G139" s="353"/>
      <c r="H139" s="353"/>
      <c r="I139" s="353"/>
      <c r="J139" s="353"/>
      <c r="K139" s="353"/>
      <c r="L139" s="353"/>
      <c r="M139" s="353"/>
      <c r="N139" s="353"/>
    </row>
    <row r="140" spans="1:14" ht="12.75" customHeight="1" x14ac:dyDescent="0.2">
      <c r="A140" s="353"/>
      <c r="B140" s="353"/>
      <c r="C140" s="353"/>
      <c r="D140" s="353"/>
      <c r="E140" s="353"/>
      <c r="F140" s="353"/>
      <c r="G140" s="353"/>
      <c r="H140" s="353"/>
      <c r="I140" s="353"/>
      <c r="J140" s="353"/>
      <c r="K140" s="353"/>
      <c r="L140" s="353"/>
      <c r="M140" s="353"/>
      <c r="N140" s="353"/>
    </row>
    <row r="141" spans="1:14" x14ac:dyDescent="0.2">
      <c r="A141" s="695" t="s">
        <v>2697</v>
      </c>
      <c r="B141" s="695" t="s">
        <v>2698</v>
      </c>
      <c r="C141" s="697" t="s">
        <v>2699</v>
      </c>
      <c r="D141" s="697" t="s">
        <v>2700</v>
      </c>
      <c r="E141" s="699" t="s">
        <v>2701</v>
      </c>
      <c r="F141" s="701" t="s">
        <v>2702</v>
      </c>
      <c r="G141" s="695" t="s">
        <v>2703</v>
      </c>
      <c r="H141" s="695" t="s">
        <v>2704</v>
      </c>
      <c r="I141" s="695" t="s">
        <v>2705</v>
      </c>
      <c r="J141" s="695" t="s">
        <v>2706</v>
      </c>
      <c r="K141" s="695" t="s">
        <v>2707</v>
      </c>
      <c r="L141" s="697" t="s">
        <v>2708</v>
      </c>
      <c r="M141" s="697" t="s">
        <v>2709</v>
      </c>
      <c r="N141" s="695" t="s">
        <v>2710</v>
      </c>
    </row>
    <row r="142" spans="1:14" x14ac:dyDescent="0.2">
      <c r="A142" s="696"/>
      <c r="B142" s="696"/>
      <c r="C142" s="698"/>
      <c r="D142" s="698"/>
      <c r="E142" s="700"/>
      <c r="F142" s="702"/>
      <c r="G142" s="696"/>
      <c r="H142" s="696"/>
      <c r="I142" s="696"/>
      <c r="J142" s="696"/>
      <c r="K142" s="696"/>
      <c r="L142" s="698"/>
      <c r="M142" s="698"/>
      <c r="N142" s="696"/>
    </row>
    <row r="143" spans="1:14" x14ac:dyDescent="0.2">
      <c r="A143" s="190">
        <v>1</v>
      </c>
      <c r="B143" s="190">
        <v>1</v>
      </c>
      <c r="C143" s="190" t="s">
        <v>3046</v>
      </c>
      <c r="D143" s="190" t="s">
        <v>3109</v>
      </c>
      <c r="E143" s="200">
        <v>5</v>
      </c>
      <c r="F143" s="190" t="s">
        <v>2790</v>
      </c>
      <c r="G143" s="190" t="s">
        <v>2803</v>
      </c>
      <c r="H143" s="190" t="s">
        <v>3110</v>
      </c>
      <c r="I143" s="190" t="s">
        <v>3111</v>
      </c>
      <c r="J143" s="190"/>
      <c r="K143" s="190"/>
      <c r="L143" s="190"/>
      <c r="M143" s="190"/>
      <c r="N143" s="190" t="s">
        <v>2718</v>
      </c>
    </row>
    <row r="144" spans="1:14" x14ac:dyDescent="0.2">
      <c r="A144" s="190">
        <v>2</v>
      </c>
      <c r="B144" s="190">
        <v>2</v>
      </c>
      <c r="C144" s="190" t="s">
        <v>3112</v>
      </c>
      <c r="D144" s="190" t="s">
        <v>3113</v>
      </c>
      <c r="E144" s="200">
        <v>2</v>
      </c>
      <c r="F144" s="190" t="s">
        <v>2776</v>
      </c>
      <c r="G144" s="190" t="s">
        <v>2826</v>
      </c>
      <c r="H144" s="190" t="s">
        <v>3114</v>
      </c>
      <c r="I144" s="190" t="s">
        <v>2716</v>
      </c>
      <c r="J144" s="190"/>
      <c r="K144" s="190"/>
      <c r="L144" s="190"/>
      <c r="M144" s="190"/>
      <c r="N144" s="190" t="s">
        <v>2718</v>
      </c>
    </row>
    <row r="145" spans="1:14" x14ac:dyDescent="0.2">
      <c r="A145" s="190">
        <v>3</v>
      </c>
      <c r="B145" s="190">
        <v>2</v>
      </c>
      <c r="C145" s="190" t="s">
        <v>3115</v>
      </c>
      <c r="D145" s="190" t="s">
        <v>3116</v>
      </c>
      <c r="E145" s="200">
        <v>5</v>
      </c>
      <c r="F145" s="190" t="s">
        <v>2776</v>
      </c>
      <c r="G145" s="190" t="s">
        <v>2721</v>
      </c>
      <c r="H145" s="190" t="s">
        <v>2784</v>
      </c>
      <c r="I145" s="190" t="s">
        <v>3117</v>
      </c>
      <c r="J145" s="190" t="s">
        <v>2717</v>
      </c>
      <c r="K145" s="190"/>
      <c r="L145" s="190"/>
      <c r="M145" s="190"/>
      <c r="N145" s="190" t="s">
        <v>2748</v>
      </c>
    </row>
    <row r="146" spans="1:14" x14ac:dyDescent="0.2">
      <c r="A146" s="190">
        <v>4</v>
      </c>
      <c r="B146" s="190">
        <v>2</v>
      </c>
      <c r="C146" s="190" t="s">
        <v>3118</v>
      </c>
      <c r="D146" s="190" t="s">
        <v>3086</v>
      </c>
      <c r="E146" s="200">
        <v>5</v>
      </c>
      <c r="F146" s="190" t="s">
        <v>2776</v>
      </c>
      <c r="G146" s="190" t="s">
        <v>2714</v>
      </c>
      <c r="H146" s="190" t="s">
        <v>3045</v>
      </c>
      <c r="I146" s="190" t="s">
        <v>2716</v>
      </c>
      <c r="J146" s="190" t="s">
        <v>2717</v>
      </c>
      <c r="K146" s="190"/>
      <c r="L146" s="190"/>
      <c r="M146" s="190"/>
      <c r="N146" s="190" t="s">
        <v>2919</v>
      </c>
    </row>
    <row r="147" spans="1:14" x14ac:dyDescent="0.2">
      <c r="A147" s="190">
        <v>5</v>
      </c>
      <c r="B147" s="190">
        <v>5</v>
      </c>
      <c r="C147" s="190" t="s">
        <v>3119</v>
      </c>
      <c r="D147" s="190" t="s">
        <v>2750</v>
      </c>
      <c r="E147" s="200">
        <v>5</v>
      </c>
      <c r="F147" s="190" t="s">
        <v>2726</v>
      </c>
      <c r="G147" s="190" t="s">
        <v>2764</v>
      </c>
      <c r="H147" s="190" t="s">
        <v>3120</v>
      </c>
      <c r="I147" s="190" t="s">
        <v>3121</v>
      </c>
      <c r="J147" s="190"/>
      <c r="K147" s="190"/>
      <c r="L147" s="190"/>
      <c r="M147" s="190"/>
      <c r="N147" s="190" t="s">
        <v>2748</v>
      </c>
    </row>
    <row r="148" spans="1:14" x14ac:dyDescent="0.2">
      <c r="A148" s="190">
        <v>6</v>
      </c>
      <c r="B148" s="190">
        <v>6</v>
      </c>
      <c r="C148" s="190" t="s">
        <v>3122</v>
      </c>
      <c r="D148" s="190" t="s">
        <v>3123</v>
      </c>
      <c r="E148" s="200">
        <v>5</v>
      </c>
      <c r="F148" s="190" t="s">
        <v>2746</v>
      </c>
      <c r="G148" s="190" t="s">
        <v>2764</v>
      </c>
      <c r="H148" s="190" t="s">
        <v>3124</v>
      </c>
      <c r="I148" s="190" t="s">
        <v>2877</v>
      </c>
      <c r="J148" s="190" t="s">
        <v>2717</v>
      </c>
      <c r="K148" s="190"/>
      <c r="L148" s="190"/>
      <c r="M148" s="190"/>
      <c r="N148" s="190" t="s">
        <v>2738</v>
      </c>
    </row>
    <row r="149" spans="1:14" x14ac:dyDescent="0.2">
      <c r="A149" s="190">
        <v>7</v>
      </c>
      <c r="B149" s="190">
        <v>7</v>
      </c>
      <c r="C149" s="190" t="s">
        <v>2801</v>
      </c>
      <c r="D149" s="190" t="s">
        <v>3125</v>
      </c>
      <c r="E149" s="200">
        <v>5</v>
      </c>
      <c r="F149" s="190" t="s">
        <v>2815</v>
      </c>
      <c r="G149" s="190" t="s">
        <v>2764</v>
      </c>
      <c r="H149" s="190" t="s">
        <v>3126</v>
      </c>
      <c r="I149" s="190" t="s">
        <v>2877</v>
      </c>
      <c r="J149" s="190"/>
      <c r="K149" s="190"/>
      <c r="L149" s="190"/>
      <c r="M149" s="190"/>
      <c r="N149" s="190" t="s">
        <v>2919</v>
      </c>
    </row>
    <row r="150" spans="1:14" x14ac:dyDescent="0.2">
      <c r="A150" s="190">
        <v>8</v>
      </c>
      <c r="B150" s="190">
        <v>7</v>
      </c>
      <c r="C150" s="191" t="s">
        <v>3034</v>
      </c>
      <c r="D150" s="191" t="s">
        <v>3127</v>
      </c>
      <c r="E150" s="200">
        <v>5</v>
      </c>
      <c r="F150" s="191" t="s">
        <v>2713</v>
      </c>
      <c r="G150" s="190" t="s">
        <v>2721</v>
      </c>
      <c r="H150" s="190" t="s">
        <v>3128</v>
      </c>
      <c r="I150" s="190" t="s">
        <v>3129</v>
      </c>
      <c r="J150" s="190" t="s">
        <v>2717</v>
      </c>
      <c r="K150" s="190"/>
      <c r="L150" s="190"/>
      <c r="M150" s="190"/>
      <c r="N150" s="190" t="s">
        <v>2748</v>
      </c>
    </row>
    <row r="151" spans="1:14" x14ac:dyDescent="0.2">
      <c r="A151" s="190">
        <v>9</v>
      </c>
      <c r="B151" s="190">
        <v>8</v>
      </c>
      <c r="C151" s="191" t="s">
        <v>3130</v>
      </c>
      <c r="D151" s="191" t="s">
        <v>3131</v>
      </c>
      <c r="E151" s="200" t="s">
        <v>3063</v>
      </c>
      <c r="F151" s="191" t="s">
        <v>2732</v>
      </c>
      <c r="G151" s="190" t="s">
        <v>2896</v>
      </c>
      <c r="H151" s="190" t="s">
        <v>3132</v>
      </c>
      <c r="I151" s="190" t="s">
        <v>2716</v>
      </c>
      <c r="J151" s="190"/>
      <c r="K151" s="190"/>
      <c r="L151" s="190"/>
      <c r="M151" s="190"/>
      <c r="N151" s="190" t="s">
        <v>2718</v>
      </c>
    </row>
    <row r="152" spans="1:14" x14ac:dyDescent="0.2">
      <c r="A152" s="190">
        <v>10</v>
      </c>
      <c r="B152" s="190">
        <v>9</v>
      </c>
      <c r="C152" s="191" t="s">
        <v>3133</v>
      </c>
      <c r="D152" s="191" t="s">
        <v>3134</v>
      </c>
      <c r="E152" s="200" t="s">
        <v>3052</v>
      </c>
      <c r="F152" s="191" t="s">
        <v>2763</v>
      </c>
      <c r="G152" s="190" t="s">
        <v>2714</v>
      </c>
      <c r="H152" s="190" t="s">
        <v>3135</v>
      </c>
      <c r="I152" s="190" t="s">
        <v>2716</v>
      </c>
      <c r="J152" s="190" t="s">
        <v>2717</v>
      </c>
      <c r="K152" s="190"/>
      <c r="L152" s="190"/>
      <c r="M152" s="190"/>
      <c r="N152" s="190" t="s">
        <v>2748</v>
      </c>
    </row>
    <row r="153" spans="1:14" x14ac:dyDescent="0.2">
      <c r="A153" s="190">
        <v>11</v>
      </c>
      <c r="B153" s="190">
        <v>9</v>
      </c>
      <c r="C153" s="191" t="s">
        <v>2966</v>
      </c>
      <c r="D153" s="191" t="s">
        <v>3136</v>
      </c>
      <c r="E153" s="200" t="s">
        <v>3063</v>
      </c>
      <c r="F153" s="191" t="s">
        <v>2776</v>
      </c>
      <c r="G153" s="192" t="s">
        <v>3041</v>
      </c>
      <c r="H153" s="190" t="s">
        <v>3137</v>
      </c>
      <c r="I153" s="190" t="s">
        <v>2877</v>
      </c>
      <c r="J153" s="190"/>
      <c r="K153" s="190"/>
      <c r="L153" s="190"/>
      <c r="M153" s="190"/>
      <c r="N153" s="190" t="s">
        <v>2718</v>
      </c>
    </row>
    <row r="154" spans="1:14" x14ac:dyDescent="0.2">
      <c r="A154" s="190">
        <v>12</v>
      </c>
      <c r="B154" s="190">
        <v>11</v>
      </c>
      <c r="C154" s="191" t="s">
        <v>3138</v>
      </c>
      <c r="D154" s="191" t="s">
        <v>3139</v>
      </c>
      <c r="E154" s="200" t="s">
        <v>3052</v>
      </c>
      <c r="F154" s="191" t="s">
        <v>2776</v>
      </c>
      <c r="G154" s="190" t="s">
        <v>2721</v>
      </c>
      <c r="H154" s="190" t="s">
        <v>3140</v>
      </c>
      <c r="I154" s="190" t="s">
        <v>2809</v>
      </c>
      <c r="J154" s="190" t="s">
        <v>2717</v>
      </c>
      <c r="K154" s="190"/>
      <c r="L154" s="190"/>
      <c r="M154" s="190"/>
      <c r="N154" s="190" t="s">
        <v>2738</v>
      </c>
    </row>
    <row r="155" spans="1:14" x14ac:dyDescent="0.2">
      <c r="A155" s="192">
        <v>13</v>
      </c>
      <c r="B155" s="190">
        <v>13</v>
      </c>
      <c r="C155" s="191" t="s">
        <v>2906</v>
      </c>
      <c r="D155" s="191" t="s">
        <v>3141</v>
      </c>
      <c r="E155" s="200" t="s">
        <v>3063</v>
      </c>
      <c r="F155" s="191" t="s">
        <v>2790</v>
      </c>
      <c r="G155" s="192" t="s">
        <v>3041</v>
      </c>
      <c r="H155" s="190" t="s">
        <v>2815</v>
      </c>
      <c r="I155" s="190" t="s">
        <v>2815</v>
      </c>
      <c r="J155" s="190"/>
      <c r="K155" s="190"/>
      <c r="L155" s="190"/>
      <c r="M155" s="190" t="s">
        <v>2760</v>
      </c>
      <c r="N155" s="190" t="s">
        <v>2816</v>
      </c>
    </row>
    <row r="156" spans="1:14" x14ac:dyDescent="0.2">
      <c r="A156" s="190">
        <v>14</v>
      </c>
      <c r="B156" s="190">
        <v>14</v>
      </c>
      <c r="C156" s="191" t="s">
        <v>3142</v>
      </c>
      <c r="D156" s="191" t="s">
        <v>3010</v>
      </c>
      <c r="E156" s="200" t="s">
        <v>3143</v>
      </c>
      <c r="F156" s="191" t="s">
        <v>2726</v>
      </c>
      <c r="G156" s="190" t="s">
        <v>2714</v>
      </c>
      <c r="H156" s="190" t="s">
        <v>3144</v>
      </c>
      <c r="I156" s="190" t="s">
        <v>2716</v>
      </c>
      <c r="J156" s="190" t="s">
        <v>2717</v>
      </c>
      <c r="K156" s="190"/>
      <c r="L156" s="190"/>
      <c r="M156" s="190"/>
      <c r="N156" s="190" t="s">
        <v>3105</v>
      </c>
    </row>
    <row r="157" spans="1:14" x14ac:dyDescent="0.2">
      <c r="A157" s="190">
        <v>15</v>
      </c>
      <c r="B157" s="190">
        <v>15</v>
      </c>
      <c r="C157" s="201" t="s">
        <v>2824</v>
      </c>
      <c r="D157" s="191" t="s">
        <v>3145</v>
      </c>
      <c r="E157" s="200" t="s">
        <v>3052</v>
      </c>
      <c r="F157" s="191" t="s">
        <v>2726</v>
      </c>
      <c r="G157" s="190" t="s">
        <v>2721</v>
      </c>
      <c r="H157" s="190" t="s">
        <v>3146</v>
      </c>
      <c r="I157" s="190" t="s">
        <v>2716</v>
      </c>
      <c r="J157" s="190" t="s">
        <v>2717</v>
      </c>
      <c r="K157" s="190"/>
      <c r="L157" s="190"/>
      <c r="M157" s="190"/>
      <c r="N157" s="190" t="s">
        <v>2748</v>
      </c>
    </row>
    <row r="158" spans="1:14" x14ac:dyDescent="0.2">
      <c r="A158" s="190">
        <v>16</v>
      </c>
      <c r="B158" s="190">
        <v>16</v>
      </c>
      <c r="C158" s="191" t="s">
        <v>3147</v>
      </c>
      <c r="D158" s="191" t="s">
        <v>3148</v>
      </c>
      <c r="E158" s="200" t="s">
        <v>3052</v>
      </c>
      <c r="F158" s="191" t="s">
        <v>2713</v>
      </c>
      <c r="G158" s="190" t="s">
        <v>2714</v>
      </c>
      <c r="H158" s="190" t="s">
        <v>3149</v>
      </c>
      <c r="I158" s="190" t="s">
        <v>2716</v>
      </c>
      <c r="J158" s="190" t="s">
        <v>2717</v>
      </c>
      <c r="K158" s="190"/>
      <c r="L158" s="190"/>
      <c r="M158" s="190"/>
      <c r="N158" s="190" t="s">
        <v>2748</v>
      </c>
    </row>
    <row r="159" spans="1:14" x14ac:dyDescent="0.2">
      <c r="A159" s="190">
        <v>17</v>
      </c>
      <c r="B159" s="190">
        <v>18</v>
      </c>
      <c r="C159" s="191" t="s">
        <v>3150</v>
      </c>
      <c r="D159" s="191" t="s">
        <v>3151</v>
      </c>
      <c r="E159" s="200" t="s">
        <v>3052</v>
      </c>
      <c r="F159" s="191" t="s">
        <v>2713</v>
      </c>
      <c r="G159" s="190" t="s">
        <v>2714</v>
      </c>
      <c r="H159" s="190" t="s">
        <v>3152</v>
      </c>
      <c r="I159" s="190" t="s">
        <v>2716</v>
      </c>
      <c r="J159" s="190"/>
      <c r="K159" s="190"/>
      <c r="L159" s="190"/>
      <c r="M159" s="190"/>
      <c r="N159" s="190" t="s">
        <v>2786</v>
      </c>
    </row>
    <row r="160" spans="1:14" x14ac:dyDescent="0.2">
      <c r="A160" s="190">
        <v>18</v>
      </c>
      <c r="B160" s="190">
        <v>19</v>
      </c>
      <c r="C160" s="191" t="s">
        <v>3153</v>
      </c>
      <c r="D160" s="191" t="s">
        <v>3154</v>
      </c>
      <c r="E160" s="200" t="s">
        <v>3052</v>
      </c>
      <c r="F160" s="191" t="s">
        <v>2790</v>
      </c>
      <c r="G160" s="190" t="s">
        <v>2714</v>
      </c>
      <c r="H160" s="190" t="s">
        <v>3155</v>
      </c>
      <c r="I160" s="190" t="s">
        <v>2716</v>
      </c>
      <c r="J160" s="190" t="s">
        <v>2717</v>
      </c>
      <c r="K160" s="190"/>
      <c r="L160" s="190"/>
      <c r="M160" s="190"/>
      <c r="N160" s="190" t="s">
        <v>2718</v>
      </c>
    </row>
    <row r="161" spans="1:14" x14ac:dyDescent="0.2">
      <c r="A161" s="190">
        <v>19</v>
      </c>
      <c r="B161" s="190">
        <v>20</v>
      </c>
      <c r="C161" s="191" t="s">
        <v>3156</v>
      </c>
      <c r="D161" s="191" t="s">
        <v>3157</v>
      </c>
      <c r="E161" s="200" t="s">
        <v>3052</v>
      </c>
      <c r="F161" s="191" t="s">
        <v>2732</v>
      </c>
      <c r="G161" s="190" t="s">
        <v>2714</v>
      </c>
      <c r="H161" s="190" t="s">
        <v>3158</v>
      </c>
      <c r="I161" s="190" t="s">
        <v>2716</v>
      </c>
      <c r="J161" s="190" t="s">
        <v>2717</v>
      </c>
      <c r="K161" s="190"/>
      <c r="L161" s="190"/>
      <c r="M161" s="190"/>
      <c r="N161" s="190" t="s">
        <v>2748</v>
      </c>
    </row>
    <row r="162" spans="1:14" x14ac:dyDescent="0.2">
      <c r="A162" s="190">
        <v>20</v>
      </c>
      <c r="B162" s="190">
        <v>20</v>
      </c>
      <c r="C162" s="191" t="s">
        <v>3159</v>
      </c>
      <c r="D162" s="191" t="s">
        <v>3148</v>
      </c>
      <c r="E162" s="200" t="s">
        <v>3063</v>
      </c>
      <c r="F162" s="191" t="s">
        <v>2732</v>
      </c>
      <c r="G162" s="192" t="s">
        <v>3070</v>
      </c>
      <c r="H162" s="190" t="s">
        <v>3160</v>
      </c>
      <c r="I162" s="190" t="s">
        <v>2716</v>
      </c>
      <c r="J162" s="190"/>
      <c r="K162" s="190"/>
      <c r="L162" s="190"/>
      <c r="M162" s="190"/>
      <c r="N162" s="190" t="s">
        <v>2748</v>
      </c>
    </row>
    <row r="163" spans="1:14" x14ac:dyDescent="0.2">
      <c r="A163" s="190">
        <v>21</v>
      </c>
      <c r="B163" s="190">
        <v>21</v>
      </c>
      <c r="C163" s="191" t="s">
        <v>3075</v>
      </c>
      <c r="D163" s="191" t="s">
        <v>3161</v>
      </c>
      <c r="E163" s="200" t="s">
        <v>3063</v>
      </c>
      <c r="F163" s="191" t="s">
        <v>2790</v>
      </c>
      <c r="G163" s="190" t="s">
        <v>2862</v>
      </c>
      <c r="H163" s="190" t="s">
        <v>3162</v>
      </c>
      <c r="I163" s="190" t="s">
        <v>3163</v>
      </c>
      <c r="J163" s="190"/>
      <c r="K163" s="190"/>
      <c r="L163" s="190"/>
      <c r="M163" s="190"/>
      <c r="N163" s="190" t="s">
        <v>2718</v>
      </c>
    </row>
    <row r="164" spans="1:14" x14ac:dyDescent="0.2">
      <c r="A164" s="190">
        <v>22</v>
      </c>
      <c r="B164" s="190">
        <v>23</v>
      </c>
      <c r="C164" s="191" t="s">
        <v>3164</v>
      </c>
      <c r="D164" s="191" t="s">
        <v>3165</v>
      </c>
      <c r="E164" s="200" t="s">
        <v>3052</v>
      </c>
      <c r="F164" s="191" t="s">
        <v>2726</v>
      </c>
      <c r="G164" s="190" t="s">
        <v>2714</v>
      </c>
      <c r="H164" s="190" t="s">
        <v>3135</v>
      </c>
      <c r="I164" s="190" t="s">
        <v>2716</v>
      </c>
      <c r="J164" s="190"/>
      <c r="K164" s="190"/>
      <c r="L164" s="190"/>
      <c r="M164" s="190"/>
      <c r="N164" s="190" t="s">
        <v>2748</v>
      </c>
    </row>
    <row r="165" spans="1:14" x14ac:dyDescent="0.2">
      <c r="A165" s="190">
        <v>23</v>
      </c>
      <c r="B165" s="190">
        <v>24</v>
      </c>
      <c r="C165" s="191" t="s">
        <v>3166</v>
      </c>
      <c r="D165" s="191" t="s">
        <v>3167</v>
      </c>
      <c r="E165" s="200" t="s">
        <v>3063</v>
      </c>
      <c r="F165" s="191" t="s">
        <v>2807</v>
      </c>
      <c r="G165" s="190" t="s">
        <v>2862</v>
      </c>
      <c r="H165" s="190" t="s">
        <v>3168</v>
      </c>
      <c r="I165" s="190" t="s">
        <v>3169</v>
      </c>
      <c r="J165" s="190"/>
      <c r="K165" s="190"/>
      <c r="L165" s="190"/>
      <c r="M165" s="190"/>
      <c r="N165" s="190" t="s">
        <v>2810</v>
      </c>
    </row>
    <row r="166" spans="1:14" x14ac:dyDescent="0.2">
      <c r="A166" s="190">
        <v>24</v>
      </c>
      <c r="B166" s="190">
        <v>28</v>
      </c>
      <c r="C166" s="191" t="s">
        <v>3170</v>
      </c>
      <c r="D166" s="191" t="s">
        <v>3171</v>
      </c>
      <c r="E166" s="200" t="s">
        <v>3052</v>
      </c>
      <c r="F166" s="191" t="s">
        <v>2732</v>
      </c>
      <c r="G166" s="190" t="s">
        <v>2714</v>
      </c>
      <c r="H166" s="190" t="s">
        <v>3172</v>
      </c>
      <c r="I166" s="190" t="s">
        <v>2716</v>
      </c>
      <c r="J166" s="190" t="s">
        <v>2717</v>
      </c>
      <c r="K166" s="190"/>
      <c r="L166" s="190"/>
      <c r="M166" s="190"/>
      <c r="N166" s="190" t="s">
        <v>2718</v>
      </c>
    </row>
    <row r="167" spans="1:14" x14ac:dyDescent="0.2">
      <c r="A167" s="190">
        <v>25</v>
      </c>
      <c r="B167" s="194">
        <v>28</v>
      </c>
      <c r="C167" s="196" t="s">
        <v>3173</v>
      </c>
      <c r="D167" s="196" t="s">
        <v>3174</v>
      </c>
      <c r="E167" s="198" t="s">
        <v>3052</v>
      </c>
      <c r="F167" s="196" t="s">
        <v>2732</v>
      </c>
      <c r="G167" s="190" t="s">
        <v>2714</v>
      </c>
      <c r="H167" s="194" t="s">
        <v>3175</v>
      </c>
      <c r="I167" s="194" t="s">
        <v>2716</v>
      </c>
      <c r="J167" s="194"/>
      <c r="K167" s="194"/>
      <c r="L167" s="194"/>
      <c r="M167" s="194"/>
      <c r="N167" s="194" t="s">
        <v>2718</v>
      </c>
    </row>
    <row r="168" spans="1:14" x14ac:dyDescent="0.2">
      <c r="A168" s="194">
        <v>26</v>
      </c>
      <c r="B168" s="194">
        <v>28</v>
      </c>
      <c r="C168" s="196" t="s">
        <v>3176</v>
      </c>
      <c r="D168" s="196" t="s">
        <v>2870</v>
      </c>
      <c r="E168" s="198" t="s">
        <v>3052</v>
      </c>
      <c r="F168" s="196" t="s">
        <v>2732</v>
      </c>
      <c r="G168" s="190" t="s">
        <v>2714</v>
      </c>
      <c r="H168" s="194" t="s">
        <v>3177</v>
      </c>
      <c r="I168" s="194" t="s">
        <v>2716</v>
      </c>
      <c r="J168" s="194" t="s">
        <v>2717</v>
      </c>
      <c r="K168" s="194"/>
      <c r="L168" s="194"/>
      <c r="M168" s="194"/>
      <c r="N168" s="194" t="s">
        <v>2748</v>
      </c>
    </row>
    <row r="169" spans="1:14" x14ac:dyDescent="0.2">
      <c r="A169" s="194">
        <v>27</v>
      </c>
      <c r="B169" s="194">
        <v>30</v>
      </c>
      <c r="C169" s="196" t="s">
        <v>3178</v>
      </c>
      <c r="D169" s="196" t="s">
        <v>3179</v>
      </c>
      <c r="E169" s="198" t="s">
        <v>3143</v>
      </c>
      <c r="F169" s="196" t="s">
        <v>2807</v>
      </c>
      <c r="G169" s="190" t="s">
        <v>2714</v>
      </c>
      <c r="H169" s="194" t="s">
        <v>3175</v>
      </c>
      <c r="I169" s="194" t="s">
        <v>2716</v>
      </c>
      <c r="J169" s="194"/>
      <c r="K169" s="194"/>
      <c r="L169" s="194"/>
      <c r="M169" s="194"/>
      <c r="N169" s="194" t="s">
        <v>3105</v>
      </c>
    </row>
    <row r="170" spans="1:14" ht="12.75" customHeight="1" x14ac:dyDescent="0.2">
      <c r="A170" s="353" t="s">
        <v>3180</v>
      </c>
      <c r="B170" s="353"/>
      <c r="C170" s="353"/>
      <c r="D170" s="353"/>
      <c r="E170" s="353"/>
      <c r="F170" s="353"/>
      <c r="G170" s="353"/>
      <c r="H170" s="353"/>
      <c r="I170" s="353"/>
      <c r="J170" s="353"/>
      <c r="K170" s="353"/>
      <c r="L170" s="353"/>
      <c r="M170" s="353"/>
      <c r="N170" s="353"/>
    </row>
    <row r="171" spans="1:14" ht="12.75" customHeight="1" x14ac:dyDescent="0.2">
      <c r="A171" s="353"/>
      <c r="B171" s="353"/>
      <c r="C171" s="353"/>
      <c r="D171" s="353"/>
      <c r="E171" s="353"/>
      <c r="F171" s="353"/>
      <c r="G171" s="353"/>
      <c r="H171" s="353"/>
      <c r="I171" s="353"/>
      <c r="J171" s="353"/>
      <c r="K171" s="353"/>
      <c r="L171" s="353"/>
      <c r="M171" s="353"/>
      <c r="N171" s="353"/>
    </row>
    <row r="172" spans="1:14" x14ac:dyDescent="0.2">
      <c r="A172" s="695" t="s">
        <v>2697</v>
      </c>
      <c r="B172" s="695" t="s">
        <v>2698</v>
      </c>
      <c r="C172" s="697" t="s">
        <v>2699</v>
      </c>
      <c r="D172" s="697" t="s">
        <v>2700</v>
      </c>
      <c r="E172" s="699" t="s">
        <v>2701</v>
      </c>
      <c r="F172" s="701" t="s">
        <v>2702</v>
      </c>
      <c r="G172" s="695" t="s">
        <v>2703</v>
      </c>
      <c r="H172" s="695" t="s">
        <v>2704</v>
      </c>
      <c r="I172" s="695" t="s">
        <v>2705</v>
      </c>
      <c r="J172" s="695" t="s">
        <v>2706</v>
      </c>
      <c r="K172" s="695" t="s">
        <v>2707</v>
      </c>
      <c r="L172" s="697" t="s">
        <v>2708</v>
      </c>
      <c r="M172" s="697" t="s">
        <v>2709</v>
      </c>
      <c r="N172" s="695" t="s">
        <v>2710</v>
      </c>
    </row>
    <row r="173" spans="1:14" x14ac:dyDescent="0.2">
      <c r="A173" s="696"/>
      <c r="B173" s="696"/>
      <c r="C173" s="698"/>
      <c r="D173" s="698"/>
      <c r="E173" s="700"/>
      <c r="F173" s="702"/>
      <c r="G173" s="696"/>
      <c r="H173" s="696"/>
      <c r="I173" s="696"/>
      <c r="J173" s="696"/>
      <c r="K173" s="696"/>
      <c r="L173" s="698"/>
      <c r="M173" s="698"/>
      <c r="N173" s="696"/>
    </row>
    <row r="174" spans="1:14" ht="12.9" customHeight="1" x14ac:dyDescent="0.2">
      <c r="A174" s="202" t="s">
        <v>3181</v>
      </c>
      <c r="B174" s="202" t="s">
        <v>3181</v>
      </c>
      <c r="C174" s="202" t="s">
        <v>3182</v>
      </c>
      <c r="D174" s="202" t="s">
        <v>3183</v>
      </c>
      <c r="E174" s="202" t="s">
        <v>3052</v>
      </c>
      <c r="F174" s="202" t="s">
        <v>2713</v>
      </c>
      <c r="G174" s="202" t="s">
        <v>2714</v>
      </c>
      <c r="H174" s="202" t="s">
        <v>3184</v>
      </c>
      <c r="I174" s="202" t="s">
        <v>2716</v>
      </c>
      <c r="J174" s="202" t="s">
        <v>2717</v>
      </c>
      <c r="K174" s="202"/>
      <c r="L174" s="202"/>
      <c r="M174" s="202"/>
      <c r="N174" s="202" t="s">
        <v>2836</v>
      </c>
    </row>
    <row r="175" spans="1:14" x14ac:dyDescent="0.2">
      <c r="A175" s="202" t="s">
        <v>3063</v>
      </c>
      <c r="B175" s="202" t="s">
        <v>3181</v>
      </c>
      <c r="C175" s="202" t="s">
        <v>2740</v>
      </c>
      <c r="D175" s="202" t="s">
        <v>2977</v>
      </c>
      <c r="E175" s="202" t="s">
        <v>3063</v>
      </c>
      <c r="F175" s="202" t="s">
        <v>2713</v>
      </c>
      <c r="G175" s="202" t="s">
        <v>2970</v>
      </c>
      <c r="H175" s="202" t="s">
        <v>3185</v>
      </c>
      <c r="I175" s="202" t="s">
        <v>3186</v>
      </c>
      <c r="J175" s="202"/>
      <c r="K175" s="202"/>
      <c r="L175" s="202"/>
      <c r="M175" s="202"/>
      <c r="N175" s="202" t="s">
        <v>2718</v>
      </c>
    </row>
    <row r="176" spans="1:14" x14ac:dyDescent="0.2">
      <c r="A176" s="202" t="s">
        <v>3187</v>
      </c>
      <c r="B176" s="202" t="s">
        <v>3188</v>
      </c>
      <c r="C176" s="202" t="s">
        <v>3189</v>
      </c>
      <c r="D176" s="202" t="s">
        <v>3190</v>
      </c>
      <c r="E176" s="202" t="s">
        <v>3063</v>
      </c>
      <c r="F176" s="202" t="s">
        <v>2776</v>
      </c>
      <c r="G176" s="202" t="s">
        <v>3191</v>
      </c>
      <c r="H176" s="202" t="s">
        <v>3192</v>
      </c>
      <c r="I176" s="202" t="s">
        <v>3193</v>
      </c>
      <c r="J176" s="202"/>
      <c r="K176" s="202"/>
      <c r="L176" s="202"/>
      <c r="M176" s="202"/>
      <c r="N176" s="202" t="s">
        <v>2753</v>
      </c>
    </row>
    <row r="177" spans="1:14" x14ac:dyDescent="0.2">
      <c r="A177" s="202" t="s">
        <v>3188</v>
      </c>
      <c r="B177" s="202" t="s">
        <v>3194</v>
      </c>
      <c r="C177" s="202" t="s">
        <v>3195</v>
      </c>
      <c r="D177" s="202" t="s">
        <v>3196</v>
      </c>
      <c r="E177" s="202" t="s">
        <v>3052</v>
      </c>
      <c r="F177" s="202" t="s">
        <v>2763</v>
      </c>
      <c r="G177" s="202" t="s">
        <v>2714</v>
      </c>
      <c r="H177" s="202" t="s">
        <v>3197</v>
      </c>
      <c r="I177" s="202" t="s">
        <v>2716</v>
      </c>
      <c r="J177" s="202" t="s">
        <v>2717</v>
      </c>
      <c r="K177" s="202"/>
      <c r="L177" s="202"/>
      <c r="M177" s="202"/>
      <c r="N177" s="202" t="s">
        <v>2810</v>
      </c>
    </row>
    <row r="178" spans="1:14" x14ac:dyDescent="0.2">
      <c r="A178" s="202" t="s">
        <v>3052</v>
      </c>
      <c r="B178" s="202" t="s">
        <v>3194</v>
      </c>
      <c r="C178" s="202" t="s">
        <v>3198</v>
      </c>
      <c r="D178" s="202" t="s">
        <v>3199</v>
      </c>
      <c r="E178" s="202" t="s">
        <v>3052</v>
      </c>
      <c r="F178" s="202" t="s">
        <v>2726</v>
      </c>
      <c r="G178" s="202" t="s">
        <v>2736</v>
      </c>
      <c r="H178" s="202" t="s">
        <v>3200</v>
      </c>
      <c r="I178" s="202" t="s">
        <v>2716</v>
      </c>
      <c r="J178" s="202"/>
      <c r="K178" s="202" t="s">
        <v>2717</v>
      </c>
      <c r="L178" s="202"/>
      <c r="M178" s="202"/>
      <c r="N178" s="202" t="s">
        <v>2836</v>
      </c>
    </row>
    <row r="179" spans="1:14" x14ac:dyDescent="0.2">
      <c r="A179" s="202" t="s">
        <v>3201</v>
      </c>
      <c r="B179" s="202" t="s">
        <v>3202</v>
      </c>
      <c r="C179" s="202" t="s">
        <v>2911</v>
      </c>
      <c r="D179" s="202" t="s">
        <v>3203</v>
      </c>
      <c r="E179" s="202" t="s">
        <v>3052</v>
      </c>
      <c r="F179" s="202" t="s">
        <v>2726</v>
      </c>
      <c r="G179" s="202" t="s">
        <v>2714</v>
      </c>
      <c r="H179" s="202" t="s">
        <v>3204</v>
      </c>
      <c r="I179" s="202" t="s">
        <v>2716</v>
      </c>
      <c r="J179" s="202" t="s">
        <v>2869</v>
      </c>
      <c r="K179" s="202"/>
      <c r="L179" s="202"/>
      <c r="M179" s="202"/>
      <c r="N179" s="202" t="s">
        <v>2718</v>
      </c>
    </row>
    <row r="180" spans="1:14" x14ac:dyDescent="0.2">
      <c r="A180" s="202" t="s">
        <v>3194</v>
      </c>
      <c r="B180" s="202" t="s">
        <v>3205</v>
      </c>
      <c r="C180" s="202" t="s">
        <v>3206</v>
      </c>
      <c r="D180" s="202" t="s">
        <v>3207</v>
      </c>
      <c r="E180" s="202" t="s">
        <v>3052</v>
      </c>
      <c r="F180" s="202" t="s">
        <v>2726</v>
      </c>
      <c r="G180" s="202" t="s">
        <v>2714</v>
      </c>
      <c r="H180" s="202" t="s">
        <v>3208</v>
      </c>
      <c r="I180" s="202" t="s">
        <v>2716</v>
      </c>
      <c r="J180" s="202" t="s">
        <v>2869</v>
      </c>
      <c r="K180" s="202"/>
      <c r="L180" s="202"/>
      <c r="M180" s="202"/>
      <c r="N180" s="202" t="s">
        <v>2718</v>
      </c>
    </row>
    <row r="181" spans="1:14" x14ac:dyDescent="0.2">
      <c r="A181" s="202" t="s">
        <v>3202</v>
      </c>
      <c r="B181" s="202" t="s">
        <v>3209</v>
      </c>
      <c r="C181" s="202" t="s">
        <v>3210</v>
      </c>
      <c r="D181" s="202" t="s">
        <v>3211</v>
      </c>
      <c r="E181" s="202" t="s">
        <v>3052</v>
      </c>
      <c r="F181" s="202" t="s">
        <v>2726</v>
      </c>
      <c r="G181" s="202" t="s">
        <v>2764</v>
      </c>
      <c r="H181" s="202" t="s">
        <v>3212</v>
      </c>
      <c r="I181" s="202" t="s">
        <v>3213</v>
      </c>
      <c r="J181" s="202"/>
      <c r="K181" s="202"/>
      <c r="L181" s="202"/>
      <c r="M181" s="202"/>
      <c r="N181" s="202" t="s">
        <v>2810</v>
      </c>
    </row>
    <row r="182" spans="1:14" x14ac:dyDescent="0.2">
      <c r="A182" s="202" t="s">
        <v>3214</v>
      </c>
      <c r="B182" s="202" t="s">
        <v>3209</v>
      </c>
      <c r="C182" s="202" t="s">
        <v>3215</v>
      </c>
      <c r="D182" s="202" t="s">
        <v>2894</v>
      </c>
      <c r="E182" s="202" t="s">
        <v>3052</v>
      </c>
      <c r="F182" s="202" t="s">
        <v>2732</v>
      </c>
      <c r="G182" s="202" t="s">
        <v>2764</v>
      </c>
      <c r="H182" s="202" t="s">
        <v>3216</v>
      </c>
      <c r="I182" s="202" t="s">
        <v>2716</v>
      </c>
      <c r="J182" s="202" t="s">
        <v>2717</v>
      </c>
      <c r="K182" s="202"/>
      <c r="L182" s="202"/>
      <c r="M182" s="202"/>
      <c r="N182" s="202" t="s">
        <v>2748</v>
      </c>
    </row>
    <row r="183" spans="1:14" x14ac:dyDescent="0.2">
      <c r="A183" s="202" t="s">
        <v>3217</v>
      </c>
      <c r="B183" s="202" t="s">
        <v>3209</v>
      </c>
      <c r="C183" s="202" t="s">
        <v>3021</v>
      </c>
      <c r="D183" s="202" t="s">
        <v>3218</v>
      </c>
      <c r="E183" s="202" t="s">
        <v>3052</v>
      </c>
      <c r="F183" s="202" t="s">
        <v>2726</v>
      </c>
      <c r="G183" s="202" t="s">
        <v>2764</v>
      </c>
      <c r="H183" s="202" t="s">
        <v>3175</v>
      </c>
      <c r="I183" s="202" t="s">
        <v>2716</v>
      </c>
      <c r="J183" s="202" t="s">
        <v>2717</v>
      </c>
      <c r="K183" s="202"/>
      <c r="L183" s="202"/>
      <c r="M183" s="202"/>
      <c r="N183" s="202" t="s">
        <v>2810</v>
      </c>
    </row>
    <row r="184" spans="1:14" x14ac:dyDescent="0.2">
      <c r="A184" s="202" t="s">
        <v>3219</v>
      </c>
      <c r="B184" s="202" t="s">
        <v>3220</v>
      </c>
      <c r="C184" s="202" t="s">
        <v>3221</v>
      </c>
      <c r="D184" s="202" t="s">
        <v>3222</v>
      </c>
      <c r="E184" s="202" t="s">
        <v>3052</v>
      </c>
      <c r="F184" s="202" t="s">
        <v>2713</v>
      </c>
      <c r="G184" s="202" t="s">
        <v>2714</v>
      </c>
      <c r="H184" s="202" t="s">
        <v>3223</v>
      </c>
      <c r="I184" s="202" t="s">
        <v>2716</v>
      </c>
      <c r="J184" s="202"/>
      <c r="K184" s="202"/>
      <c r="L184" s="202"/>
      <c r="M184" s="202"/>
      <c r="N184" s="202" t="s">
        <v>2793</v>
      </c>
    </row>
    <row r="185" spans="1:14" x14ac:dyDescent="0.2">
      <c r="A185" s="202" t="s">
        <v>3205</v>
      </c>
      <c r="B185" s="202" t="s">
        <v>3224</v>
      </c>
      <c r="C185" s="202" t="s">
        <v>3225</v>
      </c>
      <c r="D185" s="202" t="s">
        <v>3046</v>
      </c>
      <c r="E185" s="202" t="s">
        <v>3052</v>
      </c>
      <c r="F185" s="202" t="s">
        <v>2713</v>
      </c>
      <c r="G185" s="202" t="s">
        <v>2714</v>
      </c>
      <c r="H185" s="202" t="s">
        <v>3226</v>
      </c>
      <c r="I185" s="202" t="s">
        <v>2716</v>
      </c>
      <c r="J185" s="202" t="s">
        <v>2717</v>
      </c>
      <c r="K185" s="202"/>
      <c r="L185" s="202"/>
      <c r="M185" s="202"/>
      <c r="N185" s="202" t="s">
        <v>2786</v>
      </c>
    </row>
    <row r="186" spans="1:14" x14ac:dyDescent="0.2">
      <c r="A186" s="202" t="s">
        <v>3227</v>
      </c>
      <c r="B186" s="202" t="s">
        <v>3228</v>
      </c>
      <c r="C186" s="202" t="s">
        <v>3130</v>
      </c>
      <c r="D186" s="202" t="s">
        <v>3229</v>
      </c>
      <c r="E186" s="202" t="s">
        <v>3052</v>
      </c>
      <c r="F186" s="202" t="s">
        <v>2732</v>
      </c>
      <c r="G186" s="202" t="s">
        <v>2714</v>
      </c>
      <c r="H186" s="202" t="s">
        <v>3230</v>
      </c>
      <c r="I186" s="202" t="s">
        <v>2716</v>
      </c>
      <c r="J186" s="202" t="s">
        <v>2869</v>
      </c>
      <c r="K186" s="202"/>
      <c r="L186" s="202"/>
      <c r="M186" s="202"/>
      <c r="N186" s="202" t="s">
        <v>2748</v>
      </c>
    </row>
    <row r="187" spans="1:14" x14ac:dyDescent="0.2">
      <c r="A187" s="202" t="s">
        <v>3231</v>
      </c>
      <c r="B187" s="202" t="s">
        <v>3232</v>
      </c>
      <c r="C187" s="202" t="s">
        <v>2829</v>
      </c>
      <c r="D187" s="202" t="s">
        <v>3233</v>
      </c>
      <c r="E187" s="202" t="s">
        <v>3052</v>
      </c>
      <c r="F187" s="202" t="s">
        <v>2732</v>
      </c>
      <c r="G187" s="202" t="s">
        <v>2714</v>
      </c>
      <c r="H187" s="202" t="s">
        <v>3175</v>
      </c>
      <c r="I187" s="202" t="s">
        <v>2716</v>
      </c>
      <c r="J187" s="202"/>
      <c r="K187" s="202"/>
      <c r="L187" s="202"/>
      <c r="M187" s="202"/>
      <c r="N187" s="202" t="s">
        <v>2748</v>
      </c>
    </row>
    <row r="188" spans="1:14" x14ac:dyDescent="0.2">
      <c r="A188" s="202" t="s">
        <v>3209</v>
      </c>
      <c r="B188" s="202" t="s">
        <v>3234</v>
      </c>
      <c r="C188" s="202" t="s">
        <v>3235</v>
      </c>
      <c r="D188" s="202" t="s">
        <v>3236</v>
      </c>
      <c r="E188" s="202" t="s">
        <v>3052</v>
      </c>
      <c r="F188" s="202" t="s">
        <v>2713</v>
      </c>
      <c r="G188" s="202" t="s">
        <v>2714</v>
      </c>
      <c r="H188" s="202" t="s">
        <v>3237</v>
      </c>
      <c r="I188" s="202" t="s">
        <v>2716</v>
      </c>
      <c r="J188" s="202" t="s">
        <v>2717</v>
      </c>
      <c r="K188" s="202"/>
      <c r="L188" s="202"/>
      <c r="M188" s="202"/>
      <c r="N188" s="202" t="s">
        <v>2836</v>
      </c>
    </row>
    <row r="189" spans="1:14" x14ac:dyDescent="0.2">
      <c r="A189" s="202" t="s">
        <v>3238</v>
      </c>
      <c r="B189" s="202" t="s">
        <v>3239</v>
      </c>
      <c r="C189" s="202" t="s">
        <v>3240</v>
      </c>
      <c r="D189" s="202" t="s">
        <v>3241</v>
      </c>
      <c r="E189" s="202" t="s">
        <v>3052</v>
      </c>
      <c r="F189" s="202" t="s">
        <v>2790</v>
      </c>
      <c r="G189" s="202" t="s">
        <v>2764</v>
      </c>
      <c r="H189" s="202" t="s">
        <v>3242</v>
      </c>
      <c r="I189" s="202" t="s">
        <v>2716</v>
      </c>
      <c r="J189" s="202" t="s">
        <v>2717</v>
      </c>
      <c r="K189" s="202"/>
      <c r="L189" s="202"/>
      <c r="M189" s="202"/>
      <c r="N189" s="202" t="s">
        <v>2718</v>
      </c>
    </row>
    <row r="190" spans="1:14" x14ac:dyDescent="0.2">
      <c r="A190" s="202" t="s">
        <v>3243</v>
      </c>
      <c r="B190" s="202" t="s">
        <v>3239</v>
      </c>
      <c r="C190" s="202" t="s">
        <v>3244</v>
      </c>
      <c r="D190" s="202" t="s">
        <v>3190</v>
      </c>
      <c r="E190" s="202" t="s">
        <v>3052</v>
      </c>
      <c r="F190" s="202" t="s">
        <v>2732</v>
      </c>
      <c r="G190" s="202" t="s">
        <v>2764</v>
      </c>
      <c r="H190" s="202" t="s">
        <v>3245</v>
      </c>
      <c r="I190" s="202" t="s">
        <v>3246</v>
      </c>
      <c r="J190" s="202" t="s">
        <v>2717</v>
      </c>
      <c r="K190" s="202"/>
      <c r="L190" s="202"/>
      <c r="M190" s="202"/>
      <c r="N190" s="202" t="s">
        <v>2738</v>
      </c>
    </row>
    <row r="191" spans="1:14" x14ac:dyDescent="0.2">
      <c r="A191" s="202" t="s">
        <v>3247</v>
      </c>
      <c r="B191" s="202" t="s">
        <v>3239</v>
      </c>
      <c r="C191" s="202" t="s">
        <v>3084</v>
      </c>
      <c r="D191" s="202" t="s">
        <v>3248</v>
      </c>
      <c r="E191" s="202" t="s">
        <v>3063</v>
      </c>
      <c r="F191" s="202" t="s">
        <v>2726</v>
      </c>
      <c r="G191" s="202" t="s">
        <v>2896</v>
      </c>
      <c r="H191" s="202" t="s">
        <v>2815</v>
      </c>
      <c r="I191" s="202" t="s">
        <v>3249</v>
      </c>
      <c r="J191" s="202"/>
      <c r="K191" s="202"/>
      <c r="L191" s="202"/>
      <c r="M191" s="202"/>
      <c r="N191" s="202" t="s">
        <v>2810</v>
      </c>
    </row>
    <row r="192" spans="1:14" x14ac:dyDescent="0.2">
      <c r="A192" s="202" t="s">
        <v>3220</v>
      </c>
      <c r="B192" s="202" t="s">
        <v>3250</v>
      </c>
      <c r="C192" s="202" t="s">
        <v>3251</v>
      </c>
      <c r="D192" s="202" t="s">
        <v>3252</v>
      </c>
      <c r="E192" s="202" t="s">
        <v>3143</v>
      </c>
      <c r="F192" s="202" t="s">
        <v>2776</v>
      </c>
      <c r="G192" s="202" t="s">
        <v>3253</v>
      </c>
      <c r="H192" s="202" t="s">
        <v>3254</v>
      </c>
      <c r="I192" s="202" t="s">
        <v>2716</v>
      </c>
      <c r="J192" s="202" t="s">
        <v>2717</v>
      </c>
      <c r="K192" s="202"/>
      <c r="L192" s="202"/>
      <c r="M192" s="202"/>
      <c r="N192" s="202" t="s">
        <v>2748</v>
      </c>
    </row>
    <row r="193" spans="1:14" x14ac:dyDescent="0.2">
      <c r="A193" s="202" t="s">
        <v>3255</v>
      </c>
      <c r="B193" s="202" t="s">
        <v>3256</v>
      </c>
      <c r="C193" s="202" t="s">
        <v>3257</v>
      </c>
      <c r="D193" s="202" t="s">
        <v>3022</v>
      </c>
      <c r="E193" s="202" t="s">
        <v>3052</v>
      </c>
      <c r="F193" s="202" t="s">
        <v>2732</v>
      </c>
      <c r="G193" s="202" t="s">
        <v>2714</v>
      </c>
      <c r="H193" s="202" t="s">
        <v>3258</v>
      </c>
      <c r="I193" s="202" t="s">
        <v>2716</v>
      </c>
      <c r="J193" s="202" t="s">
        <v>2717</v>
      </c>
      <c r="K193" s="202"/>
      <c r="L193" s="202"/>
      <c r="M193" s="202"/>
      <c r="N193" s="202" t="s">
        <v>2738</v>
      </c>
    </row>
    <row r="194" spans="1:14" x14ac:dyDescent="0.2">
      <c r="A194" s="202" t="s">
        <v>3224</v>
      </c>
      <c r="B194" s="202" t="s">
        <v>3259</v>
      </c>
      <c r="C194" s="202" t="s">
        <v>3260</v>
      </c>
      <c r="D194" s="202" t="s">
        <v>3068</v>
      </c>
      <c r="E194" s="202" t="s">
        <v>3187</v>
      </c>
      <c r="F194" s="202" t="s">
        <v>2732</v>
      </c>
      <c r="G194" s="202" t="s">
        <v>2751</v>
      </c>
      <c r="H194" s="202" t="s">
        <v>3261</v>
      </c>
      <c r="I194" s="202" t="s">
        <v>3262</v>
      </c>
      <c r="J194" s="202" t="s">
        <v>2717</v>
      </c>
      <c r="K194" s="202"/>
      <c r="L194" s="202"/>
      <c r="M194" s="202"/>
      <c r="N194" s="202" t="s">
        <v>2836</v>
      </c>
    </row>
    <row r="195" spans="1:14" x14ac:dyDescent="0.2">
      <c r="A195" s="202" t="s">
        <v>3263</v>
      </c>
      <c r="B195" s="202" t="s">
        <v>3259</v>
      </c>
      <c r="C195" s="202" t="s">
        <v>3264</v>
      </c>
      <c r="D195" s="202" t="s">
        <v>3265</v>
      </c>
      <c r="E195" s="202" t="s">
        <v>3266</v>
      </c>
      <c r="F195" s="202" t="s">
        <v>2732</v>
      </c>
      <c r="G195" s="202" t="s">
        <v>2751</v>
      </c>
      <c r="H195" s="202" t="s">
        <v>3267</v>
      </c>
      <c r="I195" s="202" t="s">
        <v>3268</v>
      </c>
      <c r="J195" s="202"/>
      <c r="K195" s="202"/>
      <c r="L195" s="202"/>
      <c r="M195" s="202"/>
      <c r="N195" s="202" t="s">
        <v>3269</v>
      </c>
    </row>
    <row r="196" spans="1:14" x14ac:dyDescent="0.2">
      <c r="A196" s="202" t="s">
        <v>3228</v>
      </c>
      <c r="B196" s="202" t="s">
        <v>3259</v>
      </c>
      <c r="C196" s="202" t="s">
        <v>3139</v>
      </c>
      <c r="D196" s="202" t="s">
        <v>2966</v>
      </c>
      <c r="E196" s="202" t="s">
        <v>3052</v>
      </c>
      <c r="F196" s="202" t="s">
        <v>2776</v>
      </c>
      <c r="G196" s="202" t="s">
        <v>2764</v>
      </c>
      <c r="H196" s="202" t="s">
        <v>3270</v>
      </c>
      <c r="I196" s="202" t="s">
        <v>3271</v>
      </c>
      <c r="J196" s="202" t="s">
        <v>2717</v>
      </c>
      <c r="K196" s="202"/>
      <c r="L196" s="202"/>
      <c r="M196" s="202"/>
      <c r="N196" s="202" t="s">
        <v>2738</v>
      </c>
    </row>
    <row r="197" spans="1:14" ht="12.75" customHeight="1" x14ac:dyDescent="0.2">
      <c r="A197" s="353" t="s">
        <v>3272</v>
      </c>
      <c r="B197" s="353"/>
      <c r="C197" s="353"/>
      <c r="D197" s="353"/>
      <c r="E197" s="353"/>
      <c r="F197" s="353"/>
      <c r="G197" s="353"/>
      <c r="H197" s="353"/>
      <c r="I197" s="353"/>
      <c r="J197" s="353"/>
      <c r="K197" s="353"/>
      <c r="L197" s="353"/>
      <c r="M197" s="353"/>
      <c r="N197" s="353"/>
    </row>
    <row r="198" spans="1:14" ht="12.75" customHeight="1" x14ac:dyDescent="0.2">
      <c r="A198" s="353"/>
      <c r="B198" s="353"/>
      <c r="C198" s="353"/>
      <c r="D198" s="353"/>
      <c r="E198" s="353"/>
      <c r="F198" s="353"/>
      <c r="G198" s="353"/>
      <c r="H198" s="353"/>
      <c r="I198" s="353"/>
      <c r="J198" s="353"/>
      <c r="K198" s="353"/>
      <c r="L198" s="353"/>
      <c r="M198" s="353"/>
      <c r="N198" s="353"/>
    </row>
    <row r="199" spans="1:14" x14ac:dyDescent="0.2">
      <c r="A199" s="695" t="s">
        <v>2697</v>
      </c>
      <c r="B199" s="695" t="s">
        <v>2698</v>
      </c>
      <c r="C199" s="697" t="s">
        <v>2699</v>
      </c>
      <c r="D199" s="697" t="s">
        <v>2700</v>
      </c>
      <c r="E199" s="699" t="s">
        <v>2701</v>
      </c>
      <c r="F199" s="701" t="s">
        <v>2702</v>
      </c>
      <c r="G199" s="695" t="s">
        <v>2703</v>
      </c>
      <c r="H199" s="695" t="s">
        <v>2704</v>
      </c>
      <c r="I199" s="695" t="s">
        <v>2705</v>
      </c>
      <c r="J199" s="695" t="s">
        <v>2706</v>
      </c>
      <c r="K199" s="695" t="s">
        <v>2707</v>
      </c>
      <c r="L199" s="697" t="s">
        <v>2708</v>
      </c>
      <c r="M199" s="697" t="s">
        <v>2709</v>
      </c>
      <c r="N199" s="695" t="s">
        <v>2710</v>
      </c>
    </row>
    <row r="200" spans="1:14" x14ac:dyDescent="0.2">
      <c r="A200" s="696"/>
      <c r="B200" s="696"/>
      <c r="C200" s="698"/>
      <c r="D200" s="698"/>
      <c r="E200" s="700"/>
      <c r="F200" s="702"/>
      <c r="G200" s="696"/>
      <c r="H200" s="696"/>
      <c r="I200" s="696"/>
      <c r="J200" s="696"/>
      <c r="K200" s="696"/>
      <c r="L200" s="698"/>
      <c r="M200" s="698"/>
      <c r="N200" s="696"/>
    </row>
    <row r="201" spans="1:14" x14ac:dyDescent="0.2">
      <c r="A201" s="202" t="s">
        <v>3181</v>
      </c>
      <c r="B201" s="202" t="s">
        <v>3181</v>
      </c>
      <c r="C201" s="202" t="s">
        <v>3273</v>
      </c>
      <c r="D201" s="202" t="s">
        <v>3274</v>
      </c>
      <c r="E201" s="202" t="s">
        <v>3052</v>
      </c>
      <c r="F201" s="202" t="s">
        <v>2790</v>
      </c>
      <c r="G201" s="202" t="s">
        <v>2764</v>
      </c>
      <c r="H201" s="202" t="s">
        <v>2747</v>
      </c>
      <c r="I201" s="202" t="s">
        <v>2716</v>
      </c>
      <c r="J201" s="202"/>
      <c r="K201" s="202"/>
      <c r="L201" s="202"/>
      <c r="M201" s="202"/>
      <c r="N201" s="202" t="s">
        <v>2738</v>
      </c>
    </row>
    <row r="202" spans="1:14" x14ac:dyDescent="0.2">
      <c r="A202" s="202" t="s">
        <v>3063</v>
      </c>
      <c r="B202" s="202" t="s">
        <v>3181</v>
      </c>
      <c r="C202" s="202" t="s">
        <v>3275</v>
      </c>
      <c r="D202" s="202" t="s">
        <v>3161</v>
      </c>
      <c r="E202" s="202" t="s">
        <v>3052</v>
      </c>
      <c r="F202" s="202" t="s">
        <v>2790</v>
      </c>
      <c r="G202" s="202" t="s">
        <v>2714</v>
      </c>
      <c r="H202" s="202" t="s">
        <v>3276</v>
      </c>
      <c r="I202" s="202" t="s">
        <v>2716</v>
      </c>
      <c r="J202" s="202" t="s">
        <v>2869</v>
      </c>
      <c r="K202" s="202"/>
      <c r="L202" s="202"/>
      <c r="M202" s="202"/>
      <c r="N202" s="202" t="s">
        <v>2786</v>
      </c>
    </row>
    <row r="203" spans="1:14" x14ac:dyDescent="0.2">
      <c r="A203" s="202" t="s">
        <v>3187</v>
      </c>
      <c r="B203" s="202" t="s">
        <v>3063</v>
      </c>
      <c r="C203" s="202" t="s">
        <v>3277</v>
      </c>
      <c r="D203" s="202" t="s">
        <v>3278</v>
      </c>
      <c r="E203" s="202" t="s">
        <v>3063</v>
      </c>
      <c r="F203" s="202" t="s">
        <v>2732</v>
      </c>
      <c r="G203" s="202" t="s">
        <v>2751</v>
      </c>
      <c r="H203" s="202" t="s">
        <v>3279</v>
      </c>
      <c r="I203" s="202" t="s">
        <v>2877</v>
      </c>
      <c r="J203" s="202"/>
      <c r="K203" s="202"/>
      <c r="L203" s="202" t="s">
        <v>3280</v>
      </c>
      <c r="M203" s="202" t="s">
        <v>2770</v>
      </c>
      <c r="N203" s="202" t="s">
        <v>2753</v>
      </c>
    </row>
    <row r="204" spans="1:14" ht="12.9" customHeight="1" x14ac:dyDescent="0.2">
      <c r="A204" s="202" t="s">
        <v>3188</v>
      </c>
      <c r="B204" s="202" t="s">
        <v>3052</v>
      </c>
      <c r="C204" s="202" t="s">
        <v>3281</v>
      </c>
      <c r="D204" s="202" t="s">
        <v>3282</v>
      </c>
      <c r="E204" s="202" t="s">
        <v>3052</v>
      </c>
      <c r="F204" s="202" t="s">
        <v>2713</v>
      </c>
      <c r="G204" s="202" t="s">
        <v>2714</v>
      </c>
      <c r="H204" s="202" t="s">
        <v>3283</v>
      </c>
      <c r="I204" s="202" t="s">
        <v>2716</v>
      </c>
      <c r="J204" s="202" t="s">
        <v>2717</v>
      </c>
      <c r="K204" s="202"/>
      <c r="L204" s="202"/>
      <c r="M204" s="202"/>
      <c r="N204" s="202" t="s">
        <v>2718</v>
      </c>
    </row>
    <row r="205" spans="1:14" ht="11.4" customHeight="1" x14ac:dyDescent="0.2">
      <c r="A205" s="202" t="s">
        <v>3052</v>
      </c>
      <c r="B205" s="202" t="s">
        <v>3052</v>
      </c>
      <c r="C205" s="202" t="s">
        <v>3284</v>
      </c>
      <c r="D205" s="202" t="s">
        <v>3285</v>
      </c>
      <c r="E205" s="202" t="s">
        <v>3187</v>
      </c>
      <c r="F205" s="202" t="s">
        <v>2732</v>
      </c>
      <c r="G205" s="202" t="s">
        <v>2970</v>
      </c>
      <c r="H205" s="202" t="s">
        <v>3286</v>
      </c>
      <c r="I205" s="202" t="s">
        <v>3287</v>
      </c>
      <c r="J205" s="202"/>
      <c r="K205" s="202"/>
      <c r="L205" s="202"/>
      <c r="M205" s="202"/>
      <c r="N205" s="202" t="s">
        <v>2718</v>
      </c>
    </row>
    <row r="206" spans="1:14" ht="12.9" customHeight="1" x14ac:dyDescent="0.2">
      <c r="A206" s="202" t="s">
        <v>3201</v>
      </c>
      <c r="B206" s="202" t="s">
        <v>3052</v>
      </c>
      <c r="C206" s="202" t="s">
        <v>3288</v>
      </c>
      <c r="D206" s="202" t="s">
        <v>3289</v>
      </c>
      <c r="E206" s="202" t="s">
        <v>3052</v>
      </c>
      <c r="F206" s="202" t="s">
        <v>2763</v>
      </c>
      <c r="G206" s="202" t="s">
        <v>2714</v>
      </c>
      <c r="H206" s="202" t="s">
        <v>3290</v>
      </c>
      <c r="I206" s="202" t="s">
        <v>2716</v>
      </c>
      <c r="J206" s="202"/>
      <c r="K206" s="202"/>
      <c r="L206" s="202"/>
      <c r="M206" s="202"/>
      <c r="N206" s="202" t="s">
        <v>2738</v>
      </c>
    </row>
    <row r="207" spans="1:14" ht="12.9" customHeight="1" x14ac:dyDescent="0.2">
      <c r="A207" s="202" t="s">
        <v>3194</v>
      </c>
      <c r="B207" s="202" t="s">
        <v>3201</v>
      </c>
      <c r="C207" s="202" t="s">
        <v>2860</v>
      </c>
      <c r="D207" s="202" t="s">
        <v>3291</v>
      </c>
      <c r="E207" s="202" t="s">
        <v>3292</v>
      </c>
      <c r="F207" s="202" t="s">
        <v>2763</v>
      </c>
      <c r="G207" s="202" t="s">
        <v>2862</v>
      </c>
      <c r="H207" s="202" t="s">
        <v>3293</v>
      </c>
      <c r="I207" s="202" t="s">
        <v>2815</v>
      </c>
      <c r="J207" s="202"/>
      <c r="K207" s="202"/>
      <c r="L207" s="202"/>
      <c r="M207" s="202"/>
      <c r="N207" s="202" t="s">
        <v>2786</v>
      </c>
    </row>
    <row r="208" spans="1:14" x14ac:dyDescent="0.2">
      <c r="A208" s="202" t="s">
        <v>3202</v>
      </c>
      <c r="B208" s="202" t="s">
        <v>3194</v>
      </c>
      <c r="C208" s="202" t="s">
        <v>3294</v>
      </c>
      <c r="D208" s="202" t="s">
        <v>3207</v>
      </c>
      <c r="E208" s="202" t="s">
        <v>3052</v>
      </c>
      <c r="F208" s="202" t="s">
        <v>2807</v>
      </c>
      <c r="G208" s="202" t="s">
        <v>2714</v>
      </c>
      <c r="H208" s="202" t="s">
        <v>3295</v>
      </c>
      <c r="I208" s="202" t="s">
        <v>2716</v>
      </c>
      <c r="J208" s="202"/>
      <c r="K208" s="202"/>
      <c r="L208" s="202"/>
      <c r="M208" s="202"/>
      <c r="N208" s="202" t="s">
        <v>2748</v>
      </c>
    </row>
    <row r="209" spans="1:15" x14ac:dyDescent="0.2">
      <c r="A209" s="202" t="s">
        <v>3214</v>
      </c>
      <c r="B209" s="202" t="s">
        <v>3219</v>
      </c>
      <c r="C209" s="202" t="s">
        <v>3296</v>
      </c>
      <c r="D209" s="202" t="s">
        <v>2811</v>
      </c>
      <c r="E209" s="202" t="s">
        <v>3052</v>
      </c>
      <c r="F209" s="202" t="s">
        <v>2732</v>
      </c>
      <c r="G209" s="202" t="s">
        <v>2714</v>
      </c>
      <c r="H209" s="202" t="s">
        <v>3074</v>
      </c>
      <c r="I209" s="202" t="s">
        <v>2716</v>
      </c>
      <c r="J209" s="202" t="s">
        <v>2869</v>
      </c>
      <c r="K209" s="202"/>
      <c r="L209" s="202"/>
      <c r="M209" s="202"/>
      <c r="N209" s="202" t="s">
        <v>2748</v>
      </c>
    </row>
    <row r="210" spans="1:15" x14ac:dyDescent="0.2">
      <c r="A210" s="202" t="s">
        <v>3217</v>
      </c>
      <c r="B210" s="202" t="s">
        <v>3231</v>
      </c>
      <c r="C210" s="202" t="s">
        <v>3297</v>
      </c>
      <c r="D210" s="202" t="s">
        <v>3298</v>
      </c>
      <c r="E210" s="202" t="s">
        <v>3052</v>
      </c>
      <c r="F210" s="202" t="s">
        <v>2790</v>
      </c>
      <c r="G210" s="202" t="s">
        <v>2714</v>
      </c>
      <c r="H210" s="202" t="s">
        <v>3283</v>
      </c>
      <c r="I210" s="202" t="s">
        <v>2716</v>
      </c>
      <c r="J210" s="202" t="s">
        <v>2869</v>
      </c>
      <c r="K210" s="202"/>
      <c r="L210" s="202"/>
      <c r="M210" s="202"/>
      <c r="N210" s="202" t="s">
        <v>2738</v>
      </c>
    </row>
    <row r="211" spans="1:15" x14ac:dyDescent="0.2">
      <c r="A211" s="202" t="s">
        <v>3219</v>
      </c>
      <c r="B211" s="202" t="s">
        <v>3243</v>
      </c>
      <c r="C211" s="202" t="s">
        <v>3299</v>
      </c>
      <c r="D211" s="202" t="s">
        <v>3300</v>
      </c>
      <c r="E211" s="202" t="s">
        <v>3063</v>
      </c>
      <c r="F211" s="202" t="s">
        <v>2726</v>
      </c>
      <c r="G211" s="202" t="s">
        <v>2751</v>
      </c>
      <c r="H211" s="202" t="s">
        <v>3301</v>
      </c>
      <c r="I211" s="202" t="s">
        <v>2815</v>
      </c>
      <c r="J211" s="202"/>
      <c r="K211" s="202"/>
      <c r="L211" s="202"/>
      <c r="M211" s="202" t="s">
        <v>2760</v>
      </c>
      <c r="N211" s="202" t="s">
        <v>2748</v>
      </c>
    </row>
    <row r="212" spans="1:15" x14ac:dyDescent="0.2">
      <c r="A212" s="202" t="s">
        <v>3205</v>
      </c>
      <c r="B212" s="202" t="s">
        <v>3247</v>
      </c>
      <c r="C212" s="202" t="s">
        <v>3125</v>
      </c>
      <c r="D212" s="202" t="s">
        <v>3302</v>
      </c>
      <c r="E212" s="202" t="s">
        <v>3052</v>
      </c>
      <c r="F212" s="202" t="s">
        <v>2726</v>
      </c>
      <c r="G212" s="202" t="s">
        <v>2714</v>
      </c>
      <c r="H212" s="202" t="s">
        <v>3303</v>
      </c>
      <c r="I212" s="202" t="s">
        <v>2716</v>
      </c>
      <c r="J212" s="202" t="s">
        <v>2717</v>
      </c>
      <c r="K212" s="202"/>
      <c r="L212" s="202"/>
      <c r="M212" s="202"/>
      <c r="N212" s="202" t="s">
        <v>2718</v>
      </c>
    </row>
    <row r="213" spans="1:15" x14ac:dyDescent="0.2">
      <c r="A213" s="202" t="s">
        <v>3227</v>
      </c>
      <c r="B213" s="202" t="s">
        <v>3224</v>
      </c>
      <c r="C213" s="202" t="s">
        <v>3304</v>
      </c>
      <c r="D213" s="202" t="s">
        <v>3305</v>
      </c>
      <c r="E213" s="202" t="s">
        <v>3063</v>
      </c>
      <c r="F213" s="202" t="s">
        <v>2732</v>
      </c>
      <c r="G213" s="202" t="s">
        <v>2741</v>
      </c>
      <c r="H213" s="202" t="s">
        <v>3306</v>
      </c>
      <c r="I213" s="202" t="s">
        <v>2716</v>
      </c>
      <c r="J213" s="202"/>
      <c r="K213" s="202"/>
      <c r="L213" s="202"/>
      <c r="M213" s="202"/>
      <c r="N213" s="202" t="s">
        <v>2718</v>
      </c>
    </row>
    <row r="214" spans="1:15" ht="11.4" customHeight="1" x14ac:dyDescent="0.2">
      <c r="A214" s="202" t="s">
        <v>3231</v>
      </c>
      <c r="B214" s="202" t="s">
        <v>3307</v>
      </c>
      <c r="C214" s="202" t="s">
        <v>3308</v>
      </c>
      <c r="D214" s="202" t="s">
        <v>3309</v>
      </c>
      <c r="E214" s="202" t="s">
        <v>3052</v>
      </c>
      <c r="F214" s="202" t="s">
        <v>2713</v>
      </c>
      <c r="G214" s="202" t="s">
        <v>2714</v>
      </c>
      <c r="H214" s="202" t="s">
        <v>3303</v>
      </c>
      <c r="I214" s="202" t="s">
        <v>2716</v>
      </c>
      <c r="J214" s="202" t="s">
        <v>2717</v>
      </c>
      <c r="K214" s="202"/>
      <c r="L214" s="202"/>
      <c r="M214" s="202"/>
      <c r="N214" s="202" t="s">
        <v>2738</v>
      </c>
    </row>
    <row r="215" spans="1:15" ht="11.4" customHeight="1" x14ac:dyDescent="0.2">
      <c r="A215" s="202" t="s">
        <v>3209</v>
      </c>
      <c r="B215" s="202" t="s">
        <v>3256</v>
      </c>
      <c r="C215" s="202" t="s">
        <v>3310</v>
      </c>
      <c r="D215" s="202" t="s">
        <v>3311</v>
      </c>
      <c r="E215" s="202" t="s">
        <v>3052</v>
      </c>
      <c r="F215" s="202" t="s">
        <v>2763</v>
      </c>
      <c r="G215" s="202" t="s">
        <v>2736</v>
      </c>
      <c r="H215" s="202" t="s">
        <v>2815</v>
      </c>
      <c r="I215" s="202" t="s">
        <v>2716</v>
      </c>
      <c r="J215" s="202"/>
      <c r="K215" s="202" t="s">
        <v>2717</v>
      </c>
      <c r="L215" s="202"/>
      <c r="M215" s="202"/>
      <c r="N215" s="202" t="s">
        <v>2748</v>
      </c>
    </row>
    <row r="216" spans="1:15" ht="14.95" customHeight="1" x14ac:dyDescent="0.2">
      <c r="A216" s="202" t="s">
        <v>3238</v>
      </c>
      <c r="B216" s="202" t="s">
        <v>3312</v>
      </c>
      <c r="C216" s="202" t="s">
        <v>3313</v>
      </c>
      <c r="D216" s="202" t="s">
        <v>3314</v>
      </c>
      <c r="E216" s="202" t="s">
        <v>3052</v>
      </c>
      <c r="F216" s="202" t="s">
        <v>2732</v>
      </c>
      <c r="G216" s="202" t="s">
        <v>2764</v>
      </c>
      <c r="H216" s="202" t="s">
        <v>3315</v>
      </c>
      <c r="I216" s="202" t="s">
        <v>2716</v>
      </c>
      <c r="J216" s="202" t="s">
        <v>2717</v>
      </c>
      <c r="K216" s="202"/>
      <c r="L216" s="202"/>
      <c r="M216" s="202"/>
      <c r="N216" s="202" t="s">
        <v>2748</v>
      </c>
    </row>
    <row r="217" spans="1:15" ht="14.95" customHeight="1" x14ac:dyDescent="0.2">
      <c r="A217" s="202" t="s">
        <v>3243</v>
      </c>
      <c r="B217" s="202" t="s">
        <v>3312</v>
      </c>
      <c r="C217" s="202" t="s">
        <v>3316</v>
      </c>
      <c r="D217" s="202" t="s">
        <v>3021</v>
      </c>
      <c r="E217" s="202" t="s">
        <v>3052</v>
      </c>
      <c r="F217" s="202" t="s">
        <v>2732</v>
      </c>
      <c r="G217" s="202" t="s">
        <v>2721</v>
      </c>
      <c r="H217" s="202" t="s">
        <v>3317</v>
      </c>
      <c r="I217" s="202" t="s">
        <v>2716</v>
      </c>
      <c r="J217" s="202" t="s">
        <v>2717</v>
      </c>
      <c r="K217" s="202"/>
      <c r="L217" s="202"/>
      <c r="M217" s="202"/>
      <c r="N217" s="202" t="s">
        <v>2718</v>
      </c>
    </row>
    <row r="218" spans="1:15" s="195" customFormat="1" x14ac:dyDescent="0.2">
      <c r="A218" s="202" t="s">
        <v>3247</v>
      </c>
      <c r="B218" s="202" t="s">
        <v>3312</v>
      </c>
      <c r="C218" s="202" t="s">
        <v>3318</v>
      </c>
      <c r="D218" s="202" t="s">
        <v>3319</v>
      </c>
      <c r="E218" s="202" t="s">
        <v>3052</v>
      </c>
      <c r="F218" s="202" t="s">
        <v>2763</v>
      </c>
      <c r="G218" s="202" t="s">
        <v>2736</v>
      </c>
      <c r="H218" s="202" t="s">
        <v>3320</v>
      </c>
      <c r="I218" s="202" t="s">
        <v>2716</v>
      </c>
      <c r="J218" s="202" t="s">
        <v>2717</v>
      </c>
      <c r="K218" s="202"/>
      <c r="L218" s="202"/>
      <c r="M218" s="202"/>
      <c r="N218" s="202" t="s">
        <v>2748</v>
      </c>
      <c r="O218"/>
    </row>
    <row r="219" spans="1:15" s="195" customFormat="1" x14ac:dyDescent="0.2">
      <c r="A219" s="202" t="s">
        <v>3220</v>
      </c>
      <c r="B219" s="202" t="s">
        <v>3259</v>
      </c>
      <c r="C219" s="202" t="s">
        <v>2994</v>
      </c>
      <c r="D219" s="202" t="s">
        <v>3291</v>
      </c>
      <c r="E219" s="202" t="s">
        <v>3321</v>
      </c>
      <c r="F219" s="202" t="s">
        <v>2732</v>
      </c>
      <c r="G219" s="202" t="s">
        <v>2751</v>
      </c>
      <c r="H219" s="202" t="s">
        <v>3322</v>
      </c>
      <c r="I219" s="202" t="s">
        <v>3323</v>
      </c>
      <c r="J219" s="202"/>
      <c r="K219" s="202"/>
      <c r="L219" s="202" t="s">
        <v>3280</v>
      </c>
      <c r="M219" s="202" t="s">
        <v>2770</v>
      </c>
      <c r="N219" s="202" t="s">
        <v>2836</v>
      </c>
      <c r="O219"/>
    </row>
    <row r="220" spans="1:15" ht="12.75" customHeight="1" x14ac:dyDescent="0.2">
      <c r="A220" s="353" t="s">
        <v>3324</v>
      </c>
      <c r="B220" s="353"/>
      <c r="C220" s="353"/>
      <c r="D220" s="353"/>
      <c r="E220" s="353"/>
      <c r="F220" s="353"/>
      <c r="G220" s="353"/>
      <c r="H220" s="353"/>
      <c r="I220" s="353"/>
      <c r="J220" s="353"/>
      <c r="K220" s="353"/>
      <c r="L220" s="353"/>
      <c r="M220" s="353"/>
      <c r="N220" s="353"/>
    </row>
    <row r="221" spans="1:15" ht="12.75" customHeight="1" x14ac:dyDescent="0.2">
      <c r="A221" s="353"/>
      <c r="B221" s="353"/>
      <c r="C221" s="353"/>
      <c r="D221" s="353"/>
      <c r="E221" s="353"/>
      <c r="F221" s="353"/>
      <c r="G221" s="353"/>
      <c r="H221" s="353"/>
      <c r="I221" s="353"/>
      <c r="J221" s="353"/>
      <c r="K221" s="353"/>
      <c r="L221" s="353"/>
      <c r="M221" s="353"/>
      <c r="N221" s="353"/>
    </row>
    <row r="222" spans="1:15" x14ac:dyDescent="0.2">
      <c r="A222" s="695" t="s">
        <v>2697</v>
      </c>
      <c r="B222" s="695" t="s">
        <v>2698</v>
      </c>
      <c r="C222" s="697" t="s">
        <v>2699</v>
      </c>
      <c r="D222" s="697" t="s">
        <v>2700</v>
      </c>
      <c r="E222" s="699" t="s">
        <v>2701</v>
      </c>
      <c r="F222" s="701" t="s">
        <v>2702</v>
      </c>
      <c r="G222" s="695" t="s">
        <v>2703</v>
      </c>
      <c r="H222" s="695" t="s">
        <v>2704</v>
      </c>
      <c r="I222" s="695" t="s">
        <v>2705</v>
      </c>
      <c r="J222" s="695" t="s">
        <v>2706</v>
      </c>
      <c r="K222" s="695" t="s">
        <v>2707</v>
      </c>
      <c r="L222" s="697" t="s">
        <v>2708</v>
      </c>
      <c r="M222" s="697" t="s">
        <v>2709</v>
      </c>
      <c r="N222" s="695" t="s">
        <v>2710</v>
      </c>
    </row>
    <row r="223" spans="1:15" x14ac:dyDescent="0.2">
      <c r="A223" s="696"/>
      <c r="B223" s="696"/>
      <c r="C223" s="698"/>
      <c r="D223" s="698"/>
      <c r="E223" s="700"/>
      <c r="F223" s="702"/>
      <c r="G223" s="696"/>
      <c r="H223" s="696"/>
      <c r="I223" s="696"/>
      <c r="J223" s="696"/>
      <c r="K223" s="696"/>
      <c r="L223" s="698"/>
      <c r="M223" s="698"/>
      <c r="N223" s="696"/>
    </row>
    <row r="224" spans="1:15" s="195" customFormat="1" x14ac:dyDescent="0.2">
      <c r="A224" s="202" t="s">
        <v>3181</v>
      </c>
      <c r="B224" s="202" t="s">
        <v>3181</v>
      </c>
      <c r="C224" s="202" t="s">
        <v>3325</v>
      </c>
      <c r="D224" s="202" t="s">
        <v>3142</v>
      </c>
      <c r="E224" s="202" t="s">
        <v>3052</v>
      </c>
      <c r="F224" s="202" t="s">
        <v>2776</v>
      </c>
      <c r="G224" s="202" t="s">
        <v>2764</v>
      </c>
      <c r="H224" s="202" t="s">
        <v>3326</v>
      </c>
      <c r="I224" s="202" t="s">
        <v>2815</v>
      </c>
      <c r="J224" s="202"/>
      <c r="K224" s="202"/>
      <c r="L224" s="202"/>
      <c r="M224" s="202"/>
      <c r="N224" s="202" t="s">
        <v>2748</v>
      </c>
      <c r="O224"/>
    </row>
    <row r="225" spans="1:15" s="195" customFormat="1" x14ac:dyDescent="0.2">
      <c r="A225" s="202" t="s">
        <v>3063</v>
      </c>
      <c r="B225" s="202" t="s">
        <v>3063</v>
      </c>
      <c r="C225" s="202" t="s">
        <v>3327</v>
      </c>
      <c r="D225" s="202" t="s">
        <v>3328</v>
      </c>
      <c r="E225" s="202" t="s">
        <v>3063</v>
      </c>
      <c r="F225" s="202" t="s">
        <v>2732</v>
      </c>
      <c r="G225" s="202" t="s">
        <v>2751</v>
      </c>
      <c r="H225" s="202" t="s">
        <v>3329</v>
      </c>
      <c r="I225" s="202" t="s">
        <v>3330</v>
      </c>
      <c r="J225" s="202"/>
      <c r="K225" s="202"/>
      <c r="L225" s="202"/>
      <c r="M225" s="202"/>
      <c r="N225" s="202" t="s">
        <v>2748</v>
      </c>
      <c r="O225"/>
    </row>
    <row r="226" spans="1:15" s="195" customFormat="1" x14ac:dyDescent="0.2">
      <c r="A226" s="202" t="s">
        <v>3187</v>
      </c>
      <c r="B226" s="202" t="s">
        <v>3187</v>
      </c>
      <c r="C226" s="202" t="s">
        <v>3331</v>
      </c>
      <c r="D226" s="202" t="s">
        <v>3332</v>
      </c>
      <c r="E226" s="202" t="s">
        <v>3052</v>
      </c>
      <c r="F226" s="202" t="s">
        <v>2732</v>
      </c>
      <c r="G226" s="202" t="s">
        <v>2764</v>
      </c>
      <c r="H226" s="202" t="s">
        <v>3333</v>
      </c>
      <c r="I226" s="202" t="s">
        <v>2809</v>
      </c>
      <c r="J226" s="202"/>
      <c r="K226" s="202"/>
      <c r="L226" s="202"/>
      <c r="M226" s="202"/>
      <c r="N226" s="202" t="s">
        <v>2748</v>
      </c>
      <c r="O226"/>
    </row>
    <row r="227" spans="1:15" s="195" customFormat="1" x14ac:dyDescent="0.2">
      <c r="A227" s="202" t="s">
        <v>3188</v>
      </c>
      <c r="B227" s="202" t="s">
        <v>3188</v>
      </c>
      <c r="C227" s="202" t="s">
        <v>3302</v>
      </c>
      <c r="D227" s="202" t="s">
        <v>3334</v>
      </c>
      <c r="E227" s="202" t="s">
        <v>3187</v>
      </c>
      <c r="F227" s="202" t="s">
        <v>2732</v>
      </c>
      <c r="G227" s="202" t="s">
        <v>2751</v>
      </c>
      <c r="H227" s="202" t="s">
        <v>3335</v>
      </c>
      <c r="I227" s="202" t="s">
        <v>3336</v>
      </c>
      <c r="J227" s="202"/>
      <c r="K227" s="202"/>
      <c r="L227" s="202"/>
      <c r="M227" s="202"/>
      <c r="N227" s="202" t="s">
        <v>2753</v>
      </c>
      <c r="O227"/>
    </row>
    <row r="228" spans="1:15" s="195" customFormat="1" x14ac:dyDescent="0.2">
      <c r="A228" s="202" t="s">
        <v>3052</v>
      </c>
      <c r="B228" s="202" t="s">
        <v>3052</v>
      </c>
      <c r="C228" s="202" t="s">
        <v>3337</v>
      </c>
      <c r="D228" s="202" t="s">
        <v>3318</v>
      </c>
      <c r="E228" s="202" t="s">
        <v>3052</v>
      </c>
      <c r="F228" s="202" t="s">
        <v>2746</v>
      </c>
      <c r="G228" s="202" t="s">
        <v>2764</v>
      </c>
      <c r="H228" s="202" t="s">
        <v>3338</v>
      </c>
      <c r="I228" s="202" t="s">
        <v>3339</v>
      </c>
      <c r="J228" s="202"/>
      <c r="K228" s="202"/>
      <c r="L228" s="202"/>
      <c r="M228" s="202"/>
      <c r="N228" s="202" t="s">
        <v>2748</v>
      </c>
      <c r="O228"/>
    </row>
    <row r="229" spans="1:15" s="195" customFormat="1" x14ac:dyDescent="0.2">
      <c r="A229" s="202" t="s">
        <v>3201</v>
      </c>
      <c r="B229" s="202" t="s">
        <v>3194</v>
      </c>
      <c r="C229" s="202" t="s">
        <v>2852</v>
      </c>
      <c r="D229" s="202" t="s">
        <v>3340</v>
      </c>
      <c r="E229" s="202" t="s">
        <v>3052</v>
      </c>
      <c r="F229" s="202" t="s">
        <v>2732</v>
      </c>
      <c r="G229" s="202" t="s">
        <v>2721</v>
      </c>
      <c r="H229" s="202" t="s">
        <v>3341</v>
      </c>
      <c r="I229" s="202" t="s">
        <v>2809</v>
      </c>
      <c r="J229" s="202" t="s">
        <v>2717</v>
      </c>
      <c r="K229" s="202"/>
      <c r="L229" s="202"/>
      <c r="M229" s="202"/>
      <c r="N229" s="202" t="s">
        <v>2738</v>
      </c>
      <c r="O229"/>
    </row>
    <row r="230" spans="1:15" x14ac:dyDescent="0.2">
      <c r="A230" s="202" t="s">
        <v>3194</v>
      </c>
      <c r="B230" s="202" t="s">
        <v>3202</v>
      </c>
      <c r="C230" s="202" t="s">
        <v>3342</v>
      </c>
      <c r="D230" s="202" t="s">
        <v>3086</v>
      </c>
      <c r="E230" s="202" t="s">
        <v>3052</v>
      </c>
      <c r="F230" s="202" t="s">
        <v>2776</v>
      </c>
      <c r="G230" s="202" t="s">
        <v>2714</v>
      </c>
      <c r="H230" s="202" t="s">
        <v>3343</v>
      </c>
      <c r="I230" s="202" t="s">
        <v>2716</v>
      </c>
      <c r="J230" s="202" t="s">
        <v>2717</v>
      </c>
      <c r="K230" s="202"/>
      <c r="L230" s="202"/>
      <c r="M230" s="202"/>
      <c r="N230" s="202" t="s">
        <v>2786</v>
      </c>
    </row>
    <row r="231" spans="1:15" x14ac:dyDescent="0.2">
      <c r="A231" s="202" t="s">
        <v>3202</v>
      </c>
      <c r="B231" s="202" t="s">
        <v>3227</v>
      </c>
      <c r="C231" s="202" t="s">
        <v>3344</v>
      </c>
      <c r="D231" s="202" t="s">
        <v>2749</v>
      </c>
      <c r="E231" s="202" t="s">
        <v>3052</v>
      </c>
      <c r="F231" s="202" t="s">
        <v>2776</v>
      </c>
      <c r="G231" s="202" t="s">
        <v>2764</v>
      </c>
      <c r="H231" s="202" t="s">
        <v>939</v>
      </c>
      <c r="I231" s="202" t="s">
        <v>2716</v>
      </c>
      <c r="J231" s="202"/>
      <c r="K231" s="202"/>
      <c r="L231" s="202"/>
      <c r="M231" s="202"/>
      <c r="N231" s="202" t="s">
        <v>2738</v>
      </c>
    </row>
    <row r="232" spans="1:15" x14ac:dyDescent="0.2">
      <c r="A232" s="202" t="s">
        <v>3214</v>
      </c>
      <c r="B232" s="202" t="s">
        <v>3247</v>
      </c>
      <c r="C232" s="202" t="s">
        <v>3136</v>
      </c>
      <c r="D232" s="202" t="s">
        <v>2757</v>
      </c>
      <c r="E232" s="202" t="s">
        <v>3063</v>
      </c>
      <c r="F232" s="202" t="s">
        <v>2776</v>
      </c>
      <c r="G232" s="202" t="s">
        <v>2862</v>
      </c>
      <c r="H232" s="202" t="s">
        <v>2815</v>
      </c>
      <c r="I232" s="202" t="s">
        <v>2815</v>
      </c>
      <c r="J232" s="202"/>
      <c r="K232" s="202"/>
      <c r="L232" s="202"/>
      <c r="M232" s="202"/>
      <c r="N232" s="202" t="s">
        <v>2718</v>
      </c>
    </row>
    <row r="233" spans="1:15" x14ac:dyDescent="0.2">
      <c r="A233" s="202" t="s">
        <v>3217</v>
      </c>
      <c r="B233" s="202" t="s">
        <v>3220</v>
      </c>
      <c r="C233" s="202" t="s">
        <v>3345</v>
      </c>
      <c r="D233" s="202" t="s">
        <v>3346</v>
      </c>
      <c r="E233" s="202" t="s">
        <v>3052</v>
      </c>
      <c r="F233" s="202" t="s">
        <v>2732</v>
      </c>
      <c r="G233" s="202" t="s">
        <v>2764</v>
      </c>
      <c r="H233" s="202" t="s">
        <v>3347</v>
      </c>
      <c r="I233" s="202" t="s">
        <v>2839</v>
      </c>
      <c r="J233" s="202"/>
      <c r="K233" s="202"/>
      <c r="L233" s="202"/>
      <c r="M233" s="202"/>
      <c r="N233" s="202" t="s">
        <v>2718</v>
      </c>
    </row>
    <row r="234" spans="1:15" x14ac:dyDescent="0.2">
      <c r="A234" s="202" t="s">
        <v>3219</v>
      </c>
      <c r="B234" s="202" t="s">
        <v>3255</v>
      </c>
      <c r="C234" s="202" t="s">
        <v>3348</v>
      </c>
      <c r="D234" s="202" t="s">
        <v>3349</v>
      </c>
      <c r="E234" s="202" t="s">
        <v>3052</v>
      </c>
      <c r="F234" s="202" t="s">
        <v>2790</v>
      </c>
      <c r="G234" s="202" t="s">
        <v>2714</v>
      </c>
      <c r="H234" s="202" t="s">
        <v>3350</v>
      </c>
      <c r="I234" s="202" t="s">
        <v>2716</v>
      </c>
      <c r="J234" s="202" t="s">
        <v>2869</v>
      </c>
      <c r="K234" s="202"/>
      <c r="L234" s="202"/>
      <c r="M234" s="202"/>
      <c r="N234" s="202" t="s">
        <v>3105</v>
      </c>
    </row>
    <row r="235" spans="1:15" x14ac:dyDescent="0.2">
      <c r="A235" s="202" t="s">
        <v>3205</v>
      </c>
      <c r="B235" s="202" t="s">
        <v>3228</v>
      </c>
      <c r="C235" s="202" t="s">
        <v>2923</v>
      </c>
      <c r="D235" s="202" t="s">
        <v>2991</v>
      </c>
      <c r="E235" s="202" t="s">
        <v>3052</v>
      </c>
      <c r="F235" s="202" t="s">
        <v>2713</v>
      </c>
      <c r="G235" s="202" t="s">
        <v>2764</v>
      </c>
      <c r="H235" s="202" t="s">
        <v>2815</v>
      </c>
      <c r="I235" s="202" t="s">
        <v>2815</v>
      </c>
      <c r="J235" s="202"/>
      <c r="K235" s="202"/>
      <c r="L235" s="202"/>
      <c r="M235" s="202"/>
      <c r="N235" s="202" t="s">
        <v>2810</v>
      </c>
    </row>
    <row r="236" spans="1:15" x14ac:dyDescent="0.2">
      <c r="A236" s="202" t="s">
        <v>3227</v>
      </c>
      <c r="B236" s="202" t="s">
        <v>3234</v>
      </c>
      <c r="C236" s="202" t="s">
        <v>3351</v>
      </c>
      <c r="D236" s="202" t="s">
        <v>3352</v>
      </c>
      <c r="E236" s="202" t="s">
        <v>3052</v>
      </c>
      <c r="F236" s="202" t="s">
        <v>3353</v>
      </c>
      <c r="G236" s="202" t="s">
        <v>2714</v>
      </c>
      <c r="H236" s="202" t="s">
        <v>3354</v>
      </c>
      <c r="I236" s="202" t="s">
        <v>2716</v>
      </c>
      <c r="J236" s="202" t="s">
        <v>2869</v>
      </c>
      <c r="K236" s="202"/>
      <c r="L236" s="202"/>
      <c r="M236" s="202"/>
      <c r="N236" s="202" t="s">
        <v>2836</v>
      </c>
    </row>
    <row r="237" spans="1:15" x14ac:dyDescent="0.2">
      <c r="A237" s="202" t="s">
        <v>3231</v>
      </c>
      <c r="B237" s="202" t="s">
        <v>3307</v>
      </c>
      <c r="C237" s="202" t="s">
        <v>2852</v>
      </c>
      <c r="D237" s="202" t="s">
        <v>3355</v>
      </c>
      <c r="E237" s="202" t="s">
        <v>3052</v>
      </c>
      <c r="F237" s="202" t="s">
        <v>2732</v>
      </c>
      <c r="G237" s="202" t="s">
        <v>2714</v>
      </c>
      <c r="H237" s="202" t="s">
        <v>3356</v>
      </c>
      <c r="I237" s="202" t="s">
        <v>2716</v>
      </c>
      <c r="J237" s="202" t="s">
        <v>2717</v>
      </c>
      <c r="K237" s="202"/>
      <c r="L237" s="202"/>
      <c r="M237" s="202"/>
      <c r="N237" s="202" t="s">
        <v>2718</v>
      </c>
    </row>
    <row r="238" spans="1:15" ht="11.4" customHeight="1" x14ac:dyDescent="0.2">
      <c r="A238" s="202" t="s">
        <v>3209</v>
      </c>
      <c r="B238" s="202" t="s">
        <v>3256</v>
      </c>
      <c r="C238" s="202" t="s">
        <v>3127</v>
      </c>
      <c r="D238" s="202" t="s">
        <v>3357</v>
      </c>
      <c r="E238" s="202" t="s">
        <v>3052</v>
      </c>
      <c r="F238" s="202" t="s">
        <v>2790</v>
      </c>
      <c r="G238" s="202" t="s">
        <v>2714</v>
      </c>
      <c r="H238" s="202" t="s">
        <v>3045</v>
      </c>
      <c r="I238" s="202" t="s">
        <v>2716</v>
      </c>
      <c r="J238" s="202" t="s">
        <v>2717</v>
      </c>
      <c r="K238" s="202"/>
      <c r="L238" s="202"/>
      <c r="M238" s="202"/>
      <c r="N238" s="202" t="s">
        <v>2748</v>
      </c>
    </row>
    <row r="239" spans="1:15" ht="12.75" customHeight="1" x14ac:dyDescent="0.2">
      <c r="A239" s="353" t="s">
        <v>3358</v>
      </c>
      <c r="B239" s="353"/>
      <c r="C239" s="353"/>
      <c r="D239" s="353"/>
      <c r="E239" s="353"/>
      <c r="F239" s="353"/>
      <c r="G239" s="353"/>
      <c r="H239" s="353"/>
      <c r="I239" s="353"/>
      <c r="J239" s="353"/>
      <c r="K239" s="353"/>
      <c r="L239" s="353"/>
      <c r="M239" s="353"/>
      <c r="N239" s="353"/>
    </row>
    <row r="240" spans="1:15" ht="12.75" customHeight="1" x14ac:dyDescent="0.2">
      <c r="A240" s="353"/>
      <c r="B240" s="353"/>
      <c r="C240" s="353"/>
      <c r="D240" s="353"/>
      <c r="E240" s="353"/>
      <c r="F240" s="353"/>
      <c r="G240" s="353"/>
      <c r="H240" s="353"/>
      <c r="I240" s="353"/>
      <c r="J240" s="353"/>
      <c r="K240" s="353"/>
      <c r="L240" s="353"/>
      <c r="M240" s="353"/>
      <c r="N240" s="353"/>
    </row>
    <row r="241" spans="1:14" x14ac:dyDescent="0.2">
      <c r="A241" s="695" t="s">
        <v>2697</v>
      </c>
      <c r="B241" s="695" t="s">
        <v>2698</v>
      </c>
      <c r="C241" s="697" t="s">
        <v>2699</v>
      </c>
      <c r="D241" s="697" t="s">
        <v>2700</v>
      </c>
      <c r="E241" s="699" t="s">
        <v>2701</v>
      </c>
      <c r="F241" s="701" t="s">
        <v>2702</v>
      </c>
      <c r="G241" s="695" t="s">
        <v>2703</v>
      </c>
      <c r="H241" s="695" t="s">
        <v>2704</v>
      </c>
      <c r="I241" s="695" t="s">
        <v>2705</v>
      </c>
      <c r="J241" s="695" t="s">
        <v>2706</v>
      </c>
      <c r="K241" s="695" t="s">
        <v>2707</v>
      </c>
      <c r="L241" s="697" t="s">
        <v>2708</v>
      </c>
      <c r="M241" s="697" t="s">
        <v>2709</v>
      </c>
      <c r="N241" s="695" t="s">
        <v>2710</v>
      </c>
    </row>
    <row r="242" spans="1:14" x14ac:dyDescent="0.2">
      <c r="A242" s="696"/>
      <c r="B242" s="696"/>
      <c r="C242" s="698"/>
      <c r="D242" s="698"/>
      <c r="E242" s="700"/>
      <c r="F242" s="702"/>
      <c r="G242" s="696"/>
      <c r="H242" s="696"/>
      <c r="I242" s="696"/>
      <c r="J242" s="696"/>
      <c r="K242" s="696"/>
      <c r="L242" s="698"/>
      <c r="M242" s="698"/>
      <c r="N242" s="696"/>
    </row>
    <row r="243" spans="1:14" x14ac:dyDescent="0.2">
      <c r="A243" s="203" t="s">
        <v>3181</v>
      </c>
      <c r="B243" s="203" t="s">
        <v>3181</v>
      </c>
      <c r="C243" s="203" t="s">
        <v>3296</v>
      </c>
      <c r="D243" s="203" t="s">
        <v>3359</v>
      </c>
      <c r="E243" s="203" t="s">
        <v>3052</v>
      </c>
      <c r="F243" s="203" t="s">
        <v>2732</v>
      </c>
      <c r="G243" s="203" t="s">
        <v>2714</v>
      </c>
      <c r="H243" s="203" t="s">
        <v>2925</v>
      </c>
      <c r="I243" s="203" t="s">
        <v>2716</v>
      </c>
      <c r="J243" s="203" t="s">
        <v>2717</v>
      </c>
      <c r="K243" s="203"/>
      <c r="L243" s="203"/>
      <c r="M243" s="203"/>
      <c r="N243" s="203" t="s">
        <v>2738</v>
      </c>
    </row>
    <row r="244" spans="1:14" x14ac:dyDescent="0.2">
      <c r="A244" s="203" t="s">
        <v>3063</v>
      </c>
      <c r="B244" s="203" t="s">
        <v>3181</v>
      </c>
      <c r="C244" s="203" t="s">
        <v>3360</v>
      </c>
      <c r="D244" s="203" t="s">
        <v>3361</v>
      </c>
      <c r="E244" s="203" t="s">
        <v>3052</v>
      </c>
      <c r="F244" s="203" t="s">
        <v>2713</v>
      </c>
      <c r="G244" s="203" t="s">
        <v>2714</v>
      </c>
      <c r="H244" s="203" t="s">
        <v>3135</v>
      </c>
      <c r="I244" s="203" t="s">
        <v>2716</v>
      </c>
      <c r="J244" s="203" t="s">
        <v>2869</v>
      </c>
      <c r="K244" s="203"/>
      <c r="L244" s="203"/>
      <c r="M244" s="203"/>
      <c r="N244" s="203" t="s">
        <v>2738</v>
      </c>
    </row>
    <row r="245" spans="1:14" x14ac:dyDescent="0.2">
      <c r="A245" s="203" t="s">
        <v>3187</v>
      </c>
      <c r="B245" s="203" t="s">
        <v>3181</v>
      </c>
      <c r="C245" s="203" t="s">
        <v>2817</v>
      </c>
      <c r="D245" s="203" t="s">
        <v>2946</v>
      </c>
      <c r="E245" s="203" t="s">
        <v>3063</v>
      </c>
      <c r="F245" s="203" t="s">
        <v>2713</v>
      </c>
      <c r="G245" s="203" t="s">
        <v>2970</v>
      </c>
      <c r="H245" s="203" t="s">
        <v>3362</v>
      </c>
      <c r="I245" s="203" t="s">
        <v>2815</v>
      </c>
      <c r="J245" s="203"/>
      <c r="K245" s="203"/>
      <c r="L245" s="203"/>
      <c r="M245" s="203" t="s">
        <v>3363</v>
      </c>
      <c r="N245" s="203" t="s">
        <v>2919</v>
      </c>
    </row>
    <row r="246" spans="1:14" x14ac:dyDescent="0.2">
      <c r="A246" s="203" t="s">
        <v>3188</v>
      </c>
      <c r="B246" s="203" t="s">
        <v>3063</v>
      </c>
      <c r="C246" s="203" t="s">
        <v>3364</v>
      </c>
      <c r="D246" s="203" t="s">
        <v>3284</v>
      </c>
      <c r="E246" s="203" t="s">
        <v>3052</v>
      </c>
      <c r="F246" s="203" t="s">
        <v>2732</v>
      </c>
      <c r="G246" s="203" t="s">
        <v>2714</v>
      </c>
      <c r="H246" s="203" t="s">
        <v>3365</v>
      </c>
      <c r="I246" s="203" t="s">
        <v>2716</v>
      </c>
      <c r="J246" s="203" t="s">
        <v>2717</v>
      </c>
      <c r="K246" s="203"/>
      <c r="L246" s="203"/>
      <c r="M246" s="203"/>
      <c r="N246" s="203" t="s">
        <v>2718</v>
      </c>
    </row>
    <row r="247" spans="1:14" x14ac:dyDescent="0.2">
      <c r="A247" s="203" t="s">
        <v>3052</v>
      </c>
      <c r="B247" s="203" t="s">
        <v>3188</v>
      </c>
      <c r="C247" s="203" t="s">
        <v>3366</v>
      </c>
      <c r="D247" s="203" t="s">
        <v>3367</v>
      </c>
      <c r="E247" s="203" t="s">
        <v>3052</v>
      </c>
      <c r="F247" s="203" t="s">
        <v>2713</v>
      </c>
      <c r="G247" s="203" t="s">
        <v>2714</v>
      </c>
      <c r="H247" s="203" t="s">
        <v>3368</v>
      </c>
      <c r="I247" s="203" t="s">
        <v>2716</v>
      </c>
      <c r="J247" s="203" t="s">
        <v>2869</v>
      </c>
      <c r="K247" s="203"/>
      <c r="L247" s="203"/>
      <c r="M247" s="203"/>
      <c r="N247" s="203" t="s">
        <v>3105</v>
      </c>
    </row>
    <row r="248" spans="1:14" x14ac:dyDescent="0.2">
      <c r="A248" s="203" t="s">
        <v>3201</v>
      </c>
      <c r="B248" s="203" t="s">
        <v>3188</v>
      </c>
      <c r="C248" s="203" t="s">
        <v>3369</v>
      </c>
      <c r="D248" s="203" t="s">
        <v>3370</v>
      </c>
      <c r="E248" s="203" t="s">
        <v>3063</v>
      </c>
      <c r="F248" s="203" t="s">
        <v>2713</v>
      </c>
      <c r="G248" s="203" t="s">
        <v>3371</v>
      </c>
      <c r="H248" s="203" t="s">
        <v>3372</v>
      </c>
      <c r="I248" s="203" t="s">
        <v>2815</v>
      </c>
      <c r="J248" s="203"/>
      <c r="K248" s="203"/>
      <c r="L248" s="203"/>
      <c r="M248" s="203"/>
      <c r="N248" s="203" t="s">
        <v>3040</v>
      </c>
    </row>
    <row r="249" spans="1:14" x14ac:dyDescent="0.2">
      <c r="A249" s="203" t="s">
        <v>3194</v>
      </c>
      <c r="B249" s="203" t="s">
        <v>3201</v>
      </c>
      <c r="C249" s="203" t="s">
        <v>3373</v>
      </c>
      <c r="D249" s="203" t="s">
        <v>3374</v>
      </c>
      <c r="E249" s="203" t="s">
        <v>3052</v>
      </c>
      <c r="F249" s="203" t="s">
        <v>2776</v>
      </c>
      <c r="G249" s="203" t="s">
        <v>2714</v>
      </c>
      <c r="H249" s="203" t="s">
        <v>2958</v>
      </c>
      <c r="I249" s="203" t="s">
        <v>2716</v>
      </c>
      <c r="J249" s="203" t="s">
        <v>2869</v>
      </c>
      <c r="K249" s="203"/>
      <c r="L249" s="203"/>
      <c r="M249" s="203"/>
      <c r="N249" s="203" t="s">
        <v>2748</v>
      </c>
    </row>
    <row r="250" spans="1:14" x14ac:dyDescent="0.2">
      <c r="A250" s="203" t="s">
        <v>3202</v>
      </c>
      <c r="B250" s="203" t="s">
        <v>3194</v>
      </c>
      <c r="C250" s="203" t="s">
        <v>3375</v>
      </c>
      <c r="D250" s="203" t="s">
        <v>3376</v>
      </c>
      <c r="E250" s="203" t="s">
        <v>3052</v>
      </c>
      <c r="F250" s="203" t="s">
        <v>2726</v>
      </c>
      <c r="G250" s="203" t="s">
        <v>2714</v>
      </c>
      <c r="H250" s="203" t="s">
        <v>3377</v>
      </c>
      <c r="I250" s="203" t="s">
        <v>2716</v>
      </c>
      <c r="J250" s="203" t="s">
        <v>2717</v>
      </c>
      <c r="K250" s="203"/>
      <c r="L250" s="203"/>
      <c r="M250" s="203"/>
      <c r="N250" s="203" t="s">
        <v>2738</v>
      </c>
    </row>
    <row r="251" spans="1:14" x14ac:dyDescent="0.2">
      <c r="A251" s="204">
        <v>9</v>
      </c>
      <c r="B251" s="204">
        <v>9</v>
      </c>
      <c r="C251" s="204" t="s">
        <v>2974</v>
      </c>
      <c r="D251" s="204" t="s">
        <v>2860</v>
      </c>
      <c r="E251" s="204">
        <v>5</v>
      </c>
      <c r="F251" s="204" t="s">
        <v>2713</v>
      </c>
      <c r="G251" s="204" t="s">
        <v>2764</v>
      </c>
      <c r="H251" s="204" t="s">
        <v>3378</v>
      </c>
      <c r="I251" s="204" t="s">
        <v>3379</v>
      </c>
      <c r="J251" s="204" t="s">
        <v>2717</v>
      </c>
      <c r="K251" s="204"/>
      <c r="L251" s="204"/>
      <c r="M251" s="204"/>
      <c r="N251" s="204" t="s">
        <v>2810</v>
      </c>
    </row>
    <row r="252" spans="1:14" x14ac:dyDescent="0.2">
      <c r="A252" s="204">
        <v>10</v>
      </c>
      <c r="B252" s="204">
        <v>9</v>
      </c>
      <c r="C252" s="204" t="s">
        <v>3136</v>
      </c>
      <c r="D252" s="204" t="s">
        <v>2983</v>
      </c>
      <c r="E252" s="204">
        <v>2</v>
      </c>
      <c r="F252" s="204" t="s">
        <v>2732</v>
      </c>
      <c r="G252" s="204" t="s">
        <v>3380</v>
      </c>
      <c r="H252" s="204" t="s">
        <v>3381</v>
      </c>
      <c r="I252" s="204" t="s">
        <v>2815</v>
      </c>
      <c r="J252" s="204"/>
      <c r="K252" s="204"/>
      <c r="L252" s="204"/>
      <c r="M252" s="204"/>
      <c r="N252" s="204" t="s">
        <v>2753</v>
      </c>
    </row>
    <row r="253" spans="1:14" x14ac:dyDescent="0.2">
      <c r="A253" s="204">
        <v>11</v>
      </c>
      <c r="B253" s="204">
        <v>9</v>
      </c>
      <c r="C253" s="204" t="s">
        <v>3288</v>
      </c>
      <c r="D253" s="204" t="s">
        <v>3382</v>
      </c>
      <c r="E253" s="204">
        <v>5</v>
      </c>
      <c r="F253" s="204" t="s">
        <v>2713</v>
      </c>
      <c r="G253" s="204" t="s">
        <v>2714</v>
      </c>
      <c r="H253" s="204" t="s">
        <v>3383</v>
      </c>
      <c r="I253" s="204" t="s">
        <v>2716</v>
      </c>
      <c r="J253" s="204" t="s">
        <v>2869</v>
      </c>
      <c r="K253" s="204"/>
      <c r="L253" s="204"/>
      <c r="M253" s="204"/>
      <c r="N253" s="204" t="s">
        <v>2748</v>
      </c>
    </row>
    <row r="254" spans="1:14" x14ac:dyDescent="0.2">
      <c r="A254" s="204">
        <v>12</v>
      </c>
      <c r="B254" s="204">
        <v>11</v>
      </c>
      <c r="C254" s="204" t="s">
        <v>3384</v>
      </c>
      <c r="D254" s="204" t="s">
        <v>3385</v>
      </c>
      <c r="E254" s="204">
        <v>5</v>
      </c>
      <c r="F254" s="204" t="s">
        <v>2776</v>
      </c>
      <c r="G254" s="204" t="s">
        <v>2834</v>
      </c>
      <c r="H254" s="204" t="s">
        <v>3386</v>
      </c>
      <c r="I254" s="204" t="s">
        <v>2716</v>
      </c>
      <c r="J254" s="204"/>
      <c r="K254" s="204"/>
      <c r="L254" s="204"/>
      <c r="M254" s="204"/>
      <c r="N254" s="204" t="s">
        <v>2718</v>
      </c>
    </row>
    <row r="255" spans="1:14" x14ac:dyDescent="0.2">
      <c r="A255" s="204">
        <v>13</v>
      </c>
      <c r="B255" s="204">
        <v>11</v>
      </c>
      <c r="C255" s="204" t="s">
        <v>3038</v>
      </c>
      <c r="D255" s="204" t="s">
        <v>3387</v>
      </c>
      <c r="E255" s="204">
        <v>2</v>
      </c>
      <c r="F255" s="204" t="s">
        <v>2732</v>
      </c>
      <c r="G255" s="204" t="s">
        <v>2714</v>
      </c>
      <c r="H255" s="204" t="s">
        <v>3388</v>
      </c>
      <c r="I255" s="204" t="s">
        <v>2716</v>
      </c>
      <c r="J255" s="204"/>
      <c r="K255" s="204"/>
      <c r="L255" s="204"/>
      <c r="M255" s="204"/>
      <c r="N255" s="204" t="s">
        <v>2748</v>
      </c>
    </row>
    <row r="256" spans="1:14" x14ac:dyDescent="0.2">
      <c r="A256" s="204">
        <v>14</v>
      </c>
      <c r="B256" s="204">
        <v>12</v>
      </c>
      <c r="C256" s="204" t="s">
        <v>3389</v>
      </c>
      <c r="D256" s="204" t="s">
        <v>3390</v>
      </c>
      <c r="E256" s="204">
        <v>5</v>
      </c>
      <c r="F256" s="204" t="s">
        <v>2776</v>
      </c>
      <c r="G256" s="204" t="s">
        <v>2764</v>
      </c>
      <c r="H256" s="204" t="s">
        <v>3391</v>
      </c>
      <c r="I256" s="204" t="s">
        <v>3392</v>
      </c>
      <c r="J256" s="204" t="s">
        <v>2717</v>
      </c>
      <c r="K256" s="204"/>
      <c r="L256" s="204"/>
      <c r="M256" s="204"/>
      <c r="N256" s="204" t="s">
        <v>2738</v>
      </c>
    </row>
    <row r="257" spans="1:14" x14ac:dyDescent="0.2">
      <c r="A257" s="204">
        <v>15</v>
      </c>
      <c r="B257" s="204">
        <v>13</v>
      </c>
      <c r="C257" s="204" t="s">
        <v>3393</v>
      </c>
      <c r="D257" s="204" t="s">
        <v>3394</v>
      </c>
      <c r="E257" s="204">
        <v>5</v>
      </c>
      <c r="F257" s="204" t="s">
        <v>2763</v>
      </c>
      <c r="G257" s="204" t="s">
        <v>2764</v>
      </c>
      <c r="H257" s="204" t="s">
        <v>3395</v>
      </c>
      <c r="I257" s="204" t="s">
        <v>3396</v>
      </c>
      <c r="J257" s="204"/>
      <c r="K257" s="204"/>
      <c r="L257" s="204"/>
      <c r="M257" s="204"/>
      <c r="N257" s="204" t="s">
        <v>2748</v>
      </c>
    </row>
    <row r="258" spans="1:14" x14ac:dyDescent="0.2">
      <c r="A258" s="204">
        <v>16</v>
      </c>
      <c r="B258" s="204">
        <v>13</v>
      </c>
      <c r="C258" s="204" t="s">
        <v>3397</v>
      </c>
      <c r="D258" s="204" t="s">
        <v>3398</v>
      </c>
      <c r="E258" s="204">
        <v>5</v>
      </c>
      <c r="F258" s="204" t="s">
        <v>2763</v>
      </c>
      <c r="G258" s="204" t="s">
        <v>2714</v>
      </c>
      <c r="H258" s="204" t="s">
        <v>3399</v>
      </c>
      <c r="I258" s="204" t="s">
        <v>2716</v>
      </c>
      <c r="J258" s="204" t="s">
        <v>2717</v>
      </c>
      <c r="K258" s="204"/>
      <c r="L258" s="204"/>
      <c r="M258" s="204"/>
      <c r="N258" s="204" t="s">
        <v>2748</v>
      </c>
    </row>
    <row r="259" spans="1:14" x14ac:dyDescent="0.2">
      <c r="A259" s="204">
        <v>17</v>
      </c>
      <c r="B259" s="204">
        <v>15</v>
      </c>
      <c r="C259" s="204" t="s">
        <v>3400</v>
      </c>
      <c r="D259" s="204" t="s">
        <v>3401</v>
      </c>
      <c r="E259" s="204">
        <v>2</v>
      </c>
      <c r="F259" s="204" t="s">
        <v>2776</v>
      </c>
      <c r="G259" s="204" t="s">
        <v>2751</v>
      </c>
      <c r="H259" s="204" t="s">
        <v>3402</v>
      </c>
      <c r="I259" s="204" t="s">
        <v>2716</v>
      </c>
      <c r="J259" s="204"/>
      <c r="K259" s="204"/>
      <c r="L259" s="204" t="s">
        <v>3280</v>
      </c>
      <c r="M259" s="204" t="s">
        <v>2770</v>
      </c>
      <c r="N259" s="204" t="s">
        <v>2810</v>
      </c>
    </row>
    <row r="260" spans="1:14" x14ac:dyDescent="0.2">
      <c r="A260" s="204">
        <v>18</v>
      </c>
      <c r="B260" s="204">
        <v>16</v>
      </c>
      <c r="C260" s="204" t="s">
        <v>3403</v>
      </c>
      <c r="D260" s="204" t="s">
        <v>3404</v>
      </c>
      <c r="E260" s="204">
        <v>5</v>
      </c>
      <c r="F260" s="204" t="s">
        <v>2713</v>
      </c>
      <c r="G260" s="204" t="s">
        <v>2714</v>
      </c>
      <c r="H260" s="204" t="s">
        <v>3405</v>
      </c>
      <c r="I260" s="204" t="s">
        <v>2716</v>
      </c>
      <c r="J260" s="204" t="s">
        <v>2717</v>
      </c>
      <c r="K260" s="204"/>
      <c r="L260" s="204"/>
      <c r="M260" s="204"/>
      <c r="N260" s="204" t="s">
        <v>2748</v>
      </c>
    </row>
    <row r="261" spans="1:14" x14ac:dyDescent="0.2">
      <c r="A261" s="204">
        <v>19</v>
      </c>
      <c r="B261" s="204">
        <v>17</v>
      </c>
      <c r="C261" s="204" t="s">
        <v>3406</v>
      </c>
      <c r="D261" s="204" t="s">
        <v>3010</v>
      </c>
      <c r="E261" s="204">
        <v>2</v>
      </c>
      <c r="F261" s="204" t="s">
        <v>2713</v>
      </c>
      <c r="G261" s="204" t="s">
        <v>2741</v>
      </c>
      <c r="H261" s="204" t="s">
        <v>3407</v>
      </c>
      <c r="I261" s="204" t="s">
        <v>2716</v>
      </c>
      <c r="J261" s="204"/>
      <c r="K261" s="204"/>
      <c r="L261" s="204"/>
      <c r="M261" s="204"/>
      <c r="N261" s="204" t="s">
        <v>2718</v>
      </c>
    </row>
    <row r="262" spans="1:14" x14ac:dyDescent="0.2">
      <c r="A262" s="204">
        <v>20</v>
      </c>
      <c r="B262" s="204">
        <v>17</v>
      </c>
      <c r="C262" s="204" t="s">
        <v>3408</v>
      </c>
      <c r="D262" s="205" t="s">
        <v>2750</v>
      </c>
      <c r="E262" s="204">
        <v>5</v>
      </c>
      <c r="F262" s="204" t="s">
        <v>2732</v>
      </c>
      <c r="G262" s="204" t="s">
        <v>2714</v>
      </c>
      <c r="H262" s="204" t="s">
        <v>3409</v>
      </c>
      <c r="I262" s="204" t="s">
        <v>2716</v>
      </c>
      <c r="J262" s="204" t="s">
        <v>2717</v>
      </c>
      <c r="K262" s="204"/>
      <c r="L262" s="204"/>
      <c r="M262" s="204"/>
      <c r="N262" s="204" t="s">
        <v>2718</v>
      </c>
    </row>
    <row r="263" spans="1:14" x14ac:dyDescent="0.2">
      <c r="A263" s="204">
        <v>21</v>
      </c>
      <c r="B263" s="204">
        <v>21</v>
      </c>
      <c r="C263" s="204" t="s">
        <v>3410</v>
      </c>
      <c r="D263" s="204" t="s">
        <v>2806</v>
      </c>
      <c r="E263" s="204">
        <v>5</v>
      </c>
      <c r="F263" s="204" t="s">
        <v>2776</v>
      </c>
      <c r="G263" s="204" t="s">
        <v>2764</v>
      </c>
      <c r="H263" s="204" t="s">
        <v>2815</v>
      </c>
      <c r="I263" s="204" t="s">
        <v>2815</v>
      </c>
      <c r="J263" s="204" t="s">
        <v>2717</v>
      </c>
      <c r="K263" s="204"/>
      <c r="L263" s="204"/>
      <c r="M263" s="204"/>
      <c r="N263" s="204" t="s">
        <v>2810</v>
      </c>
    </row>
    <row r="264" spans="1:14" x14ac:dyDescent="0.2">
      <c r="A264" s="204">
        <v>22</v>
      </c>
      <c r="B264" s="204">
        <v>22</v>
      </c>
      <c r="C264" s="204" t="s">
        <v>3411</v>
      </c>
      <c r="D264" s="204" t="s">
        <v>3412</v>
      </c>
      <c r="E264" s="204">
        <v>5</v>
      </c>
      <c r="F264" s="204" t="s">
        <v>2732</v>
      </c>
      <c r="G264" s="204" t="s">
        <v>2764</v>
      </c>
      <c r="H264" s="204" t="s">
        <v>2815</v>
      </c>
      <c r="I264" s="204" t="s">
        <v>2815</v>
      </c>
      <c r="J264" s="204" t="s">
        <v>2717</v>
      </c>
      <c r="K264" s="204"/>
      <c r="L264" s="204"/>
      <c r="M264" s="204"/>
      <c r="N264" s="204" t="s">
        <v>2718</v>
      </c>
    </row>
    <row r="265" spans="1:14" x14ac:dyDescent="0.2">
      <c r="A265" s="204">
        <v>23</v>
      </c>
      <c r="B265" s="204">
        <v>22</v>
      </c>
      <c r="C265" s="204" t="s">
        <v>3413</v>
      </c>
      <c r="D265" s="204" t="s">
        <v>3086</v>
      </c>
      <c r="E265" s="204">
        <v>5</v>
      </c>
      <c r="F265" s="204" t="s">
        <v>2732</v>
      </c>
      <c r="G265" s="204" t="s">
        <v>2764</v>
      </c>
      <c r="H265" s="204" t="s">
        <v>3414</v>
      </c>
      <c r="I265" s="204" t="s">
        <v>3415</v>
      </c>
      <c r="J265" s="204" t="s">
        <v>2717</v>
      </c>
      <c r="K265" s="204"/>
      <c r="L265" s="204"/>
      <c r="M265" s="204"/>
      <c r="N265" s="204" t="s">
        <v>2748</v>
      </c>
    </row>
    <row r="266" spans="1:14" x14ac:dyDescent="0.2">
      <c r="A266" s="204">
        <v>24</v>
      </c>
      <c r="B266" s="204">
        <v>24</v>
      </c>
      <c r="C266" s="204" t="s">
        <v>2800</v>
      </c>
      <c r="D266" s="204" t="s">
        <v>3025</v>
      </c>
      <c r="E266" s="204">
        <v>5</v>
      </c>
      <c r="F266" s="204" t="s">
        <v>2776</v>
      </c>
      <c r="G266" s="204" t="s">
        <v>2714</v>
      </c>
      <c r="H266" s="204" t="s">
        <v>2859</v>
      </c>
      <c r="I266" s="204" t="s">
        <v>2716</v>
      </c>
      <c r="J266" s="204" t="s">
        <v>2717</v>
      </c>
      <c r="K266" s="204"/>
      <c r="L266" s="204"/>
      <c r="M266" s="204"/>
      <c r="N266" s="204" t="s">
        <v>2718</v>
      </c>
    </row>
    <row r="267" spans="1:14" x14ac:dyDescent="0.2">
      <c r="A267" s="204">
        <v>25</v>
      </c>
      <c r="B267" s="204">
        <v>26</v>
      </c>
      <c r="C267" s="204" t="s">
        <v>3416</v>
      </c>
      <c r="D267" s="204" t="s">
        <v>3417</v>
      </c>
      <c r="E267" s="204">
        <v>5</v>
      </c>
      <c r="F267" s="204" t="s">
        <v>2763</v>
      </c>
      <c r="G267" s="204" t="s">
        <v>2834</v>
      </c>
      <c r="H267" s="204" t="s">
        <v>3418</v>
      </c>
      <c r="I267" s="204" t="s">
        <v>2716</v>
      </c>
      <c r="J267" s="204"/>
      <c r="K267" s="204"/>
      <c r="L267" s="204"/>
      <c r="M267" s="204"/>
      <c r="N267" s="204" t="s">
        <v>2810</v>
      </c>
    </row>
    <row r="268" spans="1:14" x14ac:dyDescent="0.2">
      <c r="A268" s="204">
        <v>26</v>
      </c>
      <c r="B268" s="204">
        <v>26</v>
      </c>
      <c r="C268" s="204" t="s">
        <v>3419</v>
      </c>
      <c r="D268" s="204" t="s">
        <v>3420</v>
      </c>
      <c r="E268" s="204">
        <v>2</v>
      </c>
      <c r="F268" s="204" t="s">
        <v>2790</v>
      </c>
      <c r="G268" s="204" t="s">
        <v>3371</v>
      </c>
      <c r="H268" s="204" t="s">
        <v>3421</v>
      </c>
      <c r="I268" s="204" t="s">
        <v>3422</v>
      </c>
      <c r="J268" s="204"/>
      <c r="K268" s="204"/>
      <c r="L268" s="204"/>
      <c r="M268" s="204"/>
      <c r="N268" s="204" t="s">
        <v>2748</v>
      </c>
    </row>
    <row r="269" spans="1:14" x14ac:dyDescent="0.2">
      <c r="A269" s="204">
        <v>27</v>
      </c>
      <c r="B269" s="204">
        <v>30</v>
      </c>
      <c r="C269" s="204" t="s">
        <v>3423</v>
      </c>
      <c r="D269" s="204" t="s">
        <v>3424</v>
      </c>
      <c r="E269" s="204">
        <v>5</v>
      </c>
      <c r="F269" s="204" t="s">
        <v>2732</v>
      </c>
      <c r="G269" s="204" t="s">
        <v>2714</v>
      </c>
      <c r="H269" s="204" t="s">
        <v>3425</v>
      </c>
      <c r="I269" s="204" t="s">
        <v>2716</v>
      </c>
      <c r="J269" s="204" t="s">
        <v>2717</v>
      </c>
      <c r="K269" s="204"/>
      <c r="L269" s="204"/>
      <c r="M269" s="204"/>
      <c r="N269" s="204" t="s">
        <v>2738</v>
      </c>
    </row>
    <row r="270" spans="1:14" ht="12.75" customHeight="1" x14ac:dyDescent="0.2">
      <c r="A270" s="353" t="s">
        <v>3426</v>
      </c>
      <c r="B270" s="353"/>
      <c r="C270" s="353"/>
      <c r="D270" s="353"/>
      <c r="E270" s="353"/>
      <c r="F270" s="353"/>
      <c r="G270" s="353"/>
      <c r="H270" s="353"/>
      <c r="I270" s="353"/>
      <c r="J270" s="353"/>
      <c r="K270" s="353"/>
      <c r="L270" s="353"/>
      <c r="M270" s="353"/>
      <c r="N270" s="353"/>
    </row>
    <row r="271" spans="1:14" ht="12.75" customHeight="1" x14ac:dyDescent="0.2">
      <c r="A271" s="353"/>
      <c r="B271" s="353"/>
      <c r="C271" s="353"/>
      <c r="D271" s="353"/>
      <c r="E271" s="353"/>
      <c r="F271" s="353"/>
      <c r="G271" s="353"/>
      <c r="H271" s="353"/>
      <c r="I271" s="353"/>
      <c r="J271" s="353"/>
      <c r="K271" s="353"/>
      <c r="L271" s="353"/>
      <c r="M271" s="353"/>
      <c r="N271" s="353"/>
    </row>
    <row r="272" spans="1:14" x14ac:dyDescent="0.2">
      <c r="A272" s="695" t="s">
        <v>2697</v>
      </c>
      <c r="B272" s="695" t="s">
        <v>2698</v>
      </c>
      <c r="C272" s="697" t="s">
        <v>2699</v>
      </c>
      <c r="D272" s="697" t="s">
        <v>2700</v>
      </c>
      <c r="E272" s="699" t="s">
        <v>2701</v>
      </c>
      <c r="F272" s="701" t="s">
        <v>2702</v>
      </c>
      <c r="G272" s="695" t="s">
        <v>2703</v>
      </c>
      <c r="H272" s="695" t="s">
        <v>2704</v>
      </c>
      <c r="I272" s="695" t="s">
        <v>2705</v>
      </c>
      <c r="J272" s="695" t="s">
        <v>2706</v>
      </c>
      <c r="K272" s="695" t="s">
        <v>2707</v>
      </c>
      <c r="L272" s="697" t="s">
        <v>2708</v>
      </c>
      <c r="M272" s="697" t="s">
        <v>2709</v>
      </c>
      <c r="N272" s="695" t="s">
        <v>2710</v>
      </c>
    </row>
    <row r="273" spans="1:15" x14ac:dyDescent="0.2">
      <c r="A273" s="696"/>
      <c r="B273" s="696"/>
      <c r="C273" s="698"/>
      <c r="D273" s="698"/>
      <c r="E273" s="700"/>
      <c r="F273" s="702"/>
      <c r="G273" s="696"/>
      <c r="H273" s="696"/>
      <c r="I273" s="696"/>
      <c r="J273" s="696"/>
      <c r="K273" s="696"/>
      <c r="L273" s="698"/>
      <c r="M273" s="698"/>
      <c r="N273" s="696"/>
    </row>
    <row r="274" spans="1:15" s="207" customFormat="1" ht="11.4" customHeight="1" x14ac:dyDescent="0.2">
      <c r="A274" s="206">
        <v>1</v>
      </c>
      <c r="B274" s="206">
        <v>1</v>
      </c>
      <c r="C274" s="206" t="s">
        <v>2927</v>
      </c>
      <c r="D274" s="206" t="s">
        <v>3427</v>
      </c>
      <c r="E274" s="206">
        <v>5</v>
      </c>
      <c r="F274" s="206" t="s">
        <v>2746</v>
      </c>
      <c r="G274" s="206" t="s">
        <v>2764</v>
      </c>
      <c r="H274" s="206" t="s">
        <v>3428</v>
      </c>
      <c r="I274" s="206" t="s">
        <v>2815</v>
      </c>
      <c r="J274" s="206" t="s">
        <v>2717</v>
      </c>
      <c r="K274" s="206"/>
      <c r="L274" s="206"/>
      <c r="M274" s="206"/>
      <c r="N274" s="206" t="s">
        <v>2718</v>
      </c>
      <c r="O274"/>
    </row>
    <row r="275" spans="1:15" s="207" customFormat="1" ht="11.4" customHeight="1" x14ac:dyDescent="0.2">
      <c r="A275" s="206">
        <v>2</v>
      </c>
      <c r="B275" s="206">
        <v>4</v>
      </c>
      <c r="C275" s="206" t="s">
        <v>3429</v>
      </c>
      <c r="D275" s="206" t="s">
        <v>2873</v>
      </c>
      <c r="E275" s="206">
        <v>5</v>
      </c>
      <c r="F275" s="206" t="s">
        <v>2746</v>
      </c>
      <c r="G275" s="206" t="s">
        <v>2764</v>
      </c>
      <c r="H275" s="206" t="s">
        <v>3430</v>
      </c>
      <c r="I275" s="206" t="s">
        <v>2716</v>
      </c>
      <c r="J275" s="206"/>
      <c r="K275" s="206"/>
      <c r="L275" s="206"/>
      <c r="M275" s="206"/>
      <c r="N275" s="206" t="s">
        <v>2748</v>
      </c>
      <c r="O275"/>
    </row>
    <row r="276" spans="1:15" ht="11.4" customHeight="1" x14ac:dyDescent="0.2">
      <c r="A276" s="206">
        <v>3</v>
      </c>
      <c r="B276" s="206">
        <v>5</v>
      </c>
      <c r="C276" s="206" t="s">
        <v>3431</v>
      </c>
      <c r="D276" s="206" t="s">
        <v>3432</v>
      </c>
      <c r="E276" s="206">
        <v>5</v>
      </c>
      <c r="F276" s="206" t="s">
        <v>2776</v>
      </c>
      <c r="G276" s="206" t="s">
        <v>2764</v>
      </c>
      <c r="H276" s="206" t="s">
        <v>3433</v>
      </c>
      <c r="I276" s="206" t="s">
        <v>2716</v>
      </c>
      <c r="J276" s="206"/>
      <c r="K276" s="206"/>
      <c r="L276" s="206"/>
      <c r="M276" s="206"/>
      <c r="N276" s="206" t="s">
        <v>2718</v>
      </c>
    </row>
    <row r="277" spans="1:15" ht="11.4" customHeight="1" x14ac:dyDescent="0.2">
      <c r="A277" s="206">
        <v>4</v>
      </c>
      <c r="B277" s="206">
        <v>7</v>
      </c>
      <c r="C277" s="206" t="s">
        <v>3434</v>
      </c>
      <c r="D277" s="206" t="s">
        <v>3435</v>
      </c>
      <c r="E277" s="206">
        <v>5</v>
      </c>
      <c r="F277" s="206" t="s">
        <v>2790</v>
      </c>
      <c r="G277" s="206" t="s">
        <v>2714</v>
      </c>
      <c r="H277" s="206" t="s">
        <v>3436</v>
      </c>
      <c r="I277" s="206" t="s">
        <v>2716</v>
      </c>
      <c r="J277" s="206" t="s">
        <v>2869</v>
      </c>
      <c r="K277" s="206"/>
      <c r="L277" s="206"/>
      <c r="M277" s="206"/>
      <c r="N277" s="206" t="s">
        <v>2786</v>
      </c>
    </row>
    <row r="278" spans="1:15" s="212" customFormat="1" x14ac:dyDescent="0.2">
      <c r="A278" s="208">
        <v>5</v>
      </c>
      <c r="B278" s="208">
        <v>7</v>
      </c>
      <c r="C278" s="209" t="s">
        <v>3437</v>
      </c>
      <c r="D278" s="209" t="s">
        <v>3022</v>
      </c>
      <c r="E278" s="210">
        <v>5</v>
      </c>
      <c r="F278" s="211" t="s">
        <v>2732</v>
      </c>
      <c r="G278" s="204" t="s">
        <v>2714</v>
      </c>
      <c r="H278" s="211" t="s">
        <v>2792</v>
      </c>
      <c r="I278" s="211" t="s">
        <v>2716</v>
      </c>
      <c r="J278" s="211" t="s">
        <v>2869</v>
      </c>
      <c r="K278" s="211"/>
      <c r="L278" s="209"/>
      <c r="M278" s="209"/>
      <c r="N278" s="204" t="s">
        <v>2786</v>
      </c>
      <c r="O278"/>
    </row>
    <row r="279" spans="1:15" s="195" customFormat="1" x14ac:dyDescent="0.2">
      <c r="A279" s="208">
        <v>6</v>
      </c>
      <c r="B279" s="208">
        <v>8</v>
      </c>
      <c r="C279" s="209" t="s">
        <v>3423</v>
      </c>
      <c r="D279" s="209" t="s">
        <v>2855</v>
      </c>
      <c r="E279" s="213" t="s">
        <v>3052</v>
      </c>
      <c r="F279" s="211" t="s">
        <v>2776</v>
      </c>
      <c r="G279" s="211" t="s">
        <v>2764</v>
      </c>
      <c r="H279" s="211" t="s">
        <v>2815</v>
      </c>
      <c r="I279" s="211" t="s">
        <v>2815</v>
      </c>
      <c r="J279" s="211"/>
      <c r="K279" s="211"/>
      <c r="L279" s="209"/>
      <c r="M279" s="209"/>
      <c r="N279" s="204" t="s">
        <v>2718</v>
      </c>
      <c r="O279"/>
    </row>
    <row r="280" spans="1:15" s="195" customFormat="1" x14ac:dyDescent="0.2">
      <c r="A280" s="208">
        <v>7</v>
      </c>
      <c r="B280" s="208">
        <v>14</v>
      </c>
      <c r="C280" s="209" t="s">
        <v>2968</v>
      </c>
      <c r="D280" s="209" t="s">
        <v>3438</v>
      </c>
      <c r="E280" s="210" t="s">
        <v>3052</v>
      </c>
      <c r="F280" s="211" t="s">
        <v>2776</v>
      </c>
      <c r="G280" s="211" t="s">
        <v>2764</v>
      </c>
      <c r="H280" s="211" t="s">
        <v>3439</v>
      </c>
      <c r="I280" s="211" t="s">
        <v>3440</v>
      </c>
      <c r="J280" s="211"/>
      <c r="K280" s="211"/>
      <c r="L280" s="209"/>
      <c r="M280" s="209"/>
      <c r="N280" s="204" t="s">
        <v>2718</v>
      </c>
      <c r="O280"/>
    </row>
    <row r="281" spans="1:15" s="195" customFormat="1" x14ac:dyDescent="0.2">
      <c r="A281" s="208">
        <v>8</v>
      </c>
      <c r="B281" s="208">
        <v>15</v>
      </c>
      <c r="C281" s="209" t="s">
        <v>3305</v>
      </c>
      <c r="D281" s="209" t="s">
        <v>3441</v>
      </c>
      <c r="E281" s="210" t="s">
        <v>3052</v>
      </c>
      <c r="F281" s="211" t="s">
        <v>2732</v>
      </c>
      <c r="G281" s="211" t="s">
        <v>2714</v>
      </c>
      <c r="H281" s="211" t="s">
        <v>3442</v>
      </c>
      <c r="I281" s="211" t="s">
        <v>2716</v>
      </c>
      <c r="J281" s="211" t="s">
        <v>2717</v>
      </c>
      <c r="K281" s="211"/>
      <c r="L281" s="209"/>
      <c r="M281" s="209"/>
      <c r="N281" s="204" t="s">
        <v>2738</v>
      </c>
      <c r="O281"/>
    </row>
    <row r="282" spans="1:15" s="195" customFormat="1" x14ac:dyDescent="0.2">
      <c r="A282" s="208">
        <v>9</v>
      </c>
      <c r="B282" s="208">
        <v>16</v>
      </c>
      <c r="C282" s="209" t="s">
        <v>2901</v>
      </c>
      <c r="D282" s="209" t="s">
        <v>2806</v>
      </c>
      <c r="E282" s="210" t="s">
        <v>3052</v>
      </c>
      <c r="F282" s="211" t="s">
        <v>2790</v>
      </c>
      <c r="G282" s="211" t="s">
        <v>2764</v>
      </c>
      <c r="H282" s="211" t="s">
        <v>2815</v>
      </c>
      <c r="I282" s="211" t="s">
        <v>2815</v>
      </c>
      <c r="J282" s="211"/>
      <c r="K282" s="211"/>
      <c r="L282" s="209"/>
      <c r="M282" s="209"/>
      <c r="N282" s="204" t="s">
        <v>2748</v>
      </c>
      <c r="O282"/>
    </row>
    <row r="283" spans="1:15" s="195" customFormat="1" x14ac:dyDescent="0.2">
      <c r="A283" s="208">
        <v>10</v>
      </c>
      <c r="B283" s="208">
        <v>16</v>
      </c>
      <c r="C283" s="209" t="s">
        <v>3206</v>
      </c>
      <c r="D283" s="209" t="s">
        <v>3316</v>
      </c>
      <c r="E283" s="210" t="s">
        <v>3052</v>
      </c>
      <c r="F283" s="211" t="s">
        <v>2790</v>
      </c>
      <c r="G283" s="211" t="s">
        <v>2714</v>
      </c>
      <c r="H283" s="211" t="s">
        <v>3443</v>
      </c>
      <c r="I283" s="211" t="s">
        <v>2716</v>
      </c>
      <c r="J283" s="211" t="s">
        <v>2717</v>
      </c>
      <c r="K283" s="211"/>
      <c r="L283" s="209"/>
      <c r="M283" s="209"/>
      <c r="N283" s="204" t="s">
        <v>3105</v>
      </c>
      <c r="O283"/>
    </row>
    <row r="284" spans="1:15" s="195" customFormat="1" x14ac:dyDescent="0.2">
      <c r="A284" s="208">
        <v>11</v>
      </c>
      <c r="B284" s="208">
        <v>17</v>
      </c>
      <c r="C284" s="209" t="s">
        <v>2866</v>
      </c>
      <c r="D284" s="209" t="s">
        <v>3444</v>
      </c>
      <c r="E284" s="210" t="s">
        <v>3052</v>
      </c>
      <c r="F284" s="211" t="s">
        <v>2713</v>
      </c>
      <c r="G284" s="211" t="s">
        <v>2714</v>
      </c>
      <c r="H284" s="211" t="s">
        <v>3445</v>
      </c>
      <c r="I284" s="211" t="s">
        <v>2716</v>
      </c>
      <c r="J284" s="211" t="s">
        <v>2717</v>
      </c>
      <c r="K284" s="211"/>
      <c r="L284" s="209"/>
      <c r="M284" s="209"/>
      <c r="N284" s="204" t="s">
        <v>2786</v>
      </c>
      <c r="O284"/>
    </row>
    <row r="285" spans="1:15" s="195" customFormat="1" x14ac:dyDescent="0.2">
      <c r="A285" s="208">
        <v>12</v>
      </c>
      <c r="B285" s="208">
        <v>18</v>
      </c>
      <c r="C285" s="209" t="s">
        <v>3446</v>
      </c>
      <c r="D285" s="209" t="s">
        <v>3447</v>
      </c>
      <c r="E285" s="210" t="s">
        <v>3052</v>
      </c>
      <c r="F285" s="211" t="s">
        <v>3353</v>
      </c>
      <c r="G285" s="204" t="s">
        <v>2714</v>
      </c>
      <c r="H285" s="211" t="s">
        <v>3448</v>
      </c>
      <c r="I285" s="211" t="s">
        <v>2716</v>
      </c>
      <c r="J285" s="211" t="s">
        <v>2717</v>
      </c>
      <c r="K285" s="211"/>
      <c r="L285" s="209"/>
      <c r="M285" s="209"/>
      <c r="N285" s="204" t="s">
        <v>2718</v>
      </c>
      <c r="O285"/>
    </row>
    <row r="286" spans="1:15" s="195" customFormat="1" x14ac:dyDescent="0.2">
      <c r="A286" s="208">
        <v>13</v>
      </c>
      <c r="B286" s="208">
        <v>21</v>
      </c>
      <c r="C286" s="209" t="s">
        <v>3449</v>
      </c>
      <c r="D286" s="209" t="s">
        <v>3450</v>
      </c>
      <c r="E286" s="210" t="s">
        <v>3052</v>
      </c>
      <c r="F286" s="211" t="s">
        <v>2746</v>
      </c>
      <c r="G286" s="211" t="s">
        <v>2764</v>
      </c>
      <c r="H286" s="211" t="s">
        <v>3451</v>
      </c>
      <c r="I286" s="211" t="s">
        <v>3452</v>
      </c>
      <c r="J286" s="211"/>
      <c r="K286" s="211"/>
      <c r="L286" s="209"/>
      <c r="M286" s="209"/>
      <c r="N286" s="204" t="s">
        <v>2718</v>
      </c>
      <c r="O286"/>
    </row>
    <row r="287" spans="1:15" s="195" customFormat="1" x14ac:dyDescent="0.2">
      <c r="A287" s="208">
        <v>14</v>
      </c>
      <c r="B287" s="208">
        <v>22</v>
      </c>
      <c r="C287" s="209" t="s">
        <v>3453</v>
      </c>
      <c r="D287" s="209" t="s">
        <v>3454</v>
      </c>
      <c r="E287" s="210" t="s">
        <v>3052</v>
      </c>
      <c r="F287" s="211" t="s">
        <v>2746</v>
      </c>
      <c r="G287" s="211" t="s">
        <v>2714</v>
      </c>
      <c r="H287" s="211" t="s">
        <v>3455</v>
      </c>
      <c r="I287" s="211" t="s">
        <v>2716</v>
      </c>
      <c r="J287" s="211"/>
      <c r="K287" s="211"/>
      <c r="L287" s="209"/>
      <c r="M287" s="209"/>
      <c r="N287" s="204" t="s">
        <v>2718</v>
      </c>
      <c r="O287"/>
    </row>
    <row r="288" spans="1:15" s="195" customFormat="1" x14ac:dyDescent="0.2">
      <c r="A288" s="208">
        <v>15</v>
      </c>
      <c r="B288" s="208">
        <v>24</v>
      </c>
      <c r="C288" s="209" t="s">
        <v>3456</v>
      </c>
      <c r="D288" s="209" t="s">
        <v>3351</v>
      </c>
      <c r="E288" s="210" t="s">
        <v>3052</v>
      </c>
      <c r="F288" s="211" t="s">
        <v>2802</v>
      </c>
      <c r="G288" s="211" t="s">
        <v>2714</v>
      </c>
      <c r="H288" s="211" t="s">
        <v>3457</v>
      </c>
      <c r="I288" s="211" t="s">
        <v>2716</v>
      </c>
      <c r="J288" s="211" t="s">
        <v>2717</v>
      </c>
      <c r="K288" s="211"/>
      <c r="L288" s="209"/>
      <c r="M288" s="209"/>
      <c r="N288" s="211" t="s">
        <v>2836</v>
      </c>
      <c r="O288"/>
    </row>
    <row r="289" spans="1:15" s="195" customFormat="1" x14ac:dyDescent="0.2">
      <c r="A289" s="208">
        <v>16</v>
      </c>
      <c r="B289" s="208">
        <v>25</v>
      </c>
      <c r="C289" s="209" t="s">
        <v>3458</v>
      </c>
      <c r="D289" s="209" t="s">
        <v>3069</v>
      </c>
      <c r="E289" s="210" t="s">
        <v>3063</v>
      </c>
      <c r="F289" s="211" t="s">
        <v>2732</v>
      </c>
      <c r="G289" s="211" t="s">
        <v>3459</v>
      </c>
      <c r="H289" s="211" t="s">
        <v>3460</v>
      </c>
      <c r="I289" s="211" t="s">
        <v>2877</v>
      </c>
      <c r="J289" s="211"/>
      <c r="K289" s="211"/>
      <c r="L289" s="209"/>
      <c r="M289" s="209"/>
      <c r="N289" s="204" t="s">
        <v>2786</v>
      </c>
      <c r="O289"/>
    </row>
    <row r="290" spans="1:15" s="195" customFormat="1" x14ac:dyDescent="0.2">
      <c r="A290" s="208">
        <v>17</v>
      </c>
      <c r="B290" s="208">
        <v>26</v>
      </c>
      <c r="C290" s="209" t="s">
        <v>2879</v>
      </c>
      <c r="D290" s="209" t="s">
        <v>3461</v>
      </c>
      <c r="E290" s="210" t="s">
        <v>3462</v>
      </c>
      <c r="F290" s="211" t="s">
        <v>3353</v>
      </c>
      <c r="G290" s="211" t="s">
        <v>2714</v>
      </c>
      <c r="H290" s="211" t="s">
        <v>3463</v>
      </c>
      <c r="I290" s="211" t="s">
        <v>2716</v>
      </c>
      <c r="J290" s="211" t="s">
        <v>2717</v>
      </c>
      <c r="K290" s="211"/>
      <c r="L290" s="209"/>
      <c r="M290" s="209"/>
      <c r="N290" s="204" t="s">
        <v>2738</v>
      </c>
      <c r="O290"/>
    </row>
    <row r="291" spans="1:15" s="195" customFormat="1" x14ac:dyDescent="0.2">
      <c r="A291" s="208">
        <v>18</v>
      </c>
      <c r="B291" s="208">
        <v>26</v>
      </c>
      <c r="C291" s="209" t="s">
        <v>3096</v>
      </c>
      <c r="D291" s="209" t="s">
        <v>3285</v>
      </c>
      <c r="E291" s="210" t="s">
        <v>3052</v>
      </c>
      <c r="F291" s="211" t="s">
        <v>2732</v>
      </c>
      <c r="G291" s="204" t="s">
        <v>2834</v>
      </c>
      <c r="H291" s="211" t="s">
        <v>3464</v>
      </c>
      <c r="I291" s="211" t="s">
        <v>2716</v>
      </c>
      <c r="J291" s="211"/>
      <c r="K291" s="211"/>
      <c r="L291" s="209"/>
      <c r="M291" s="209"/>
      <c r="N291" s="204" t="s">
        <v>2738</v>
      </c>
      <c r="O291"/>
    </row>
    <row r="292" spans="1:15" s="195" customFormat="1" x14ac:dyDescent="0.2">
      <c r="A292" s="214">
        <v>19</v>
      </c>
      <c r="B292" s="214">
        <v>27</v>
      </c>
      <c r="C292" s="204" t="s">
        <v>3139</v>
      </c>
      <c r="D292" s="204" t="s">
        <v>3465</v>
      </c>
      <c r="E292" s="210" t="s">
        <v>3063</v>
      </c>
      <c r="F292" s="204" t="s">
        <v>2732</v>
      </c>
      <c r="G292" s="204" t="s">
        <v>2751</v>
      </c>
      <c r="H292" s="204" t="s">
        <v>2733</v>
      </c>
      <c r="I292" s="204" t="s">
        <v>2877</v>
      </c>
      <c r="J292" s="204"/>
      <c r="K292" s="204"/>
      <c r="L292" s="204" t="s">
        <v>3466</v>
      </c>
      <c r="M292" s="204" t="s">
        <v>2770</v>
      </c>
      <c r="N292" s="204" t="s">
        <v>2738</v>
      </c>
      <c r="O292"/>
    </row>
    <row r="293" spans="1:15" x14ac:dyDescent="0.2">
      <c r="A293" s="214">
        <v>20</v>
      </c>
      <c r="B293" s="214">
        <v>29</v>
      </c>
      <c r="C293" s="204" t="s">
        <v>3156</v>
      </c>
      <c r="D293" s="204" t="s">
        <v>2837</v>
      </c>
      <c r="E293" s="210" t="s">
        <v>3052</v>
      </c>
      <c r="F293" s="204" t="s">
        <v>2726</v>
      </c>
      <c r="G293" s="211" t="s">
        <v>2714</v>
      </c>
      <c r="H293" s="204" t="s">
        <v>2868</v>
      </c>
      <c r="I293" s="204" t="s">
        <v>2716</v>
      </c>
      <c r="J293" s="204" t="s">
        <v>2717</v>
      </c>
      <c r="K293" s="204"/>
      <c r="L293" s="204"/>
      <c r="M293" s="204"/>
      <c r="N293" s="204" t="s">
        <v>2748</v>
      </c>
    </row>
    <row r="294" spans="1:15" x14ac:dyDescent="0.2">
      <c r="A294" s="214">
        <v>21</v>
      </c>
      <c r="B294" s="214">
        <v>30</v>
      </c>
      <c r="C294" s="204" t="s">
        <v>3467</v>
      </c>
      <c r="D294" s="204" t="s">
        <v>3240</v>
      </c>
      <c r="E294" s="210" t="s">
        <v>3048</v>
      </c>
      <c r="F294" s="204" t="s">
        <v>2763</v>
      </c>
      <c r="G294" s="204" t="s">
        <v>2714</v>
      </c>
      <c r="H294" s="204" t="s">
        <v>2868</v>
      </c>
      <c r="I294" s="204" t="s">
        <v>2716</v>
      </c>
      <c r="J294" s="204" t="s">
        <v>2717</v>
      </c>
      <c r="K294" s="204"/>
      <c r="L294" s="204"/>
      <c r="M294" s="204"/>
      <c r="N294" s="204" t="s">
        <v>2836</v>
      </c>
    </row>
    <row r="295" spans="1:15" ht="12.9" customHeight="1" x14ac:dyDescent="0.2">
      <c r="A295" s="206">
        <v>22</v>
      </c>
      <c r="B295" s="206">
        <v>30</v>
      </c>
      <c r="C295" s="206" t="s">
        <v>3153</v>
      </c>
      <c r="D295" s="206" t="s">
        <v>3468</v>
      </c>
      <c r="E295" s="206">
        <v>5</v>
      </c>
      <c r="F295" s="206" t="s">
        <v>3353</v>
      </c>
      <c r="G295" s="206" t="s">
        <v>2714</v>
      </c>
      <c r="H295" s="206" t="s">
        <v>3469</v>
      </c>
      <c r="I295" s="206" t="s">
        <v>2716</v>
      </c>
      <c r="J295" s="206" t="s">
        <v>2869</v>
      </c>
      <c r="K295" s="206"/>
      <c r="L295" s="206"/>
      <c r="M295" s="206"/>
      <c r="N295" s="206" t="s">
        <v>2738</v>
      </c>
    </row>
    <row r="296" spans="1:15" ht="12.75" customHeight="1" x14ac:dyDescent="0.2">
      <c r="A296" s="353" t="s">
        <v>3470</v>
      </c>
      <c r="B296" s="353"/>
      <c r="C296" s="353"/>
      <c r="D296" s="353"/>
      <c r="E296" s="353"/>
      <c r="F296" s="353"/>
      <c r="G296" s="353"/>
      <c r="H296" s="353"/>
      <c r="I296" s="353"/>
      <c r="J296" s="353"/>
      <c r="K296" s="353"/>
      <c r="L296" s="353"/>
      <c r="M296" s="353"/>
      <c r="N296" s="353"/>
    </row>
    <row r="297" spans="1:15" ht="12.75" customHeight="1" x14ac:dyDescent="0.2">
      <c r="A297" s="353"/>
      <c r="B297" s="353"/>
      <c r="C297" s="353"/>
      <c r="D297" s="353"/>
      <c r="E297" s="353"/>
      <c r="F297" s="353"/>
      <c r="G297" s="353"/>
      <c r="H297" s="353"/>
      <c r="I297" s="353"/>
      <c r="J297" s="353"/>
      <c r="K297" s="353"/>
      <c r="L297" s="353"/>
      <c r="M297" s="353"/>
      <c r="N297" s="353"/>
    </row>
    <row r="298" spans="1:15" x14ac:dyDescent="0.2">
      <c r="A298" s="695" t="s">
        <v>2697</v>
      </c>
      <c r="B298" s="695" t="s">
        <v>2698</v>
      </c>
      <c r="C298" s="697" t="s">
        <v>2699</v>
      </c>
      <c r="D298" s="697" t="s">
        <v>2700</v>
      </c>
      <c r="E298" s="699" t="s">
        <v>2701</v>
      </c>
      <c r="F298" s="701" t="s">
        <v>2702</v>
      </c>
      <c r="G298" s="695" t="s">
        <v>2703</v>
      </c>
      <c r="H298" s="695" t="s">
        <v>2704</v>
      </c>
      <c r="I298" s="695" t="s">
        <v>2705</v>
      </c>
      <c r="J298" s="695" t="s">
        <v>2706</v>
      </c>
      <c r="K298" s="695" t="s">
        <v>2707</v>
      </c>
      <c r="L298" s="697" t="s">
        <v>2708</v>
      </c>
      <c r="M298" s="697" t="s">
        <v>2709</v>
      </c>
      <c r="N298" s="695" t="s">
        <v>2710</v>
      </c>
    </row>
    <row r="299" spans="1:15" x14ac:dyDescent="0.2">
      <c r="A299" s="696"/>
      <c r="B299" s="696"/>
      <c r="C299" s="698"/>
      <c r="D299" s="698"/>
      <c r="E299" s="700"/>
      <c r="F299" s="702"/>
      <c r="G299" s="696"/>
      <c r="H299" s="696"/>
      <c r="I299" s="696"/>
      <c r="J299" s="696"/>
      <c r="K299" s="696"/>
      <c r="L299" s="698"/>
      <c r="M299" s="698"/>
      <c r="N299" s="696"/>
    </row>
    <row r="300" spans="1:15" s="195" customFormat="1" ht="12.25" customHeight="1" x14ac:dyDescent="0.2">
      <c r="A300" s="190">
        <v>1</v>
      </c>
      <c r="B300" s="190">
        <v>1</v>
      </c>
      <c r="C300" s="190" t="s">
        <v>3471</v>
      </c>
      <c r="D300" s="190" t="s">
        <v>2861</v>
      </c>
      <c r="E300" s="215">
        <v>5</v>
      </c>
      <c r="F300" s="190" t="s">
        <v>2713</v>
      </c>
      <c r="G300" s="190" t="s">
        <v>2714</v>
      </c>
      <c r="H300" s="190" t="s">
        <v>3354</v>
      </c>
      <c r="I300" s="190" t="s">
        <v>2716</v>
      </c>
      <c r="J300" s="190" t="s">
        <v>2717</v>
      </c>
      <c r="K300" s="190"/>
      <c r="L300" s="190"/>
      <c r="M300" s="190"/>
      <c r="N300" s="190" t="s">
        <v>2748</v>
      </c>
      <c r="O300"/>
    </row>
    <row r="301" spans="1:15" s="195" customFormat="1" ht="11.4" customHeight="1" x14ac:dyDescent="0.2">
      <c r="A301" s="190">
        <v>2</v>
      </c>
      <c r="B301" s="190">
        <v>3</v>
      </c>
      <c r="C301" s="190" t="s">
        <v>3458</v>
      </c>
      <c r="D301" s="190" t="s">
        <v>3472</v>
      </c>
      <c r="E301" s="215">
        <v>5</v>
      </c>
      <c r="F301" s="190" t="s">
        <v>2732</v>
      </c>
      <c r="G301" s="190" t="s">
        <v>2764</v>
      </c>
      <c r="H301" s="190" t="s">
        <v>2747</v>
      </c>
      <c r="I301" s="190" t="s">
        <v>2716</v>
      </c>
      <c r="J301" s="190" t="s">
        <v>2717</v>
      </c>
      <c r="K301" s="190"/>
      <c r="L301" s="190"/>
      <c r="M301" s="190"/>
      <c r="N301" s="190" t="s">
        <v>2748</v>
      </c>
      <c r="O301"/>
    </row>
    <row r="302" spans="1:15" s="195" customFormat="1" ht="13.6" customHeight="1" x14ac:dyDescent="0.2">
      <c r="A302" s="190">
        <v>3</v>
      </c>
      <c r="B302" s="190">
        <v>5</v>
      </c>
      <c r="C302" s="190" t="s">
        <v>3473</v>
      </c>
      <c r="D302" s="190" t="s">
        <v>3474</v>
      </c>
      <c r="E302" s="215">
        <v>5</v>
      </c>
      <c r="F302" s="190" t="s">
        <v>2790</v>
      </c>
      <c r="G302" s="190" t="s">
        <v>2714</v>
      </c>
      <c r="H302" s="190" t="s">
        <v>3475</v>
      </c>
      <c r="I302" s="190" t="s">
        <v>2716</v>
      </c>
      <c r="J302" s="190" t="s">
        <v>2717</v>
      </c>
      <c r="K302" s="190"/>
      <c r="L302" s="190"/>
      <c r="M302" s="190"/>
      <c r="N302" s="190" t="s">
        <v>2748</v>
      </c>
      <c r="O302"/>
    </row>
    <row r="303" spans="1:15" s="195" customFormat="1" ht="10.55" customHeight="1" x14ac:dyDescent="0.2">
      <c r="A303" s="190">
        <v>4</v>
      </c>
      <c r="B303" s="190">
        <v>7</v>
      </c>
      <c r="C303" s="190" t="s">
        <v>3476</v>
      </c>
      <c r="D303" s="190" t="s">
        <v>3477</v>
      </c>
      <c r="E303" s="190">
        <v>5</v>
      </c>
      <c r="F303" s="190" t="s">
        <v>2746</v>
      </c>
      <c r="G303" s="190" t="s">
        <v>2714</v>
      </c>
      <c r="H303" s="190" t="s">
        <v>3177</v>
      </c>
      <c r="I303" s="190" t="s">
        <v>2716</v>
      </c>
      <c r="J303" s="190" t="s">
        <v>2717</v>
      </c>
      <c r="K303" s="190"/>
      <c r="L303" s="190"/>
      <c r="M303" s="190"/>
      <c r="N303" s="190" t="s">
        <v>2810</v>
      </c>
      <c r="O303"/>
    </row>
    <row r="304" spans="1:15" s="195" customFormat="1" ht="12.9" customHeight="1" x14ac:dyDescent="0.2">
      <c r="A304" s="190">
        <v>5</v>
      </c>
      <c r="B304" s="190">
        <v>8</v>
      </c>
      <c r="C304" s="190" t="s">
        <v>3478</v>
      </c>
      <c r="D304" s="190" t="s">
        <v>3479</v>
      </c>
      <c r="E304" s="215">
        <v>5</v>
      </c>
      <c r="F304" s="190" t="s">
        <v>2713</v>
      </c>
      <c r="G304" s="190" t="s">
        <v>2764</v>
      </c>
      <c r="H304" s="190" t="s">
        <v>3276</v>
      </c>
      <c r="I304" s="190" t="s">
        <v>2716</v>
      </c>
      <c r="J304" s="190"/>
      <c r="K304" s="190"/>
      <c r="L304" s="190"/>
      <c r="M304" s="190"/>
      <c r="N304" s="190" t="s">
        <v>2718</v>
      </c>
      <c r="O304"/>
    </row>
    <row r="305" spans="1:15" s="195" customFormat="1" ht="12.25" customHeight="1" x14ac:dyDescent="0.2">
      <c r="A305" s="190">
        <v>6</v>
      </c>
      <c r="B305" s="190">
        <v>9</v>
      </c>
      <c r="C305" s="190" t="s">
        <v>3480</v>
      </c>
      <c r="D305" s="190" t="s">
        <v>3481</v>
      </c>
      <c r="E305" s="215">
        <v>5</v>
      </c>
      <c r="F305" s="190" t="s">
        <v>2732</v>
      </c>
      <c r="G305" s="190" t="s">
        <v>2714</v>
      </c>
      <c r="H305" s="190" t="s">
        <v>3482</v>
      </c>
      <c r="I305" s="190" t="s">
        <v>2716</v>
      </c>
      <c r="J305" s="190" t="s">
        <v>2717</v>
      </c>
      <c r="K305" s="190"/>
      <c r="L305" s="190"/>
      <c r="M305" s="190"/>
      <c r="N305" s="190" t="s">
        <v>2738</v>
      </c>
      <c r="O305"/>
    </row>
    <row r="306" spans="1:15" s="195" customFormat="1" ht="12.9" customHeight="1" x14ac:dyDescent="0.2">
      <c r="A306" s="190">
        <v>7</v>
      </c>
      <c r="B306" s="190">
        <v>10</v>
      </c>
      <c r="C306" s="190" t="s">
        <v>2782</v>
      </c>
      <c r="D306" s="190" t="s">
        <v>3483</v>
      </c>
      <c r="E306" s="215">
        <v>5</v>
      </c>
      <c r="F306" s="190" t="s">
        <v>2763</v>
      </c>
      <c r="G306" s="190" t="s">
        <v>2714</v>
      </c>
      <c r="H306" s="190" t="s">
        <v>3175</v>
      </c>
      <c r="I306" s="190" t="s">
        <v>2716</v>
      </c>
      <c r="J306" s="190" t="s">
        <v>2717</v>
      </c>
      <c r="K306" s="190"/>
      <c r="L306" s="190"/>
      <c r="M306" s="190"/>
      <c r="N306" s="190" t="s">
        <v>2718</v>
      </c>
      <c r="O306"/>
    </row>
    <row r="307" spans="1:15" s="195" customFormat="1" x14ac:dyDescent="0.2">
      <c r="A307" s="190">
        <v>8</v>
      </c>
      <c r="B307" s="190">
        <v>12</v>
      </c>
      <c r="C307" s="190" t="s">
        <v>3360</v>
      </c>
      <c r="D307" s="190" t="s">
        <v>3091</v>
      </c>
      <c r="E307" s="215" t="s">
        <v>3484</v>
      </c>
      <c r="F307" s="190" t="s">
        <v>2713</v>
      </c>
      <c r="G307" s="190" t="s">
        <v>2751</v>
      </c>
      <c r="H307" s="190" t="s">
        <v>3485</v>
      </c>
      <c r="I307" s="190" t="s">
        <v>2815</v>
      </c>
      <c r="J307" s="190"/>
      <c r="K307" s="190"/>
      <c r="L307" s="190" t="s">
        <v>3486</v>
      </c>
      <c r="M307" s="191" t="s">
        <v>2770</v>
      </c>
      <c r="N307" s="190" t="s">
        <v>3487</v>
      </c>
      <c r="O307"/>
    </row>
    <row r="308" spans="1:15" s="195" customFormat="1" x14ac:dyDescent="0.2">
      <c r="A308" s="190">
        <v>9</v>
      </c>
      <c r="B308" s="190">
        <v>12</v>
      </c>
      <c r="C308" s="190" t="s">
        <v>2898</v>
      </c>
      <c r="D308" s="190" t="s">
        <v>3488</v>
      </c>
      <c r="E308" s="216" t="s">
        <v>3489</v>
      </c>
      <c r="F308" s="190" t="s">
        <v>2732</v>
      </c>
      <c r="G308" s="190" t="s">
        <v>2751</v>
      </c>
      <c r="H308" s="190" t="s">
        <v>3485</v>
      </c>
      <c r="I308" s="190" t="s">
        <v>2815</v>
      </c>
      <c r="J308" s="190"/>
      <c r="K308" s="190"/>
      <c r="L308" s="190" t="s">
        <v>3490</v>
      </c>
      <c r="M308" s="191" t="s">
        <v>2770</v>
      </c>
      <c r="N308" s="190" t="s">
        <v>3491</v>
      </c>
      <c r="O308"/>
    </row>
    <row r="309" spans="1:15" s="195" customFormat="1" x14ac:dyDescent="0.2">
      <c r="A309" s="190">
        <v>10</v>
      </c>
      <c r="B309" s="190">
        <v>13</v>
      </c>
      <c r="C309" s="190" t="s">
        <v>3492</v>
      </c>
      <c r="D309" s="190" t="s">
        <v>3003</v>
      </c>
      <c r="E309" s="215">
        <v>5</v>
      </c>
      <c r="F309" s="190" t="s">
        <v>2726</v>
      </c>
      <c r="G309" s="190" t="s">
        <v>2714</v>
      </c>
      <c r="H309" s="190" t="s">
        <v>3493</v>
      </c>
      <c r="I309" s="190" t="s">
        <v>2716</v>
      </c>
      <c r="J309" s="190" t="s">
        <v>2717</v>
      </c>
      <c r="K309" s="190"/>
      <c r="L309" s="190"/>
      <c r="M309" s="191"/>
      <c r="N309" s="190" t="s">
        <v>2748</v>
      </c>
      <c r="O309"/>
    </row>
    <row r="310" spans="1:15" s="195" customFormat="1" x14ac:dyDescent="0.2">
      <c r="A310" s="190">
        <v>11</v>
      </c>
      <c r="B310" s="190">
        <v>13</v>
      </c>
      <c r="C310" s="190" t="s">
        <v>3494</v>
      </c>
      <c r="D310" s="190" t="s">
        <v>3495</v>
      </c>
      <c r="E310" s="215">
        <v>5</v>
      </c>
      <c r="F310" s="190" t="s">
        <v>2732</v>
      </c>
      <c r="G310" s="190" t="s">
        <v>2721</v>
      </c>
      <c r="H310" s="190" t="s">
        <v>3496</v>
      </c>
      <c r="I310" s="190" t="s">
        <v>3497</v>
      </c>
      <c r="J310" s="190" t="s">
        <v>2717</v>
      </c>
      <c r="K310" s="190"/>
      <c r="L310" s="190"/>
      <c r="M310" s="191"/>
      <c r="N310" s="190" t="s">
        <v>2738</v>
      </c>
      <c r="O310"/>
    </row>
    <row r="311" spans="1:15" s="195" customFormat="1" ht="12.25" customHeight="1" x14ac:dyDescent="0.2">
      <c r="A311" s="190">
        <v>12</v>
      </c>
      <c r="B311" s="190">
        <v>15</v>
      </c>
      <c r="C311" s="190" t="s">
        <v>3498</v>
      </c>
      <c r="D311" s="190" t="s">
        <v>3499</v>
      </c>
      <c r="E311" s="215">
        <v>5</v>
      </c>
      <c r="F311" s="190" t="s">
        <v>2713</v>
      </c>
      <c r="G311" s="190" t="s">
        <v>2714</v>
      </c>
      <c r="H311" s="190" t="s">
        <v>3172</v>
      </c>
      <c r="I311" s="190" t="s">
        <v>2716</v>
      </c>
      <c r="J311" s="190" t="s">
        <v>2869</v>
      </c>
      <c r="K311" s="190"/>
      <c r="L311" s="190"/>
      <c r="M311" s="191"/>
      <c r="N311" s="190" t="s">
        <v>2718</v>
      </c>
      <c r="O311"/>
    </row>
    <row r="312" spans="1:15" x14ac:dyDescent="0.2">
      <c r="A312" s="190">
        <v>13</v>
      </c>
      <c r="B312" s="190">
        <v>15</v>
      </c>
      <c r="C312" s="190" t="s">
        <v>3153</v>
      </c>
      <c r="D312" s="190" t="s">
        <v>3500</v>
      </c>
      <c r="E312" s="215">
        <v>5</v>
      </c>
      <c r="F312" s="190" t="s">
        <v>2790</v>
      </c>
      <c r="G312" s="190" t="s">
        <v>2764</v>
      </c>
      <c r="H312" s="190" t="s">
        <v>3501</v>
      </c>
      <c r="I312" s="190" t="s">
        <v>2716</v>
      </c>
      <c r="J312" s="190"/>
      <c r="K312" s="190"/>
      <c r="L312" s="191"/>
      <c r="M312" s="191"/>
      <c r="N312" s="190" t="s">
        <v>2718</v>
      </c>
    </row>
    <row r="313" spans="1:15" ht="12.25" customHeight="1" x14ac:dyDescent="0.2">
      <c r="A313" s="190">
        <v>14</v>
      </c>
      <c r="B313" s="190">
        <v>16</v>
      </c>
      <c r="C313" s="190" t="s">
        <v>3502</v>
      </c>
      <c r="D313" s="190" t="s">
        <v>3503</v>
      </c>
      <c r="E313" s="215">
        <v>5</v>
      </c>
      <c r="F313" s="190" t="s">
        <v>2790</v>
      </c>
      <c r="G313" s="190" t="s">
        <v>2714</v>
      </c>
      <c r="H313" s="190" t="s">
        <v>3504</v>
      </c>
      <c r="I313" s="190" t="s">
        <v>2716</v>
      </c>
      <c r="J313" s="190" t="s">
        <v>2869</v>
      </c>
      <c r="K313" s="190"/>
      <c r="L313" s="191"/>
      <c r="M313" s="191"/>
      <c r="N313" s="190" t="s">
        <v>2810</v>
      </c>
    </row>
    <row r="314" spans="1:15" ht="10.55" customHeight="1" x14ac:dyDescent="0.2">
      <c r="A314" s="190">
        <v>15</v>
      </c>
      <c r="B314" s="190">
        <v>16</v>
      </c>
      <c r="C314" s="190" t="s">
        <v>3058</v>
      </c>
      <c r="D314" s="190" t="s">
        <v>3305</v>
      </c>
      <c r="E314" s="215">
        <v>5</v>
      </c>
      <c r="F314" s="190" t="s">
        <v>2790</v>
      </c>
      <c r="G314" s="190" t="s">
        <v>2714</v>
      </c>
      <c r="H314" s="190" t="s">
        <v>3505</v>
      </c>
      <c r="I314" s="190" t="s">
        <v>2716</v>
      </c>
      <c r="J314" s="190" t="s">
        <v>2717</v>
      </c>
      <c r="K314" s="190"/>
      <c r="L314" s="191"/>
      <c r="M314" s="191"/>
      <c r="N314" s="190" t="s">
        <v>2738</v>
      </c>
    </row>
    <row r="315" spans="1:15" ht="12.9" customHeight="1" x14ac:dyDescent="0.2">
      <c r="A315" s="190">
        <v>16</v>
      </c>
      <c r="B315" s="190">
        <v>17</v>
      </c>
      <c r="C315" s="190" t="s">
        <v>3506</v>
      </c>
      <c r="D315" s="190" t="s">
        <v>3401</v>
      </c>
      <c r="E315" s="215">
        <v>5</v>
      </c>
      <c r="F315" s="190" t="s">
        <v>3353</v>
      </c>
      <c r="G315" s="190" t="s">
        <v>2803</v>
      </c>
      <c r="H315" s="190" t="s">
        <v>3507</v>
      </c>
      <c r="I315" s="190" t="s">
        <v>3508</v>
      </c>
      <c r="J315" s="190"/>
      <c r="K315" s="190"/>
      <c r="L315" s="191"/>
      <c r="M315" s="191"/>
      <c r="N315" s="190" t="s">
        <v>2748</v>
      </c>
    </row>
    <row r="316" spans="1:15" ht="9.85" customHeight="1" x14ac:dyDescent="0.2">
      <c r="A316" s="190">
        <v>17</v>
      </c>
      <c r="B316" s="190">
        <v>18</v>
      </c>
      <c r="C316" s="190" t="s">
        <v>3509</v>
      </c>
      <c r="D316" s="190" t="s">
        <v>3498</v>
      </c>
      <c r="E316" s="215">
        <v>5</v>
      </c>
      <c r="F316" s="190" t="s">
        <v>2763</v>
      </c>
      <c r="G316" s="190" t="s">
        <v>2764</v>
      </c>
      <c r="H316" s="190" t="s">
        <v>3510</v>
      </c>
      <c r="I316" s="190" t="s">
        <v>3511</v>
      </c>
      <c r="J316" s="190"/>
      <c r="K316" s="190"/>
      <c r="L316" s="191"/>
      <c r="M316" s="191"/>
      <c r="N316" s="190" t="s">
        <v>2718</v>
      </c>
    </row>
    <row r="317" spans="1:15" ht="12.25" customHeight="1" x14ac:dyDescent="0.2">
      <c r="A317" s="190">
        <v>18</v>
      </c>
      <c r="B317" s="190">
        <v>19</v>
      </c>
      <c r="C317" s="190" t="s">
        <v>3512</v>
      </c>
      <c r="D317" s="190" t="s">
        <v>3349</v>
      </c>
      <c r="E317" s="215">
        <v>5</v>
      </c>
      <c r="F317" s="190" t="s">
        <v>2790</v>
      </c>
      <c r="G317" s="190" t="s">
        <v>2714</v>
      </c>
      <c r="H317" s="190" t="s">
        <v>3513</v>
      </c>
      <c r="I317" s="190" t="s">
        <v>2716</v>
      </c>
      <c r="J317" s="190" t="s">
        <v>2717</v>
      </c>
      <c r="K317" s="190"/>
      <c r="L317" s="190"/>
      <c r="M317" s="191"/>
      <c r="N317" s="190" t="s">
        <v>2810</v>
      </c>
    </row>
    <row r="318" spans="1:15" ht="11.4" customHeight="1" x14ac:dyDescent="0.2">
      <c r="A318" s="194">
        <v>19</v>
      </c>
      <c r="B318" s="194">
        <v>19</v>
      </c>
      <c r="C318" s="194" t="s">
        <v>3420</v>
      </c>
      <c r="D318" s="194" t="s">
        <v>3370</v>
      </c>
      <c r="E318" s="215">
        <v>5</v>
      </c>
      <c r="F318" s="194" t="s">
        <v>2732</v>
      </c>
      <c r="G318" s="194" t="s">
        <v>2714</v>
      </c>
      <c r="H318" s="194" t="s">
        <v>3514</v>
      </c>
      <c r="I318" s="194" t="s">
        <v>2716</v>
      </c>
      <c r="J318" s="194" t="s">
        <v>2717</v>
      </c>
      <c r="K318" s="194"/>
      <c r="L318" s="194"/>
      <c r="M318" s="194"/>
      <c r="N318" s="190" t="s">
        <v>2748</v>
      </c>
    </row>
    <row r="319" spans="1:15" ht="13.6" customHeight="1" x14ac:dyDescent="0.2">
      <c r="A319" s="194">
        <v>20</v>
      </c>
      <c r="B319" s="194">
        <v>21</v>
      </c>
      <c r="C319" s="194" t="s">
        <v>3515</v>
      </c>
      <c r="D319" s="194" t="s">
        <v>3516</v>
      </c>
      <c r="E319" s="215">
        <v>5</v>
      </c>
      <c r="F319" s="194" t="s">
        <v>2732</v>
      </c>
      <c r="G319" s="190" t="s">
        <v>2764</v>
      </c>
      <c r="H319" s="194" t="s">
        <v>3517</v>
      </c>
      <c r="I319" s="194" t="s">
        <v>2716</v>
      </c>
      <c r="J319" s="194"/>
      <c r="K319" s="194"/>
      <c r="L319" s="194"/>
      <c r="M319" s="194"/>
      <c r="N319" s="190" t="s">
        <v>2748</v>
      </c>
    </row>
    <row r="320" spans="1:15" ht="11.4" customHeight="1" x14ac:dyDescent="0.2">
      <c r="A320" s="194">
        <v>21</v>
      </c>
      <c r="B320" s="194">
        <v>22</v>
      </c>
      <c r="C320" s="194" t="s">
        <v>3518</v>
      </c>
      <c r="D320" s="194" t="s">
        <v>2875</v>
      </c>
      <c r="E320" s="215">
        <v>5</v>
      </c>
      <c r="F320" s="194" t="s">
        <v>2732</v>
      </c>
      <c r="G320" s="215" t="s">
        <v>2714</v>
      </c>
      <c r="H320" s="194" t="s">
        <v>3469</v>
      </c>
      <c r="I320" s="194" t="s">
        <v>2716</v>
      </c>
      <c r="J320" s="194" t="s">
        <v>2717</v>
      </c>
      <c r="K320" s="194"/>
      <c r="L320" s="194"/>
      <c r="M320" s="194"/>
      <c r="N320" s="190" t="s">
        <v>2738</v>
      </c>
    </row>
    <row r="321" spans="1:14" ht="12.9" customHeight="1" x14ac:dyDescent="0.2">
      <c r="A321" s="190">
        <v>22</v>
      </c>
      <c r="B321" s="190">
        <v>23</v>
      </c>
      <c r="C321" s="190" t="s">
        <v>3519</v>
      </c>
      <c r="D321" s="190" t="s">
        <v>3520</v>
      </c>
      <c r="E321" s="215">
        <v>5</v>
      </c>
      <c r="F321" s="190" t="s">
        <v>2807</v>
      </c>
      <c r="G321" s="215" t="s">
        <v>2714</v>
      </c>
      <c r="H321" s="190" t="s">
        <v>3521</v>
      </c>
      <c r="I321" s="190" t="s">
        <v>2716</v>
      </c>
      <c r="J321" s="190" t="s">
        <v>2869</v>
      </c>
      <c r="K321" s="190"/>
      <c r="L321" s="190"/>
      <c r="M321" s="190"/>
      <c r="N321" s="190" t="s">
        <v>2748</v>
      </c>
    </row>
    <row r="322" spans="1:14" ht="12.9" customHeight="1" x14ac:dyDescent="0.2">
      <c r="A322" s="190">
        <v>23</v>
      </c>
      <c r="B322" s="190">
        <v>23</v>
      </c>
      <c r="C322" s="190" t="s">
        <v>3522</v>
      </c>
      <c r="D322" s="190" t="s">
        <v>3523</v>
      </c>
      <c r="E322" s="215">
        <v>5</v>
      </c>
      <c r="F322" s="190" t="s">
        <v>2790</v>
      </c>
      <c r="G322" s="190" t="s">
        <v>2721</v>
      </c>
      <c r="H322" s="190" t="s">
        <v>3524</v>
      </c>
      <c r="I322" s="190" t="s">
        <v>3525</v>
      </c>
      <c r="J322" s="190" t="s">
        <v>2717</v>
      </c>
      <c r="K322" s="190"/>
      <c r="L322" s="190"/>
      <c r="M322" s="190"/>
      <c r="N322" s="190" t="s">
        <v>2748</v>
      </c>
    </row>
    <row r="323" spans="1:14" ht="12.9" customHeight="1" x14ac:dyDescent="0.2">
      <c r="A323" s="190">
        <v>24</v>
      </c>
      <c r="B323" s="190">
        <v>24</v>
      </c>
      <c r="C323" s="190" t="s">
        <v>3526</v>
      </c>
      <c r="D323" s="190" t="s">
        <v>3527</v>
      </c>
      <c r="E323" s="215">
        <v>5</v>
      </c>
      <c r="F323" s="190" t="s">
        <v>2713</v>
      </c>
      <c r="G323" s="215" t="s">
        <v>2714</v>
      </c>
      <c r="H323" s="190" t="s">
        <v>3528</v>
      </c>
      <c r="I323" s="190" t="s">
        <v>2716</v>
      </c>
      <c r="J323" s="190"/>
      <c r="K323" s="190"/>
      <c r="L323" s="190"/>
      <c r="M323" s="190"/>
      <c r="N323" s="190" t="s">
        <v>2810</v>
      </c>
    </row>
    <row r="324" spans="1:14" ht="11.4" customHeight="1" x14ac:dyDescent="0.2">
      <c r="A324" s="215">
        <v>25</v>
      </c>
      <c r="B324" s="215">
        <v>24</v>
      </c>
      <c r="C324" s="215" t="s">
        <v>3265</v>
      </c>
      <c r="D324" s="215" t="s">
        <v>3529</v>
      </c>
      <c r="E324" s="215">
        <v>5</v>
      </c>
      <c r="F324" s="215" t="s">
        <v>2815</v>
      </c>
      <c r="G324" s="215" t="s">
        <v>2721</v>
      </c>
      <c r="H324" s="215" t="s">
        <v>3530</v>
      </c>
      <c r="I324" s="215" t="s">
        <v>2815</v>
      </c>
      <c r="J324" s="215"/>
      <c r="K324" s="215"/>
      <c r="L324" s="215"/>
      <c r="M324" s="215"/>
      <c r="N324" s="215" t="s">
        <v>2901</v>
      </c>
    </row>
    <row r="325" spans="1:14" ht="12.25" customHeight="1" x14ac:dyDescent="0.2">
      <c r="A325" s="215">
        <v>26</v>
      </c>
      <c r="B325" s="215">
        <v>25</v>
      </c>
      <c r="C325" s="215" t="s">
        <v>2999</v>
      </c>
      <c r="D325" s="215" t="s">
        <v>3531</v>
      </c>
      <c r="E325" s="215">
        <v>5</v>
      </c>
      <c r="F325" s="215" t="s">
        <v>2713</v>
      </c>
      <c r="G325" s="215" t="s">
        <v>2764</v>
      </c>
      <c r="H325" s="215" t="s">
        <v>2988</v>
      </c>
      <c r="I325" s="215" t="s">
        <v>2716</v>
      </c>
      <c r="J325" s="215"/>
      <c r="K325" s="215"/>
      <c r="L325" s="215"/>
      <c r="M325" s="215"/>
      <c r="N325" s="215" t="s">
        <v>2718</v>
      </c>
    </row>
    <row r="326" spans="1:14" ht="10.55" customHeight="1" x14ac:dyDescent="0.2">
      <c r="A326" s="215">
        <v>27</v>
      </c>
      <c r="B326" s="215">
        <v>25</v>
      </c>
      <c r="C326" s="215" t="s">
        <v>3532</v>
      </c>
      <c r="D326" s="215" t="s">
        <v>3533</v>
      </c>
      <c r="E326" s="215">
        <v>5</v>
      </c>
      <c r="F326" s="215" t="s">
        <v>2713</v>
      </c>
      <c r="G326" s="215" t="s">
        <v>2803</v>
      </c>
      <c r="H326" s="215" t="s">
        <v>3534</v>
      </c>
      <c r="I326" s="215" t="s">
        <v>3535</v>
      </c>
      <c r="J326" s="215"/>
      <c r="K326" s="215"/>
      <c r="L326" s="215"/>
      <c r="M326" s="215"/>
      <c r="N326" s="215" t="s">
        <v>2718</v>
      </c>
    </row>
    <row r="327" spans="1:14" ht="11.4" customHeight="1" x14ac:dyDescent="0.2">
      <c r="A327" s="215">
        <v>28</v>
      </c>
      <c r="B327" s="215">
        <v>29</v>
      </c>
      <c r="C327" s="215" t="s">
        <v>3536</v>
      </c>
      <c r="D327" s="215" t="s">
        <v>3537</v>
      </c>
      <c r="E327" s="215">
        <v>5</v>
      </c>
      <c r="F327" s="215" t="s">
        <v>2746</v>
      </c>
      <c r="G327" s="215" t="s">
        <v>2714</v>
      </c>
      <c r="H327" s="215" t="s">
        <v>3386</v>
      </c>
      <c r="I327" s="215" t="s">
        <v>2716</v>
      </c>
      <c r="J327" s="215" t="s">
        <v>2869</v>
      </c>
      <c r="K327" s="215"/>
      <c r="L327" s="215"/>
      <c r="M327" s="215"/>
      <c r="N327" s="215" t="s">
        <v>2718</v>
      </c>
    </row>
    <row r="328" spans="1:14" x14ac:dyDescent="0.2">
      <c r="A328" s="190">
        <v>29</v>
      </c>
      <c r="B328" s="190">
        <v>30</v>
      </c>
      <c r="C328" s="190" t="s">
        <v>3479</v>
      </c>
      <c r="D328" s="190" t="s">
        <v>3538</v>
      </c>
      <c r="E328" s="215">
        <v>5</v>
      </c>
      <c r="F328" s="190" t="s">
        <v>2732</v>
      </c>
      <c r="G328" s="190" t="s">
        <v>2764</v>
      </c>
      <c r="H328" s="190" t="s">
        <v>3539</v>
      </c>
      <c r="I328" s="190" t="s">
        <v>3540</v>
      </c>
      <c r="J328" s="190"/>
      <c r="K328" s="190"/>
      <c r="L328" s="190"/>
      <c r="M328" s="190"/>
      <c r="N328" s="190" t="s">
        <v>2718</v>
      </c>
    </row>
    <row r="329" spans="1:14" x14ac:dyDescent="0.2">
      <c r="A329" s="190">
        <v>30</v>
      </c>
      <c r="B329" s="190">
        <v>30</v>
      </c>
      <c r="C329" s="190" t="s">
        <v>3541</v>
      </c>
      <c r="D329" s="190" t="s">
        <v>2794</v>
      </c>
      <c r="E329" s="215">
        <v>5</v>
      </c>
      <c r="F329" s="190" t="s">
        <v>2732</v>
      </c>
      <c r="G329" s="190" t="s">
        <v>2714</v>
      </c>
      <c r="H329" s="190" t="s">
        <v>3542</v>
      </c>
      <c r="I329" s="190" t="s">
        <v>2716</v>
      </c>
      <c r="J329" s="190"/>
      <c r="K329" s="190"/>
      <c r="L329" s="190"/>
      <c r="M329" s="190"/>
      <c r="N329" s="190" t="s">
        <v>2748</v>
      </c>
    </row>
    <row r="330" spans="1:14" x14ac:dyDescent="0.2">
      <c r="A330" s="190"/>
      <c r="B330" s="190"/>
      <c r="C330" s="190"/>
      <c r="D330" s="190"/>
      <c r="E330" s="215"/>
      <c r="F330" s="190"/>
      <c r="G330" s="190"/>
      <c r="H330" s="190"/>
      <c r="I330" s="190"/>
      <c r="J330" s="190"/>
      <c r="K330" s="190"/>
      <c r="L330" s="190"/>
      <c r="M330" s="190"/>
      <c r="N330" s="190"/>
    </row>
    <row r="331" spans="1:14" x14ac:dyDescent="0.2">
      <c r="A331" s="190"/>
      <c r="B331" s="190"/>
      <c r="C331" s="190"/>
      <c r="D331" s="190"/>
      <c r="E331" s="215"/>
      <c r="F331" s="190"/>
      <c r="G331" s="215"/>
      <c r="H331" s="190"/>
      <c r="I331" s="190"/>
      <c r="J331" s="190"/>
      <c r="K331" s="190"/>
      <c r="L331" s="190"/>
      <c r="M331" s="190"/>
      <c r="N331" s="190"/>
    </row>
    <row r="332" spans="1:14" x14ac:dyDescent="0.2">
      <c r="A332" s="190"/>
      <c r="B332" s="190"/>
      <c r="C332" s="190"/>
      <c r="D332" s="190"/>
      <c r="E332" s="215"/>
      <c r="F332" s="190"/>
      <c r="G332" s="215"/>
      <c r="H332" s="190"/>
      <c r="I332" s="190"/>
      <c r="J332" s="190"/>
      <c r="K332" s="190"/>
      <c r="L332" s="190"/>
      <c r="M332" s="190"/>
      <c r="N332" s="190"/>
    </row>
    <row r="333" spans="1:14" x14ac:dyDescent="0.2">
      <c r="A333" s="190"/>
      <c r="B333" s="217"/>
      <c r="C333" s="191"/>
      <c r="D333" s="191"/>
      <c r="E333" s="215"/>
      <c r="F333" s="417"/>
      <c r="G333" s="215"/>
      <c r="H333" s="190"/>
      <c r="I333" s="190"/>
      <c r="J333" s="190"/>
      <c r="K333" s="190"/>
      <c r="L333" s="190"/>
      <c r="M333" s="190"/>
      <c r="N333" s="190"/>
    </row>
    <row r="334" spans="1:14" x14ac:dyDescent="0.2">
      <c r="A334" s="190"/>
      <c r="B334" s="217"/>
      <c r="C334" s="191"/>
      <c r="D334" s="191"/>
      <c r="E334" s="215"/>
      <c r="F334" s="417"/>
      <c r="G334" s="215"/>
      <c r="H334" s="190"/>
      <c r="I334" s="190"/>
      <c r="J334" s="190"/>
      <c r="K334" s="190"/>
      <c r="L334" s="190"/>
      <c r="M334" s="190"/>
      <c r="N334" s="190"/>
    </row>
    <row r="335" spans="1:14" x14ac:dyDescent="0.2">
      <c r="A335" s="190"/>
      <c r="B335" s="190"/>
      <c r="C335" s="191"/>
      <c r="D335" s="191"/>
      <c r="E335" s="215"/>
      <c r="F335" s="417"/>
      <c r="G335" s="190"/>
      <c r="H335" s="190"/>
      <c r="I335" s="190"/>
      <c r="J335" s="190"/>
      <c r="K335" s="190"/>
      <c r="L335" s="190"/>
      <c r="M335" s="190"/>
      <c r="N335" s="190"/>
    </row>
    <row r="336" spans="1:14" x14ac:dyDescent="0.2">
      <c r="A336" s="190"/>
      <c r="B336" s="190"/>
      <c r="C336" s="191"/>
      <c r="D336" s="191"/>
      <c r="E336" s="215"/>
      <c r="F336" s="417"/>
      <c r="G336" s="190"/>
      <c r="H336" s="190"/>
      <c r="I336" s="190"/>
      <c r="J336" s="190"/>
      <c r="K336" s="190"/>
      <c r="L336" s="190"/>
      <c r="M336" s="190"/>
      <c r="N336" s="190"/>
    </row>
    <row r="337" spans="1:14" x14ac:dyDescent="0.2">
      <c r="A337" s="190"/>
      <c r="B337" s="190"/>
      <c r="C337" s="191"/>
      <c r="D337" s="191"/>
      <c r="E337" s="215"/>
      <c r="F337" s="417"/>
      <c r="G337" s="190"/>
      <c r="H337" s="190"/>
      <c r="I337" s="190"/>
      <c r="J337" s="190"/>
      <c r="K337" s="190"/>
      <c r="L337" s="190"/>
      <c r="M337" s="190"/>
      <c r="N337" s="190"/>
    </row>
    <row r="338" spans="1:14" x14ac:dyDescent="0.2">
      <c r="A338" s="190"/>
      <c r="B338" s="190"/>
      <c r="C338" s="191"/>
      <c r="D338" s="191"/>
      <c r="E338" s="215"/>
      <c r="F338" s="417"/>
      <c r="G338" s="215"/>
      <c r="H338" s="190"/>
      <c r="I338" s="190"/>
      <c r="J338" s="190"/>
      <c r="K338" s="190"/>
      <c r="L338" s="190"/>
      <c r="M338" s="190"/>
      <c r="N338" s="190"/>
    </row>
    <row r="339" spans="1:14" x14ac:dyDescent="0.2">
      <c r="A339" s="190"/>
      <c r="B339" s="190"/>
      <c r="C339" s="191"/>
      <c r="D339" s="191"/>
      <c r="E339" s="215"/>
      <c r="F339" s="191"/>
      <c r="G339" s="215"/>
      <c r="H339" s="190"/>
      <c r="I339" s="190"/>
      <c r="J339" s="190"/>
      <c r="K339" s="190"/>
      <c r="L339" s="190"/>
      <c r="M339" s="190"/>
      <c r="N339" s="190"/>
    </row>
    <row r="340" spans="1:14" x14ac:dyDescent="0.2">
      <c r="A340" s="190"/>
      <c r="B340" s="190"/>
      <c r="C340" s="191"/>
      <c r="D340" s="191"/>
      <c r="E340" s="215"/>
      <c r="F340" s="191"/>
      <c r="G340" s="215"/>
      <c r="H340" s="190"/>
      <c r="I340" s="190"/>
      <c r="J340" s="190"/>
      <c r="K340" s="190"/>
      <c r="L340" s="190"/>
      <c r="M340" s="190"/>
      <c r="N340" s="190"/>
    </row>
    <row r="341" spans="1:14" x14ac:dyDescent="0.2">
      <c r="A341" s="190"/>
      <c r="B341" s="190"/>
      <c r="C341" s="191"/>
      <c r="D341" s="191"/>
      <c r="E341" s="215"/>
      <c r="F341" s="191"/>
      <c r="G341" s="190"/>
      <c r="H341" s="190"/>
      <c r="I341" s="190"/>
      <c r="J341" s="190"/>
      <c r="K341" s="190"/>
      <c r="L341" s="190"/>
      <c r="M341" s="190"/>
      <c r="N341" s="190"/>
    </row>
    <row r="342" spans="1:14" x14ac:dyDescent="0.2">
      <c r="A342" s="190"/>
      <c r="B342" s="190"/>
      <c r="C342" s="191"/>
      <c r="D342" s="191"/>
      <c r="E342" s="215"/>
      <c r="F342" s="191"/>
      <c r="G342" s="215"/>
      <c r="H342" s="190"/>
      <c r="I342" s="190"/>
      <c r="J342" s="190"/>
      <c r="K342" s="190"/>
      <c r="L342" s="190"/>
      <c r="M342" s="190"/>
      <c r="N342" s="190"/>
    </row>
    <row r="343" spans="1:14" x14ac:dyDescent="0.2">
      <c r="A343" s="190"/>
      <c r="B343" s="190"/>
      <c r="C343" s="191"/>
      <c r="D343" s="191"/>
      <c r="E343" s="215"/>
      <c r="F343" s="191"/>
      <c r="G343" s="215"/>
      <c r="H343" s="190"/>
      <c r="I343" s="190"/>
      <c r="J343" s="190"/>
      <c r="K343" s="190"/>
      <c r="L343" s="190"/>
      <c r="M343" s="190"/>
      <c r="N343" s="190"/>
    </row>
    <row r="344" spans="1:14" x14ac:dyDescent="0.2">
      <c r="A344" s="190"/>
      <c r="B344" s="190"/>
      <c r="C344" s="191"/>
      <c r="D344" s="191"/>
      <c r="E344" s="215"/>
      <c r="F344" s="191"/>
      <c r="G344" s="215"/>
      <c r="H344" s="190"/>
      <c r="I344" s="190"/>
      <c r="J344" s="190"/>
      <c r="K344" s="190"/>
      <c r="L344" s="190"/>
      <c r="M344" s="190"/>
      <c r="N344" s="190"/>
    </row>
    <row r="345" spans="1:14" x14ac:dyDescent="0.2">
      <c r="A345" s="190"/>
      <c r="B345" s="190"/>
      <c r="C345" s="191"/>
      <c r="D345" s="191"/>
      <c r="E345" s="215"/>
      <c r="F345" s="191"/>
      <c r="G345" s="215"/>
      <c r="H345" s="190"/>
      <c r="I345" s="190"/>
      <c r="J345" s="190"/>
      <c r="K345" s="190"/>
      <c r="L345" s="190"/>
      <c r="M345" s="190"/>
      <c r="N345" s="190"/>
    </row>
    <row r="346" spans="1:14" x14ac:dyDescent="0.2">
      <c r="A346" s="190"/>
      <c r="B346" s="190"/>
      <c r="C346" s="191"/>
      <c r="D346" s="191"/>
      <c r="E346" s="215"/>
      <c r="F346" s="191"/>
      <c r="G346" s="215"/>
      <c r="H346" s="190"/>
      <c r="I346" s="190"/>
      <c r="J346" s="190"/>
      <c r="K346" s="190"/>
      <c r="L346" s="190"/>
      <c r="M346" s="190"/>
      <c r="N346" s="190"/>
    </row>
    <row r="347" spans="1:14" x14ac:dyDescent="0.2">
      <c r="A347" s="190"/>
      <c r="B347" s="190"/>
      <c r="C347" s="191"/>
      <c r="D347" s="191"/>
      <c r="E347" s="215"/>
      <c r="F347" s="191"/>
      <c r="G347" s="215"/>
      <c r="H347" s="190"/>
      <c r="I347" s="190"/>
      <c r="J347" s="190"/>
      <c r="K347" s="190"/>
      <c r="L347" s="190"/>
      <c r="M347" s="190"/>
      <c r="N347" s="190"/>
    </row>
    <row r="348" spans="1:14" x14ac:dyDescent="0.2">
      <c r="A348" s="190"/>
      <c r="B348" s="190"/>
      <c r="C348" s="191"/>
      <c r="D348" s="191"/>
      <c r="E348" s="215"/>
      <c r="F348" s="191"/>
      <c r="G348" s="215"/>
      <c r="H348" s="190"/>
      <c r="I348" s="190"/>
      <c r="J348" s="190"/>
      <c r="K348" s="190"/>
      <c r="L348" s="190"/>
      <c r="M348" s="190"/>
      <c r="N348" s="190"/>
    </row>
    <row r="349" spans="1:14" x14ac:dyDescent="0.2">
      <c r="A349" s="190"/>
      <c r="B349" s="190"/>
      <c r="C349" s="191"/>
      <c r="D349" s="191"/>
      <c r="E349" s="215"/>
      <c r="F349" s="191"/>
      <c r="G349" s="190"/>
      <c r="H349" s="190"/>
      <c r="I349" s="190"/>
      <c r="J349" s="190"/>
      <c r="K349" s="190"/>
      <c r="L349" s="190"/>
      <c r="M349" s="190"/>
      <c r="N349" s="190"/>
    </row>
    <row r="350" spans="1:14" x14ac:dyDescent="0.2">
      <c r="A350" s="190"/>
      <c r="B350" s="190"/>
      <c r="C350" s="191"/>
      <c r="D350" s="191"/>
      <c r="E350" s="215"/>
      <c r="F350" s="191"/>
      <c r="G350" s="215"/>
      <c r="H350" s="190"/>
      <c r="I350" s="190"/>
      <c r="J350" s="190"/>
      <c r="K350" s="190"/>
      <c r="L350" s="190"/>
      <c r="M350" s="190"/>
      <c r="N350" s="190"/>
    </row>
    <row r="351" spans="1:14" x14ac:dyDescent="0.2">
      <c r="A351" s="190"/>
      <c r="B351" s="190"/>
      <c r="C351" s="191"/>
      <c r="D351" s="191"/>
      <c r="E351" s="215"/>
      <c r="F351" s="191"/>
      <c r="G351" s="215"/>
      <c r="H351" s="190"/>
      <c r="I351" s="190"/>
      <c r="J351" s="190"/>
      <c r="K351" s="190"/>
      <c r="L351" s="190"/>
      <c r="M351" s="190"/>
      <c r="N351" s="190"/>
    </row>
    <row r="352" spans="1:14" x14ac:dyDescent="0.2">
      <c r="A352" s="190"/>
      <c r="B352" s="190"/>
      <c r="C352" s="191"/>
      <c r="D352" s="191"/>
      <c r="E352" s="215"/>
      <c r="F352" s="191"/>
      <c r="G352" s="215"/>
      <c r="H352" s="190"/>
      <c r="I352" s="190"/>
      <c r="J352" s="190"/>
      <c r="K352" s="190"/>
      <c r="L352" s="190"/>
      <c r="M352" s="190"/>
      <c r="N352" s="190"/>
    </row>
    <row r="353" spans="1:14" x14ac:dyDescent="0.2">
      <c r="A353" s="190"/>
      <c r="B353" s="190"/>
      <c r="C353" s="191"/>
      <c r="D353" s="191"/>
      <c r="E353" s="215"/>
      <c r="F353" s="191"/>
      <c r="G353" s="190"/>
      <c r="H353" s="190"/>
      <c r="I353" s="190"/>
      <c r="J353" s="190"/>
      <c r="K353" s="190"/>
      <c r="L353" s="190"/>
      <c r="M353" s="190"/>
      <c r="N353" s="190"/>
    </row>
    <row r="354" spans="1:14" x14ac:dyDescent="0.2">
      <c r="A354" s="190"/>
      <c r="B354" s="190"/>
      <c r="C354" s="191"/>
      <c r="D354" s="191"/>
      <c r="E354" s="215"/>
      <c r="F354" s="191"/>
      <c r="G354" s="190"/>
      <c r="H354" s="190"/>
      <c r="I354" s="190"/>
      <c r="J354" s="190"/>
      <c r="K354" s="190"/>
      <c r="L354" s="190"/>
      <c r="M354" s="190"/>
      <c r="N354" s="190"/>
    </row>
    <row r="355" spans="1:14" x14ac:dyDescent="0.2">
      <c r="A355" s="195"/>
      <c r="B355" s="195"/>
      <c r="C355" s="218"/>
      <c r="D355" s="218"/>
      <c r="E355" s="219"/>
      <c r="F355" s="218"/>
      <c r="G355" s="219"/>
      <c r="H355" s="195"/>
      <c r="I355" s="195"/>
      <c r="J355" s="195"/>
      <c r="K355" s="195"/>
      <c r="L355" s="195"/>
      <c r="M355" s="195"/>
      <c r="N355" s="195"/>
    </row>
    <row r="356" spans="1:14" x14ac:dyDescent="0.2">
      <c r="A356" s="195"/>
      <c r="B356" s="195"/>
      <c r="C356" s="218"/>
      <c r="D356" s="218"/>
      <c r="E356" s="219"/>
      <c r="F356" s="218"/>
      <c r="G356" s="219"/>
      <c r="H356" s="195"/>
      <c r="I356" s="195"/>
      <c r="J356" s="195"/>
      <c r="K356" s="195"/>
      <c r="L356" s="195"/>
      <c r="M356" s="195"/>
      <c r="N356" s="195"/>
    </row>
    <row r="357" spans="1:14" x14ac:dyDescent="0.2">
      <c r="A357" s="195"/>
      <c r="B357" s="195"/>
      <c r="C357" s="218"/>
      <c r="D357" s="218"/>
      <c r="E357" s="219"/>
      <c r="F357" s="218"/>
      <c r="G357" s="195"/>
      <c r="H357" s="195"/>
      <c r="I357" s="195"/>
      <c r="J357" s="195"/>
      <c r="K357" s="195"/>
      <c r="L357" s="195"/>
      <c r="M357" s="195"/>
      <c r="N357" s="195"/>
    </row>
    <row r="358" spans="1:14" x14ac:dyDescent="0.2">
      <c r="A358" s="195"/>
      <c r="B358" s="195"/>
      <c r="C358" s="218"/>
      <c r="D358" s="218"/>
      <c r="E358" s="219"/>
      <c r="F358" s="218"/>
      <c r="G358" s="195"/>
      <c r="H358" s="195"/>
      <c r="I358" s="195"/>
      <c r="J358" s="195"/>
      <c r="K358" s="195"/>
      <c r="L358" s="195"/>
      <c r="M358" s="195"/>
      <c r="N358" s="195"/>
    </row>
    <row r="359" spans="1:14" x14ac:dyDescent="0.2">
      <c r="A359" s="195"/>
      <c r="B359" s="195"/>
      <c r="C359" s="218"/>
      <c r="D359" s="218"/>
      <c r="E359" s="219"/>
      <c r="F359" s="218"/>
      <c r="G359" s="219"/>
      <c r="H359" s="195"/>
      <c r="I359" s="195"/>
      <c r="J359" s="195"/>
      <c r="K359" s="195"/>
      <c r="L359" s="195"/>
      <c r="M359" s="195"/>
      <c r="N359" s="195"/>
    </row>
    <row r="360" spans="1:14" x14ac:dyDescent="0.2">
      <c r="A360" s="195"/>
      <c r="B360" s="195"/>
      <c r="C360" s="218"/>
      <c r="D360" s="218"/>
      <c r="E360" s="219"/>
      <c r="F360" s="218"/>
      <c r="G360" s="195"/>
      <c r="H360" s="195"/>
      <c r="I360" s="195"/>
      <c r="J360" s="195"/>
      <c r="K360" s="195"/>
      <c r="L360" s="195"/>
      <c r="M360" s="195"/>
      <c r="N360" s="195"/>
    </row>
    <row r="361" spans="1:14" x14ac:dyDescent="0.2">
      <c r="A361" s="195"/>
      <c r="B361" s="195"/>
      <c r="C361" s="218"/>
      <c r="D361" s="218"/>
      <c r="E361" s="219"/>
      <c r="F361" s="218"/>
      <c r="G361" s="195"/>
      <c r="H361" s="195"/>
      <c r="I361" s="195"/>
      <c r="J361" s="195"/>
      <c r="K361" s="195"/>
      <c r="L361" s="195"/>
      <c r="M361" s="195"/>
      <c r="N361" s="195"/>
    </row>
    <row r="362" spans="1:14" x14ac:dyDescent="0.2">
      <c r="A362" s="195"/>
      <c r="B362" s="195"/>
      <c r="C362" s="195"/>
      <c r="D362" s="195"/>
      <c r="E362" s="219"/>
      <c r="F362" s="195"/>
      <c r="G362" s="195"/>
      <c r="H362" s="195"/>
      <c r="I362" s="195"/>
      <c r="J362" s="195"/>
      <c r="K362" s="195"/>
      <c r="L362" s="195"/>
      <c r="M362" s="195"/>
      <c r="N362" s="195"/>
    </row>
    <row r="363" spans="1:14" ht="11.4" customHeight="1" x14ac:dyDescent="0.2">
      <c r="A363" s="703"/>
      <c r="B363" s="703"/>
      <c r="C363" s="703"/>
      <c r="D363" s="703"/>
      <c r="E363" s="703"/>
      <c r="F363" s="703"/>
      <c r="G363" s="703"/>
      <c r="H363" s="703"/>
      <c r="I363" s="703"/>
      <c r="J363" s="703"/>
      <c r="K363" s="703"/>
      <c r="L363" s="703"/>
      <c r="M363" s="703"/>
      <c r="N363" s="703"/>
    </row>
    <row r="364" spans="1:14" ht="11.4" customHeight="1" x14ac:dyDescent="0.2">
      <c r="A364" s="703"/>
      <c r="B364" s="703"/>
      <c r="C364" s="703"/>
      <c r="D364" s="703"/>
      <c r="E364" s="703"/>
      <c r="F364" s="703"/>
      <c r="G364" s="703"/>
      <c r="H364" s="703"/>
      <c r="I364" s="703"/>
      <c r="J364" s="703"/>
      <c r="K364" s="703"/>
      <c r="L364" s="703"/>
      <c r="M364" s="703"/>
      <c r="N364" s="703"/>
    </row>
    <row r="365" spans="1:14" ht="11.4" customHeight="1" x14ac:dyDescent="0.2">
      <c r="A365" s="703"/>
      <c r="B365" s="703"/>
      <c r="C365" s="704"/>
      <c r="D365" s="704"/>
      <c r="E365" s="703"/>
      <c r="F365" s="705"/>
      <c r="G365" s="703"/>
      <c r="H365" s="703"/>
      <c r="I365" s="703"/>
      <c r="J365" s="703"/>
      <c r="K365" s="703"/>
      <c r="L365" s="704"/>
      <c r="M365" s="704"/>
      <c r="N365" s="703"/>
    </row>
    <row r="366" spans="1:14" x14ac:dyDescent="0.2">
      <c r="A366" s="703"/>
      <c r="B366" s="703"/>
      <c r="C366" s="704"/>
      <c r="D366" s="704"/>
      <c r="E366" s="703"/>
      <c r="F366" s="706"/>
      <c r="G366" s="703"/>
      <c r="H366" s="703"/>
      <c r="I366" s="703"/>
      <c r="J366" s="703"/>
      <c r="K366" s="703"/>
      <c r="L366" s="704"/>
      <c r="M366" s="704"/>
      <c r="N366" s="703"/>
    </row>
    <row r="367" spans="1:14" x14ac:dyDescent="0.2">
      <c r="A367" s="195"/>
      <c r="B367" s="195"/>
      <c r="C367" s="195"/>
      <c r="D367" s="195"/>
      <c r="E367" s="195"/>
      <c r="F367" s="195"/>
      <c r="G367" s="195"/>
      <c r="H367" s="195"/>
      <c r="I367" s="195"/>
      <c r="J367" s="195"/>
      <c r="K367" s="195"/>
      <c r="L367" s="195"/>
      <c r="M367" s="195"/>
      <c r="N367" s="195"/>
    </row>
    <row r="368" spans="1:14" x14ac:dyDescent="0.2">
      <c r="A368" s="195"/>
      <c r="B368" s="195"/>
      <c r="C368" s="195"/>
      <c r="D368" s="195"/>
      <c r="E368" s="195"/>
      <c r="F368" s="195"/>
      <c r="G368" s="195"/>
      <c r="H368" s="195"/>
      <c r="I368" s="195"/>
      <c r="J368" s="195"/>
      <c r="K368" s="195"/>
      <c r="L368" s="195"/>
      <c r="M368" s="195"/>
      <c r="N368" s="195"/>
    </row>
    <row r="369" spans="1:14" x14ac:dyDescent="0.2">
      <c r="A369" s="195"/>
      <c r="B369" s="195"/>
      <c r="C369" s="195"/>
      <c r="D369" s="195"/>
      <c r="E369" s="195"/>
      <c r="F369" s="195"/>
      <c r="G369" s="220"/>
      <c r="H369" s="195"/>
      <c r="I369" s="195"/>
      <c r="J369" s="195"/>
      <c r="K369" s="195"/>
      <c r="L369" s="195"/>
      <c r="M369" s="195"/>
      <c r="N369" s="195"/>
    </row>
    <row r="370" spans="1:14" x14ac:dyDescent="0.2">
      <c r="A370" s="195"/>
      <c r="B370" s="195"/>
      <c r="C370" s="195"/>
      <c r="D370" s="195"/>
      <c r="E370" s="195"/>
      <c r="F370" s="195"/>
      <c r="G370" s="219"/>
      <c r="H370" s="195"/>
      <c r="I370" s="195"/>
      <c r="J370" s="195"/>
      <c r="K370" s="195"/>
      <c r="L370" s="195"/>
      <c r="M370" s="195"/>
      <c r="N370" s="195"/>
    </row>
    <row r="371" spans="1:14" x14ac:dyDescent="0.2">
      <c r="A371" s="195"/>
      <c r="B371" s="195"/>
      <c r="C371" s="195"/>
      <c r="D371" s="195"/>
      <c r="E371" s="195"/>
      <c r="F371" s="195"/>
      <c r="G371" s="195"/>
      <c r="H371" s="195"/>
      <c r="I371" s="195"/>
      <c r="J371" s="195"/>
      <c r="K371" s="195"/>
      <c r="L371" s="195"/>
      <c r="M371" s="195"/>
      <c r="N371" s="195"/>
    </row>
    <row r="372" spans="1:14" x14ac:dyDescent="0.2">
      <c r="A372" s="195"/>
      <c r="B372" s="195"/>
      <c r="C372" s="195"/>
      <c r="D372" s="195"/>
      <c r="E372" s="195"/>
      <c r="F372" s="195"/>
      <c r="G372" s="195"/>
      <c r="H372" s="195"/>
      <c r="I372" s="195"/>
      <c r="J372" s="195"/>
      <c r="K372" s="195"/>
      <c r="L372" s="195"/>
      <c r="M372" s="195"/>
      <c r="N372" s="195"/>
    </row>
    <row r="373" spans="1:14" x14ac:dyDescent="0.2">
      <c r="A373" s="195"/>
      <c r="B373" s="195"/>
      <c r="C373" s="195"/>
      <c r="D373" s="195"/>
      <c r="E373" s="195"/>
      <c r="F373" s="195"/>
      <c r="G373" s="195"/>
      <c r="H373" s="195"/>
      <c r="I373" s="195"/>
      <c r="J373" s="195"/>
      <c r="K373" s="195"/>
      <c r="L373" s="195"/>
      <c r="M373" s="195"/>
      <c r="N373" s="195"/>
    </row>
    <row r="374" spans="1:14" x14ac:dyDescent="0.2">
      <c r="A374" s="195"/>
      <c r="B374" s="195"/>
      <c r="C374" s="195"/>
      <c r="D374" s="195"/>
      <c r="E374" s="195"/>
      <c r="F374" s="195"/>
      <c r="G374" s="219"/>
      <c r="H374" s="195"/>
      <c r="I374" s="195"/>
      <c r="J374" s="195"/>
      <c r="K374" s="195"/>
      <c r="L374" s="195"/>
      <c r="M374" s="195"/>
      <c r="N374" s="195"/>
    </row>
    <row r="375" spans="1:14" x14ac:dyDescent="0.2">
      <c r="A375" s="195"/>
      <c r="B375" s="195"/>
      <c r="C375" s="195"/>
      <c r="D375" s="195"/>
      <c r="E375" s="195"/>
      <c r="F375" s="195"/>
      <c r="G375" s="195"/>
      <c r="H375" s="195"/>
      <c r="I375" s="195"/>
      <c r="J375" s="195"/>
      <c r="K375" s="195"/>
      <c r="L375" s="195"/>
      <c r="M375" s="195"/>
      <c r="N375" s="195"/>
    </row>
    <row r="376" spans="1:14" x14ac:dyDescent="0.2">
      <c r="A376" s="195"/>
      <c r="B376" s="195"/>
      <c r="C376" s="195"/>
      <c r="D376" s="195"/>
      <c r="E376" s="195"/>
      <c r="F376" s="195"/>
      <c r="G376" s="219"/>
      <c r="H376" s="195"/>
      <c r="I376" s="195"/>
      <c r="J376" s="195"/>
      <c r="K376" s="195"/>
      <c r="L376" s="195"/>
      <c r="M376" s="195"/>
      <c r="N376" s="195"/>
    </row>
    <row r="377" spans="1:14" x14ac:dyDescent="0.2">
      <c r="A377" s="195"/>
      <c r="B377" s="195"/>
      <c r="C377" s="195"/>
      <c r="D377" s="195"/>
      <c r="E377" s="195"/>
      <c r="F377" s="195"/>
      <c r="G377" s="195"/>
      <c r="H377" s="195"/>
      <c r="I377" s="195"/>
      <c r="J377" s="195"/>
      <c r="K377" s="195"/>
      <c r="L377" s="195"/>
      <c r="M377" s="195"/>
      <c r="N377" s="195"/>
    </row>
    <row r="378" spans="1:14" x14ac:dyDescent="0.2">
      <c r="A378" s="195"/>
      <c r="B378" s="195"/>
      <c r="C378" s="195"/>
      <c r="D378" s="195"/>
      <c r="E378" s="195"/>
      <c r="F378" s="195"/>
      <c r="G378" s="195"/>
      <c r="H378" s="195"/>
      <c r="I378" s="195"/>
      <c r="J378" s="195"/>
      <c r="K378" s="195"/>
      <c r="L378" s="195"/>
      <c r="M378" s="195"/>
      <c r="N378" s="195"/>
    </row>
    <row r="379" spans="1:14" x14ac:dyDescent="0.2">
      <c r="A379" s="195"/>
      <c r="B379" s="195"/>
      <c r="C379" s="195"/>
      <c r="D379" s="195"/>
      <c r="E379" s="195"/>
      <c r="F379" s="195"/>
      <c r="G379" s="195"/>
      <c r="H379" s="195"/>
      <c r="I379" s="195"/>
      <c r="J379" s="195"/>
      <c r="K379" s="195"/>
      <c r="L379" s="195"/>
      <c r="M379" s="195"/>
      <c r="N379" s="195"/>
    </row>
    <row r="380" spans="1:14" x14ac:dyDescent="0.2">
      <c r="A380" s="195"/>
      <c r="B380" s="195"/>
      <c r="C380" s="195"/>
      <c r="D380" s="195"/>
      <c r="E380" s="195"/>
      <c r="F380" s="195"/>
      <c r="G380" s="195"/>
      <c r="H380" s="195"/>
      <c r="I380" s="195"/>
      <c r="J380" s="195"/>
      <c r="K380" s="195"/>
      <c r="L380" s="195"/>
      <c r="M380" s="195"/>
      <c r="N380" s="195"/>
    </row>
    <row r="381" spans="1:14" x14ac:dyDescent="0.2">
      <c r="A381" s="195"/>
      <c r="B381" s="195"/>
      <c r="C381" s="195"/>
      <c r="D381" s="195"/>
      <c r="E381" s="195"/>
      <c r="F381" s="195"/>
      <c r="G381" s="195"/>
      <c r="H381" s="195"/>
      <c r="I381" s="195"/>
      <c r="J381" s="195"/>
      <c r="K381" s="195"/>
      <c r="L381" s="195"/>
      <c r="M381" s="195"/>
      <c r="N381" s="195"/>
    </row>
    <row r="382" spans="1:14" x14ac:dyDescent="0.2">
      <c r="A382" s="195"/>
      <c r="B382" s="195"/>
      <c r="C382" s="195"/>
      <c r="D382" s="195"/>
      <c r="E382" s="195"/>
      <c r="F382" s="195"/>
      <c r="G382" s="219"/>
      <c r="H382" s="195"/>
      <c r="I382" s="195"/>
      <c r="J382" s="195"/>
      <c r="K382" s="195"/>
      <c r="L382" s="195"/>
      <c r="M382" s="195"/>
      <c r="N382" s="195"/>
    </row>
    <row r="383" spans="1:14" x14ac:dyDescent="0.2">
      <c r="A383" s="195"/>
      <c r="B383" s="195"/>
      <c r="C383" s="195"/>
      <c r="D383" s="195"/>
      <c r="E383" s="195"/>
      <c r="F383" s="195"/>
      <c r="G383" s="195"/>
      <c r="H383" s="195"/>
      <c r="I383" s="195"/>
      <c r="J383" s="195"/>
      <c r="K383" s="195"/>
      <c r="L383" s="195"/>
      <c r="M383" s="195"/>
      <c r="N383" s="195"/>
    </row>
    <row r="384" spans="1:14" x14ac:dyDescent="0.2">
      <c r="A384" s="195"/>
      <c r="B384" s="195"/>
      <c r="C384" s="195"/>
      <c r="D384" s="195"/>
      <c r="E384" s="195"/>
      <c r="F384" s="195"/>
      <c r="G384" s="219"/>
      <c r="H384" s="195"/>
      <c r="I384" s="195"/>
      <c r="J384" s="195"/>
      <c r="K384" s="195"/>
      <c r="L384" s="195"/>
      <c r="M384" s="195"/>
      <c r="N384" s="195"/>
    </row>
    <row r="385" spans="1:14" x14ac:dyDescent="0.2">
      <c r="A385" s="195"/>
      <c r="B385" s="195"/>
      <c r="C385" s="195"/>
      <c r="D385" s="195"/>
      <c r="E385" s="195"/>
      <c r="F385" s="195"/>
      <c r="G385" s="195"/>
      <c r="H385" s="195"/>
      <c r="I385" s="195"/>
      <c r="J385" s="195"/>
      <c r="K385" s="195"/>
      <c r="L385" s="195"/>
      <c r="M385" s="195"/>
      <c r="N385" s="195"/>
    </row>
    <row r="386" spans="1:14" x14ac:dyDescent="0.2">
      <c r="A386" s="195"/>
      <c r="B386" s="195"/>
      <c r="C386" s="195"/>
      <c r="D386" s="195"/>
      <c r="E386" s="195"/>
      <c r="F386" s="195"/>
      <c r="G386" s="219"/>
      <c r="H386" s="195"/>
      <c r="I386" s="195"/>
      <c r="J386" s="195"/>
      <c r="K386" s="195"/>
      <c r="L386" s="195"/>
      <c r="M386" s="195"/>
      <c r="N386" s="195"/>
    </row>
    <row r="387" spans="1:14" x14ac:dyDescent="0.2">
      <c r="A387" s="195"/>
      <c r="B387" s="195"/>
      <c r="C387" s="195"/>
      <c r="D387" s="195"/>
      <c r="E387" s="195"/>
      <c r="F387" s="195"/>
      <c r="G387" s="195"/>
      <c r="H387" s="195"/>
      <c r="I387" s="195"/>
      <c r="J387" s="195"/>
      <c r="K387" s="195"/>
      <c r="L387" s="195"/>
      <c r="M387" s="195"/>
      <c r="N387" s="195"/>
    </row>
    <row r="388" spans="1:14" x14ac:dyDescent="0.2">
      <c r="A388" s="195"/>
      <c r="B388" s="195"/>
      <c r="C388" s="195"/>
      <c r="D388" s="195"/>
      <c r="E388" s="195"/>
      <c r="F388" s="195"/>
      <c r="G388" s="195"/>
      <c r="H388" s="195"/>
      <c r="I388" s="195"/>
      <c r="J388" s="195"/>
      <c r="K388" s="195"/>
      <c r="L388" s="195"/>
      <c r="M388" s="195"/>
      <c r="N388" s="195"/>
    </row>
    <row r="389" spans="1:14" x14ac:dyDescent="0.2">
      <c r="A389" s="195"/>
      <c r="B389" s="195"/>
      <c r="C389" s="195"/>
      <c r="D389" s="195"/>
      <c r="E389" s="195"/>
      <c r="F389" s="195"/>
      <c r="G389" s="195"/>
      <c r="H389" s="195"/>
      <c r="I389" s="195"/>
      <c r="J389" s="195"/>
      <c r="K389" s="195"/>
      <c r="L389" s="195"/>
      <c r="M389" s="195"/>
      <c r="N389" s="195"/>
    </row>
    <row r="390" spans="1:14" x14ac:dyDescent="0.2">
      <c r="A390" s="707"/>
      <c r="B390" s="707"/>
      <c r="C390" s="707"/>
      <c r="D390" s="707"/>
      <c r="E390" s="707"/>
      <c r="F390" s="707"/>
      <c r="G390" s="707"/>
      <c r="H390" s="707"/>
      <c r="I390" s="707"/>
      <c r="J390" s="707"/>
      <c r="K390" s="707"/>
      <c r="L390" s="707"/>
      <c r="M390" s="707"/>
      <c r="N390" s="707"/>
    </row>
    <row r="391" spans="1:14" x14ac:dyDescent="0.2">
      <c r="A391" s="707"/>
      <c r="B391" s="707"/>
      <c r="C391" s="707"/>
      <c r="D391" s="707"/>
      <c r="E391" s="707"/>
      <c r="F391" s="707"/>
      <c r="G391" s="707"/>
      <c r="H391" s="707"/>
      <c r="I391" s="707"/>
      <c r="J391" s="707"/>
      <c r="K391" s="707"/>
      <c r="L391" s="707"/>
      <c r="M391" s="707"/>
      <c r="N391" s="707"/>
    </row>
    <row r="392" spans="1:14" x14ac:dyDescent="0.2">
      <c r="A392" s="703"/>
      <c r="B392" s="703"/>
      <c r="C392" s="704"/>
      <c r="D392" s="704"/>
      <c r="E392" s="707"/>
      <c r="F392" s="705"/>
      <c r="G392" s="703"/>
      <c r="H392" s="703"/>
      <c r="I392" s="703"/>
      <c r="J392" s="703"/>
      <c r="K392" s="703"/>
      <c r="L392" s="704"/>
      <c r="M392" s="704"/>
      <c r="N392" s="703"/>
    </row>
    <row r="393" spans="1:14" x14ac:dyDescent="0.2">
      <c r="A393" s="703"/>
      <c r="B393" s="703"/>
      <c r="C393" s="704"/>
      <c r="D393" s="704"/>
      <c r="E393" s="707"/>
      <c r="F393" s="708"/>
      <c r="G393" s="703"/>
      <c r="H393" s="703"/>
      <c r="I393" s="703"/>
      <c r="J393" s="703"/>
      <c r="K393" s="703"/>
      <c r="L393" s="704"/>
      <c r="M393" s="704"/>
      <c r="N393" s="703"/>
    </row>
    <row r="394" spans="1:14" x14ac:dyDescent="0.2">
      <c r="A394" s="195"/>
      <c r="B394" s="195"/>
      <c r="C394" s="195"/>
      <c r="D394" s="195"/>
      <c r="E394" s="195"/>
      <c r="F394" s="195"/>
      <c r="G394" s="219"/>
      <c r="H394" s="195"/>
      <c r="I394" s="195"/>
      <c r="J394" s="195"/>
      <c r="K394" s="195"/>
      <c r="L394" s="195"/>
      <c r="M394" s="195"/>
      <c r="N394" s="195"/>
    </row>
    <row r="395" spans="1:14" x14ac:dyDescent="0.2">
      <c r="A395" s="195"/>
      <c r="B395" s="195"/>
      <c r="C395" s="195"/>
      <c r="D395" s="195"/>
      <c r="E395" s="195"/>
      <c r="F395" s="195"/>
      <c r="G395" s="219"/>
      <c r="H395" s="195"/>
      <c r="I395" s="195"/>
      <c r="J395" s="195"/>
      <c r="K395" s="195"/>
      <c r="L395" s="195"/>
      <c r="M395" s="195"/>
      <c r="N395" s="195"/>
    </row>
    <row r="396" spans="1:14" x14ac:dyDescent="0.2">
      <c r="A396" s="195"/>
      <c r="B396" s="195"/>
      <c r="C396" s="195"/>
      <c r="D396" s="195"/>
      <c r="E396" s="195"/>
      <c r="F396" s="195"/>
      <c r="G396" s="195"/>
      <c r="H396" s="195"/>
      <c r="I396" s="195"/>
      <c r="J396" s="195"/>
      <c r="K396" s="195"/>
      <c r="L396" s="195"/>
      <c r="M396" s="195"/>
      <c r="N396" s="195"/>
    </row>
    <row r="397" spans="1:14" x14ac:dyDescent="0.2">
      <c r="A397" s="195"/>
      <c r="B397" s="195"/>
      <c r="C397" s="195"/>
      <c r="D397" s="195"/>
      <c r="E397" s="195"/>
      <c r="F397" s="195"/>
      <c r="G397" s="195"/>
      <c r="H397" s="195"/>
      <c r="I397" s="195"/>
      <c r="J397" s="195"/>
      <c r="K397" s="195"/>
      <c r="L397" s="195"/>
      <c r="M397" s="195"/>
      <c r="N397" s="195"/>
    </row>
    <row r="398" spans="1:14" x14ac:dyDescent="0.2">
      <c r="A398" s="195"/>
      <c r="B398" s="195"/>
      <c r="C398" s="195"/>
      <c r="D398" s="195"/>
      <c r="E398" s="195"/>
      <c r="F398" s="195"/>
      <c r="G398" s="195"/>
      <c r="H398" s="195"/>
      <c r="I398" s="195"/>
      <c r="J398" s="195"/>
      <c r="K398" s="195"/>
      <c r="L398" s="195"/>
      <c r="M398" s="195"/>
      <c r="N398" s="195"/>
    </row>
    <row r="399" spans="1:14" x14ac:dyDescent="0.2">
      <c r="A399" s="195"/>
      <c r="B399" s="195"/>
      <c r="C399" s="195"/>
      <c r="D399" s="195"/>
      <c r="E399" s="195"/>
      <c r="F399" s="195"/>
      <c r="G399" s="195"/>
      <c r="H399" s="195"/>
      <c r="I399" s="195"/>
      <c r="J399" s="195"/>
      <c r="K399" s="195"/>
      <c r="L399" s="195"/>
      <c r="M399" s="195"/>
      <c r="N399" s="195"/>
    </row>
    <row r="400" spans="1:14" x14ac:dyDescent="0.2">
      <c r="A400" s="195"/>
      <c r="B400" s="195"/>
      <c r="C400" s="195"/>
      <c r="D400" s="195"/>
      <c r="E400" s="195"/>
      <c r="F400" s="195"/>
      <c r="G400" s="220"/>
      <c r="H400" s="195"/>
      <c r="I400" s="195"/>
      <c r="J400" s="195"/>
      <c r="K400" s="195"/>
      <c r="L400" s="195"/>
      <c r="M400" s="195"/>
      <c r="N400" s="195"/>
    </row>
    <row r="401" spans="1:14" x14ac:dyDescent="0.2">
      <c r="A401" s="195"/>
      <c r="B401" s="195"/>
      <c r="C401" s="195"/>
      <c r="D401" s="195"/>
      <c r="E401" s="195"/>
      <c r="F401" s="195"/>
      <c r="G401" s="219"/>
      <c r="H401" s="195"/>
      <c r="I401" s="195"/>
      <c r="J401" s="195"/>
      <c r="K401" s="195"/>
      <c r="L401" s="195"/>
      <c r="M401" s="195"/>
      <c r="N401" s="195"/>
    </row>
    <row r="402" spans="1:14" x14ac:dyDescent="0.2">
      <c r="A402" s="195"/>
      <c r="B402" s="195"/>
      <c r="C402" s="195"/>
      <c r="D402" s="195"/>
      <c r="E402" s="195"/>
      <c r="F402" s="195"/>
      <c r="G402" s="195"/>
      <c r="H402" s="195"/>
      <c r="I402" s="195"/>
      <c r="J402" s="195"/>
      <c r="K402" s="195"/>
      <c r="L402" s="195"/>
      <c r="M402" s="195"/>
      <c r="N402" s="195"/>
    </row>
    <row r="403" spans="1:14" x14ac:dyDescent="0.2">
      <c r="A403" s="195"/>
      <c r="B403" s="195"/>
      <c r="C403" s="195"/>
      <c r="D403" s="195"/>
      <c r="E403" s="195"/>
      <c r="F403" s="195"/>
      <c r="G403" s="195"/>
      <c r="H403" s="195"/>
      <c r="I403" s="195"/>
      <c r="J403" s="195"/>
      <c r="K403" s="195"/>
      <c r="L403" s="195"/>
      <c r="M403" s="195"/>
      <c r="N403" s="195"/>
    </row>
    <row r="404" spans="1:14" x14ac:dyDescent="0.2">
      <c r="A404" s="195"/>
      <c r="B404" s="195"/>
      <c r="C404" s="195"/>
      <c r="D404" s="195"/>
      <c r="E404" s="195"/>
      <c r="F404" s="195"/>
      <c r="G404" s="195"/>
      <c r="H404" s="195"/>
      <c r="I404" s="195"/>
      <c r="J404" s="195"/>
      <c r="K404" s="195"/>
      <c r="L404" s="195"/>
      <c r="M404" s="195"/>
      <c r="N404" s="195"/>
    </row>
    <row r="405" spans="1:14" x14ac:dyDescent="0.2">
      <c r="A405" s="195"/>
      <c r="B405" s="195"/>
      <c r="C405" s="195"/>
      <c r="D405" s="195"/>
      <c r="E405" s="195"/>
      <c r="F405" s="195"/>
      <c r="G405" s="195"/>
      <c r="H405" s="195"/>
      <c r="I405" s="195"/>
      <c r="J405" s="195"/>
      <c r="K405" s="195"/>
      <c r="L405" s="195"/>
      <c r="M405" s="195"/>
      <c r="N405" s="195"/>
    </row>
    <row r="406" spans="1:14" x14ac:dyDescent="0.2">
      <c r="A406" s="195"/>
      <c r="B406" s="195"/>
      <c r="C406" s="195"/>
      <c r="D406" s="195"/>
      <c r="E406" s="195"/>
      <c r="F406" s="195"/>
      <c r="G406" s="219"/>
      <c r="H406" s="195"/>
      <c r="I406" s="195"/>
      <c r="J406" s="195"/>
      <c r="K406" s="195"/>
      <c r="L406" s="195"/>
      <c r="M406" s="195"/>
      <c r="N406" s="195"/>
    </row>
    <row r="407" spans="1:14" x14ac:dyDescent="0.2">
      <c r="A407" s="195"/>
      <c r="B407" s="195"/>
      <c r="C407" s="195"/>
      <c r="D407" s="195"/>
      <c r="E407" s="195"/>
      <c r="F407" s="195"/>
      <c r="G407" s="219"/>
      <c r="H407" s="195"/>
      <c r="I407" s="195"/>
      <c r="J407" s="195"/>
      <c r="K407" s="195"/>
      <c r="L407" s="195"/>
      <c r="M407" s="195"/>
      <c r="N407" s="195"/>
    </row>
    <row r="408" spans="1:14" x14ac:dyDescent="0.2">
      <c r="A408" s="195"/>
      <c r="B408" s="195"/>
      <c r="C408" s="195"/>
      <c r="D408" s="195"/>
      <c r="E408" s="195"/>
      <c r="F408" s="195"/>
      <c r="G408" s="219"/>
      <c r="H408" s="195"/>
      <c r="I408" s="195"/>
      <c r="J408" s="195"/>
      <c r="K408" s="195"/>
      <c r="L408" s="195"/>
      <c r="M408" s="195"/>
      <c r="N408" s="195"/>
    </row>
    <row r="409" spans="1:14" x14ac:dyDescent="0.2">
      <c r="A409" s="195"/>
      <c r="B409" s="195"/>
      <c r="C409" s="195"/>
      <c r="D409" s="195"/>
      <c r="E409" s="195"/>
      <c r="F409" s="195"/>
      <c r="G409" s="219"/>
      <c r="H409" s="195"/>
      <c r="I409" s="195"/>
      <c r="J409" s="195"/>
      <c r="K409" s="195"/>
      <c r="L409" s="195"/>
      <c r="M409" s="195"/>
      <c r="N409" s="195"/>
    </row>
    <row r="410" spans="1:14" x14ac:dyDescent="0.2">
      <c r="A410" s="195"/>
      <c r="B410" s="195"/>
      <c r="C410" s="195"/>
      <c r="D410" s="195"/>
      <c r="E410" s="195"/>
      <c r="F410" s="195"/>
      <c r="G410" s="195"/>
      <c r="H410" s="195"/>
      <c r="I410" s="195"/>
      <c r="J410" s="195"/>
      <c r="K410" s="195"/>
      <c r="L410" s="195"/>
      <c r="M410" s="195"/>
      <c r="N410" s="195"/>
    </row>
    <row r="411" spans="1:14" x14ac:dyDescent="0.2">
      <c r="A411" s="195"/>
      <c r="B411" s="195"/>
      <c r="C411" s="195"/>
      <c r="D411" s="195"/>
      <c r="E411" s="195"/>
      <c r="F411" s="195"/>
      <c r="G411" s="219"/>
      <c r="H411" s="195"/>
      <c r="I411" s="195"/>
      <c r="J411" s="195"/>
      <c r="K411" s="195"/>
      <c r="L411" s="195"/>
      <c r="M411" s="195"/>
      <c r="N411" s="195"/>
    </row>
    <row r="412" spans="1:14" x14ac:dyDescent="0.2">
      <c r="A412" s="195"/>
      <c r="B412" s="195"/>
      <c r="C412" s="195"/>
      <c r="D412" s="195"/>
      <c r="E412" s="195"/>
      <c r="F412" s="195"/>
      <c r="G412" s="219"/>
      <c r="H412" s="195"/>
      <c r="I412" s="195"/>
      <c r="J412" s="195"/>
      <c r="K412" s="195"/>
      <c r="L412" s="195"/>
      <c r="M412" s="195"/>
      <c r="N412" s="195"/>
    </row>
    <row r="413" spans="1:14" x14ac:dyDescent="0.2">
      <c r="A413" s="195"/>
      <c r="B413" s="195"/>
      <c r="C413" s="195"/>
      <c r="D413" s="195"/>
      <c r="E413" s="195"/>
      <c r="F413" s="195"/>
      <c r="G413" s="219"/>
      <c r="H413" s="195"/>
      <c r="I413" s="195"/>
      <c r="J413" s="195"/>
      <c r="K413" s="195"/>
      <c r="L413" s="195"/>
      <c r="M413" s="195"/>
      <c r="N413" s="195"/>
    </row>
    <row r="414" spans="1:14" x14ac:dyDescent="0.2">
      <c r="A414" s="195"/>
      <c r="B414" s="195"/>
      <c r="C414" s="195"/>
      <c r="D414" s="195"/>
      <c r="E414" s="195"/>
      <c r="F414" s="195"/>
      <c r="G414" s="195"/>
      <c r="H414" s="195"/>
      <c r="I414" s="195"/>
      <c r="J414" s="195"/>
      <c r="K414" s="195"/>
      <c r="L414" s="195"/>
      <c r="M414" s="195"/>
      <c r="N414" s="195"/>
    </row>
    <row r="415" spans="1:14" x14ac:dyDescent="0.2">
      <c r="A415" s="195"/>
      <c r="B415" s="195"/>
      <c r="C415" s="195"/>
      <c r="D415" s="195"/>
      <c r="E415" s="195"/>
      <c r="F415" s="195"/>
      <c r="G415" s="195"/>
      <c r="H415" s="195"/>
      <c r="I415" s="195"/>
      <c r="J415" s="195"/>
      <c r="K415" s="195"/>
      <c r="L415" s="195"/>
      <c r="M415" s="195"/>
      <c r="N415" s="195"/>
    </row>
    <row r="416" spans="1:14" x14ac:dyDescent="0.2">
      <c r="A416" s="195"/>
      <c r="B416" s="195"/>
      <c r="C416" s="195"/>
      <c r="D416" s="195"/>
      <c r="E416" s="195"/>
      <c r="F416" s="195"/>
      <c r="G416" s="219"/>
      <c r="H416" s="195"/>
      <c r="I416" s="195"/>
      <c r="J416" s="195"/>
      <c r="K416" s="195"/>
      <c r="L416" s="195"/>
      <c r="M416" s="195"/>
      <c r="N416" s="195"/>
    </row>
    <row r="417" spans="1:14" x14ac:dyDescent="0.2">
      <c r="A417" s="195"/>
      <c r="B417" s="195"/>
      <c r="C417" s="195"/>
      <c r="D417" s="195"/>
      <c r="E417" s="195"/>
      <c r="F417" s="195"/>
      <c r="G417" s="219"/>
      <c r="H417" s="195"/>
      <c r="I417" s="195"/>
      <c r="J417" s="195"/>
      <c r="K417" s="195"/>
      <c r="L417" s="195"/>
      <c r="M417" s="195"/>
      <c r="N417" s="195"/>
    </row>
    <row r="418" spans="1:14" x14ac:dyDescent="0.2">
      <c r="A418" s="195"/>
      <c r="B418" s="195"/>
      <c r="C418" s="195"/>
      <c r="D418" s="195"/>
      <c r="E418" s="195"/>
      <c r="F418" s="195"/>
      <c r="G418" s="195"/>
      <c r="H418" s="195"/>
      <c r="I418" s="195"/>
      <c r="J418" s="195"/>
      <c r="K418" s="195"/>
      <c r="L418" s="195"/>
      <c r="M418" s="195"/>
      <c r="N418" s="195"/>
    </row>
    <row r="419" spans="1:14" x14ac:dyDescent="0.2">
      <c r="A419" s="195"/>
      <c r="B419" s="195"/>
      <c r="C419" s="195"/>
      <c r="D419" s="195"/>
      <c r="E419" s="195"/>
      <c r="F419" s="195"/>
      <c r="G419" s="195"/>
      <c r="H419" s="195"/>
      <c r="I419" s="195"/>
      <c r="J419" s="195"/>
      <c r="K419" s="195"/>
      <c r="L419" s="195"/>
      <c r="M419" s="195"/>
      <c r="N419" s="195"/>
    </row>
    <row r="420" spans="1:14" x14ac:dyDescent="0.2">
      <c r="A420" s="195"/>
      <c r="B420" s="195"/>
      <c r="C420" s="195"/>
      <c r="D420" s="195"/>
      <c r="E420" s="195"/>
      <c r="F420" s="195"/>
      <c r="G420" s="195"/>
      <c r="H420" s="195"/>
      <c r="I420" s="195"/>
      <c r="J420" s="195"/>
      <c r="K420" s="195"/>
      <c r="L420" s="195"/>
      <c r="M420" s="195"/>
      <c r="N420" s="195"/>
    </row>
    <row r="421" spans="1:14" x14ac:dyDescent="0.2">
      <c r="A421" s="195"/>
      <c r="B421" s="195"/>
      <c r="C421" s="195"/>
      <c r="D421" s="195"/>
      <c r="E421" s="195"/>
      <c r="F421" s="195"/>
      <c r="G421" s="195"/>
      <c r="H421" s="195"/>
      <c r="I421" s="195"/>
      <c r="J421" s="195"/>
      <c r="K421" s="195"/>
      <c r="L421" s="195"/>
      <c r="M421" s="195"/>
      <c r="N421" s="195"/>
    </row>
    <row r="422" spans="1:14" x14ac:dyDescent="0.2">
      <c r="A422" s="195"/>
      <c r="B422" s="195"/>
      <c r="C422" s="195"/>
      <c r="D422" s="195"/>
      <c r="E422" s="195"/>
      <c r="F422" s="195"/>
      <c r="G422" s="195"/>
      <c r="H422" s="195"/>
      <c r="I422" s="195"/>
      <c r="J422" s="195"/>
      <c r="K422" s="195"/>
      <c r="L422" s="195"/>
      <c r="M422" s="195"/>
      <c r="N422" s="195"/>
    </row>
    <row r="423" spans="1:14" x14ac:dyDescent="0.2">
      <c r="A423" s="195"/>
      <c r="B423" s="195"/>
      <c r="C423" s="195"/>
      <c r="D423" s="195"/>
      <c r="E423" s="195"/>
      <c r="F423" s="195"/>
      <c r="G423" s="195"/>
      <c r="H423" s="195"/>
      <c r="I423" s="195"/>
      <c r="J423" s="195"/>
      <c r="K423" s="195"/>
      <c r="L423" s="195"/>
      <c r="M423" s="195"/>
      <c r="N423" s="195"/>
    </row>
    <row r="424" spans="1:14" x14ac:dyDescent="0.2">
      <c r="A424" s="195"/>
      <c r="B424" s="195"/>
      <c r="C424" s="195"/>
      <c r="D424" s="195"/>
      <c r="E424" s="195"/>
      <c r="F424" s="195"/>
      <c r="G424" s="195"/>
      <c r="H424" s="195"/>
      <c r="I424" s="195"/>
      <c r="J424" s="195"/>
      <c r="K424" s="195"/>
      <c r="L424" s="195"/>
      <c r="M424" s="195"/>
      <c r="N424" s="195"/>
    </row>
    <row r="425" spans="1:14" x14ac:dyDescent="0.2">
      <c r="A425" s="195"/>
      <c r="B425" s="195"/>
      <c r="C425" s="195"/>
      <c r="D425" s="195"/>
      <c r="E425" s="221"/>
      <c r="F425" s="195"/>
      <c r="G425" s="195"/>
      <c r="H425" s="195"/>
      <c r="I425" s="195"/>
      <c r="J425" s="195"/>
      <c r="K425" s="195"/>
      <c r="L425" s="195"/>
      <c r="M425" s="195"/>
      <c r="N425" s="195"/>
    </row>
    <row r="426" spans="1:14" x14ac:dyDescent="0.2">
      <c r="A426" s="195"/>
      <c r="B426" s="195"/>
      <c r="C426" s="195"/>
      <c r="D426" s="195"/>
      <c r="E426" s="195"/>
      <c r="F426" s="195"/>
      <c r="G426" s="195"/>
      <c r="H426" s="195"/>
      <c r="I426" s="195"/>
      <c r="J426" s="195"/>
      <c r="K426" s="195"/>
      <c r="L426" s="195"/>
      <c r="M426" s="195"/>
      <c r="N426" s="195"/>
    </row>
    <row r="427" spans="1:14" x14ac:dyDescent="0.2">
      <c r="A427" s="195"/>
      <c r="B427" s="195"/>
      <c r="C427" s="195"/>
      <c r="D427" s="195"/>
      <c r="E427" s="195"/>
      <c r="F427" s="195"/>
      <c r="G427" s="195"/>
      <c r="H427" s="195"/>
      <c r="I427" s="195"/>
      <c r="J427" s="195"/>
      <c r="K427" s="195"/>
      <c r="L427" s="195"/>
      <c r="M427" s="195"/>
      <c r="N427" s="195"/>
    </row>
    <row r="428" spans="1:14" x14ac:dyDescent="0.2">
      <c r="A428" s="707"/>
      <c r="B428" s="707"/>
      <c r="C428" s="707"/>
      <c r="D428" s="707"/>
      <c r="E428" s="707"/>
      <c r="F428" s="707"/>
      <c r="G428" s="707"/>
      <c r="H428" s="707"/>
      <c r="I428" s="707"/>
      <c r="J428" s="707"/>
      <c r="K428" s="707"/>
      <c r="L428" s="707"/>
      <c r="M428" s="707"/>
      <c r="N428" s="707"/>
    </row>
    <row r="429" spans="1:14" x14ac:dyDescent="0.2">
      <c r="A429" s="707"/>
      <c r="B429" s="707"/>
      <c r="C429" s="707"/>
      <c r="D429" s="707"/>
      <c r="E429" s="707"/>
      <c r="F429" s="707"/>
      <c r="G429" s="707"/>
      <c r="H429" s="707"/>
      <c r="I429" s="707"/>
      <c r="J429" s="707"/>
      <c r="K429" s="707"/>
      <c r="L429" s="707"/>
      <c r="M429" s="707"/>
      <c r="N429" s="707"/>
    </row>
    <row r="430" spans="1:14" x14ac:dyDescent="0.2">
      <c r="A430" s="703"/>
      <c r="B430" s="703"/>
      <c r="C430" s="704"/>
      <c r="D430" s="704"/>
      <c r="E430" s="707"/>
      <c r="F430" s="705"/>
      <c r="G430" s="703"/>
      <c r="H430" s="703"/>
      <c r="I430" s="703"/>
      <c r="J430" s="703"/>
      <c r="K430" s="703"/>
      <c r="L430" s="704"/>
      <c r="M430" s="704"/>
      <c r="N430" s="703"/>
    </row>
    <row r="431" spans="1:14" x14ac:dyDescent="0.2">
      <c r="A431" s="703"/>
      <c r="B431" s="703"/>
      <c r="C431" s="704"/>
      <c r="D431" s="704"/>
      <c r="E431" s="707"/>
      <c r="F431" s="708"/>
      <c r="G431" s="703"/>
      <c r="H431" s="703"/>
      <c r="I431" s="703"/>
      <c r="J431" s="703"/>
      <c r="K431" s="703"/>
      <c r="L431" s="704"/>
      <c r="M431" s="704"/>
      <c r="N431" s="703"/>
    </row>
    <row r="432" spans="1:14" x14ac:dyDescent="0.2">
      <c r="A432" s="195"/>
      <c r="B432" s="195"/>
      <c r="C432" s="195"/>
      <c r="D432" s="195"/>
      <c r="E432" s="195"/>
      <c r="F432" s="195"/>
      <c r="G432" s="195"/>
      <c r="H432" s="195"/>
      <c r="I432" s="195"/>
      <c r="J432" s="195"/>
      <c r="K432" s="195"/>
      <c r="L432" s="195"/>
      <c r="M432" s="195"/>
      <c r="N432" s="195"/>
    </row>
    <row r="433" spans="1:14" x14ac:dyDescent="0.2">
      <c r="A433" s="195"/>
      <c r="B433" s="195"/>
      <c r="C433" s="195"/>
      <c r="D433" s="195"/>
      <c r="E433" s="195"/>
      <c r="F433" s="195"/>
      <c r="G433" s="195"/>
      <c r="H433" s="195"/>
      <c r="I433" s="195"/>
      <c r="J433" s="195"/>
      <c r="K433" s="195"/>
      <c r="L433" s="195"/>
      <c r="M433" s="195"/>
      <c r="N433" s="195"/>
    </row>
    <row r="434" spans="1:14" x14ac:dyDescent="0.2">
      <c r="A434" s="195"/>
      <c r="B434" s="195"/>
      <c r="C434" s="195"/>
      <c r="D434" s="195"/>
      <c r="E434" s="195"/>
      <c r="F434" s="195"/>
      <c r="G434" s="219"/>
      <c r="H434" s="195"/>
      <c r="I434" s="195"/>
      <c r="J434" s="195"/>
      <c r="K434" s="195"/>
      <c r="L434" s="195"/>
      <c r="M434" s="195"/>
      <c r="N434" s="195"/>
    </row>
    <row r="435" spans="1:14" x14ac:dyDescent="0.2">
      <c r="A435" s="195"/>
      <c r="B435" s="195"/>
      <c r="C435" s="195"/>
      <c r="D435" s="195"/>
      <c r="E435" s="195"/>
      <c r="F435" s="195"/>
      <c r="G435" s="195"/>
      <c r="H435" s="195"/>
      <c r="I435" s="195"/>
      <c r="J435" s="195"/>
      <c r="K435" s="195"/>
      <c r="L435" s="195"/>
      <c r="M435" s="195"/>
      <c r="N435" s="195"/>
    </row>
    <row r="436" spans="1:14" x14ac:dyDescent="0.2">
      <c r="A436" s="195"/>
      <c r="B436" s="195"/>
      <c r="C436" s="195"/>
      <c r="D436" s="195"/>
      <c r="E436" s="195"/>
      <c r="F436" s="195"/>
      <c r="G436" s="219"/>
      <c r="H436" s="195"/>
      <c r="I436" s="195"/>
      <c r="J436" s="195"/>
      <c r="K436" s="195"/>
      <c r="L436" s="195"/>
      <c r="M436" s="195"/>
      <c r="N436" s="195"/>
    </row>
    <row r="437" spans="1:14" x14ac:dyDescent="0.2">
      <c r="A437" s="195"/>
      <c r="B437" s="195"/>
      <c r="C437" s="195"/>
      <c r="D437" s="195"/>
      <c r="E437" s="195"/>
      <c r="F437" s="195"/>
      <c r="G437" s="219"/>
      <c r="H437" s="195"/>
      <c r="I437" s="195"/>
      <c r="J437" s="195"/>
      <c r="K437" s="195"/>
      <c r="L437" s="195"/>
      <c r="M437" s="195"/>
      <c r="N437" s="195"/>
    </row>
    <row r="438" spans="1:14" x14ac:dyDescent="0.2">
      <c r="A438" s="195"/>
      <c r="B438" s="195"/>
      <c r="C438" s="195"/>
      <c r="D438" s="195"/>
      <c r="E438" s="195"/>
      <c r="F438" s="195"/>
      <c r="G438" s="195"/>
      <c r="H438" s="195"/>
      <c r="I438" s="195"/>
      <c r="J438" s="195"/>
      <c r="K438" s="195"/>
      <c r="L438" s="195"/>
      <c r="M438" s="195"/>
      <c r="N438" s="195"/>
    </row>
    <row r="439" spans="1:14" x14ac:dyDescent="0.2">
      <c r="A439" s="195"/>
      <c r="B439" s="195"/>
      <c r="C439" s="195"/>
      <c r="D439" s="195"/>
      <c r="E439" s="195"/>
      <c r="F439" s="195"/>
      <c r="G439" s="219"/>
      <c r="H439" s="195"/>
      <c r="I439" s="195"/>
      <c r="J439" s="195"/>
      <c r="K439" s="195"/>
      <c r="L439" s="195"/>
      <c r="M439" s="195"/>
      <c r="N439" s="195"/>
    </row>
    <row r="440" spans="1:14" x14ac:dyDescent="0.2">
      <c r="A440" s="195"/>
      <c r="B440" s="195"/>
      <c r="C440" s="195"/>
      <c r="D440" s="195"/>
      <c r="E440" s="195"/>
      <c r="F440" s="195"/>
      <c r="G440" s="219"/>
      <c r="H440" s="195"/>
      <c r="I440" s="195"/>
      <c r="J440" s="195"/>
      <c r="K440" s="195"/>
      <c r="L440" s="195"/>
      <c r="M440" s="195"/>
      <c r="N440" s="195"/>
    </row>
    <row r="441" spans="1:14" x14ac:dyDescent="0.2">
      <c r="A441" s="195"/>
      <c r="B441" s="195"/>
      <c r="C441" s="195"/>
      <c r="D441" s="195"/>
      <c r="E441" s="195"/>
      <c r="F441" s="195"/>
      <c r="G441" s="195"/>
      <c r="H441" s="195"/>
      <c r="I441" s="195"/>
      <c r="J441" s="195"/>
      <c r="K441" s="195"/>
      <c r="L441" s="195"/>
      <c r="M441" s="195"/>
      <c r="N441" s="195"/>
    </row>
    <row r="442" spans="1:14" x14ac:dyDescent="0.2">
      <c r="A442" s="195"/>
      <c r="B442" s="195"/>
      <c r="C442" s="195"/>
      <c r="D442" s="195"/>
      <c r="E442" s="195"/>
      <c r="F442" s="195"/>
      <c r="G442" s="195"/>
      <c r="H442" s="195"/>
      <c r="I442" s="195"/>
      <c r="J442" s="195"/>
      <c r="K442" s="195"/>
      <c r="L442" s="195"/>
      <c r="M442" s="195"/>
      <c r="N442" s="195"/>
    </row>
    <row r="443" spans="1:14" x14ac:dyDescent="0.2">
      <c r="A443" s="195"/>
      <c r="B443" s="195"/>
      <c r="C443" s="195"/>
      <c r="D443" s="195"/>
      <c r="E443" s="195"/>
      <c r="F443" s="195"/>
      <c r="G443" s="219"/>
      <c r="H443" s="195"/>
      <c r="I443" s="195"/>
      <c r="J443" s="195"/>
      <c r="K443" s="195"/>
      <c r="L443" s="195"/>
      <c r="M443" s="195"/>
      <c r="N443" s="195"/>
    </row>
    <row r="444" spans="1:14" x14ac:dyDescent="0.2">
      <c r="A444" s="195"/>
      <c r="B444" s="195"/>
      <c r="C444" s="195"/>
      <c r="D444" s="195"/>
      <c r="E444" s="195"/>
      <c r="F444" s="195"/>
      <c r="G444" s="219"/>
      <c r="H444" s="195"/>
      <c r="I444" s="195"/>
      <c r="J444" s="195"/>
      <c r="K444" s="195"/>
      <c r="L444" s="195"/>
      <c r="M444" s="195"/>
      <c r="N444" s="195"/>
    </row>
    <row r="445" spans="1:14" x14ac:dyDescent="0.2">
      <c r="A445" s="195"/>
      <c r="B445" s="195"/>
      <c r="C445" s="195"/>
      <c r="D445" s="195"/>
      <c r="E445" s="195"/>
      <c r="F445" s="195"/>
      <c r="G445" s="195"/>
      <c r="H445" s="195"/>
      <c r="I445" s="195"/>
      <c r="J445" s="195"/>
      <c r="K445" s="195"/>
      <c r="L445" s="195"/>
      <c r="M445" s="195"/>
      <c r="N445" s="195"/>
    </row>
    <row r="446" spans="1:14" x14ac:dyDescent="0.2">
      <c r="A446" s="195"/>
      <c r="B446" s="195"/>
      <c r="C446" s="195"/>
      <c r="D446" s="195"/>
      <c r="E446" s="195"/>
      <c r="F446" s="195"/>
      <c r="G446" s="195"/>
      <c r="H446" s="195"/>
      <c r="I446" s="195"/>
      <c r="J446" s="195"/>
      <c r="K446" s="195"/>
      <c r="L446" s="195"/>
      <c r="M446" s="195"/>
      <c r="N446" s="195"/>
    </row>
    <row r="447" spans="1:14" x14ac:dyDescent="0.2">
      <c r="A447" s="195"/>
      <c r="B447" s="195"/>
      <c r="C447" s="195"/>
      <c r="D447" s="195"/>
      <c r="E447" s="195"/>
      <c r="F447" s="195"/>
      <c r="G447" s="195"/>
      <c r="H447" s="195"/>
      <c r="I447" s="195"/>
      <c r="J447" s="195"/>
      <c r="K447" s="195"/>
      <c r="L447" s="195"/>
      <c r="M447" s="195"/>
      <c r="N447" s="195"/>
    </row>
    <row r="448" spans="1:14" x14ac:dyDescent="0.2">
      <c r="A448" s="195"/>
      <c r="B448" s="195"/>
      <c r="C448" s="195"/>
      <c r="D448" s="195"/>
      <c r="E448" s="195"/>
      <c r="F448" s="195"/>
      <c r="G448" s="195"/>
      <c r="H448" s="195"/>
      <c r="I448" s="195"/>
      <c r="J448" s="195"/>
      <c r="K448" s="195"/>
      <c r="L448" s="195"/>
      <c r="M448" s="195"/>
      <c r="N448" s="195"/>
    </row>
    <row r="449" spans="1:14" x14ac:dyDescent="0.2">
      <c r="A449" s="195"/>
      <c r="B449" s="195"/>
      <c r="C449" s="195"/>
      <c r="D449" s="195"/>
      <c r="E449" s="195"/>
      <c r="F449" s="195"/>
      <c r="G449" s="219"/>
      <c r="H449" s="195"/>
      <c r="I449" s="195"/>
      <c r="J449" s="195"/>
      <c r="K449" s="195"/>
      <c r="L449" s="195"/>
      <c r="M449" s="195"/>
      <c r="N449" s="195"/>
    </row>
    <row r="450" spans="1:14" x14ac:dyDescent="0.2">
      <c r="A450" s="195"/>
      <c r="B450" s="195"/>
      <c r="C450" s="195"/>
      <c r="D450" s="195"/>
      <c r="E450" s="195"/>
      <c r="F450" s="195"/>
      <c r="G450" s="709"/>
      <c r="H450" s="709"/>
      <c r="I450" s="195"/>
      <c r="J450" s="195"/>
      <c r="K450" s="195"/>
      <c r="L450" s="195"/>
      <c r="M450" s="195"/>
      <c r="N450" s="195"/>
    </row>
    <row r="451" spans="1:14" x14ac:dyDescent="0.2">
      <c r="A451" s="195"/>
      <c r="B451" s="195"/>
      <c r="C451" s="195"/>
      <c r="D451" s="195"/>
      <c r="E451" s="195"/>
      <c r="F451" s="195"/>
      <c r="G451" s="195"/>
      <c r="H451" s="195"/>
      <c r="I451" s="195"/>
      <c r="J451" s="195"/>
      <c r="K451" s="195"/>
      <c r="L451" s="195"/>
      <c r="M451" s="195"/>
      <c r="N451" s="195"/>
    </row>
    <row r="452" spans="1:14" x14ac:dyDescent="0.2">
      <c r="A452" s="195"/>
      <c r="B452" s="195"/>
      <c r="C452" s="195"/>
      <c r="D452" s="195"/>
      <c r="E452" s="195"/>
      <c r="F452" s="195"/>
      <c r="G452" s="195"/>
      <c r="H452" s="195"/>
      <c r="I452" s="195"/>
      <c r="J452" s="195"/>
      <c r="K452" s="195"/>
      <c r="L452" s="195"/>
      <c r="M452" s="195"/>
      <c r="N452" s="195"/>
    </row>
    <row r="453" spans="1:14" x14ac:dyDescent="0.2">
      <c r="A453" s="195"/>
      <c r="B453" s="195"/>
      <c r="C453" s="195"/>
      <c r="D453" s="195"/>
      <c r="E453" s="195"/>
      <c r="F453" s="195"/>
      <c r="G453" s="195"/>
      <c r="H453" s="195"/>
      <c r="I453" s="195"/>
      <c r="J453" s="195"/>
      <c r="K453" s="195"/>
      <c r="L453" s="195"/>
      <c r="M453" s="195"/>
      <c r="N453" s="195"/>
    </row>
    <row r="454" spans="1:14" x14ac:dyDescent="0.2">
      <c r="A454" s="195"/>
      <c r="B454" s="195"/>
      <c r="C454" s="195"/>
      <c r="D454" s="195"/>
      <c r="E454" s="195"/>
      <c r="F454" s="195"/>
      <c r="G454" s="195"/>
      <c r="H454" s="195"/>
      <c r="I454" s="195"/>
      <c r="J454" s="195"/>
      <c r="K454" s="195"/>
      <c r="L454" s="195"/>
      <c r="M454" s="195"/>
      <c r="N454" s="195"/>
    </row>
    <row r="455" spans="1:14" x14ac:dyDescent="0.2">
      <c r="A455" s="195"/>
      <c r="B455" s="195"/>
      <c r="C455" s="195"/>
      <c r="D455" s="195"/>
      <c r="E455" s="195"/>
      <c r="F455" s="195"/>
      <c r="G455" s="195"/>
      <c r="H455" s="195"/>
      <c r="I455" s="195"/>
      <c r="J455" s="195"/>
      <c r="K455" s="195"/>
      <c r="L455" s="195"/>
      <c r="M455" s="195"/>
      <c r="N455" s="195"/>
    </row>
    <row r="456" spans="1:14" x14ac:dyDescent="0.2">
      <c r="A456" s="195"/>
      <c r="B456" s="195"/>
      <c r="C456" s="195"/>
      <c r="D456" s="195"/>
      <c r="E456" s="195"/>
      <c r="F456" s="195"/>
      <c r="G456" s="195"/>
      <c r="H456" s="195"/>
      <c r="I456" s="195"/>
      <c r="J456" s="195"/>
      <c r="K456" s="195"/>
      <c r="L456" s="195"/>
      <c r="M456" s="195"/>
      <c r="N456" s="195"/>
    </row>
    <row r="457" spans="1:14" x14ac:dyDescent="0.2">
      <c r="A457" s="195"/>
      <c r="B457" s="195"/>
      <c r="C457" s="195"/>
      <c r="D457" s="195"/>
      <c r="E457" s="195"/>
      <c r="F457" s="195"/>
      <c r="G457" s="195"/>
      <c r="H457" s="195"/>
      <c r="I457" s="195"/>
      <c r="J457" s="195"/>
      <c r="K457" s="195"/>
      <c r="L457" s="195"/>
      <c r="M457" s="195"/>
      <c r="N457" s="195"/>
    </row>
    <row r="458" spans="1:14" x14ac:dyDescent="0.2">
      <c r="A458" s="707"/>
      <c r="B458" s="707"/>
      <c r="C458" s="707"/>
      <c r="D458" s="707"/>
      <c r="E458" s="707"/>
      <c r="F458" s="707"/>
      <c r="G458" s="707"/>
      <c r="H458" s="707"/>
      <c r="I458" s="707"/>
      <c r="J458" s="707"/>
      <c r="K458" s="707"/>
      <c r="L458" s="707"/>
      <c r="M458" s="707"/>
      <c r="N458" s="707"/>
    </row>
    <row r="459" spans="1:14" x14ac:dyDescent="0.2">
      <c r="A459" s="707"/>
      <c r="B459" s="707"/>
      <c r="C459" s="707"/>
      <c r="D459" s="707"/>
      <c r="E459" s="707"/>
      <c r="F459" s="707"/>
      <c r="G459" s="707"/>
      <c r="H459" s="707"/>
      <c r="I459" s="707"/>
      <c r="J459" s="707"/>
      <c r="K459" s="707"/>
      <c r="L459" s="707"/>
      <c r="M459" s="707"/>
      <c r="N459" s="707"/>
    </row>
    <row r="460" spans="1:14" x14ac:dyDescent="0.2">
      <c r="A460" s="703"/>
      <c r="B460" s="703"/>
      <c r="C460" s="704"/>
      <c r="D460" s="704"/>
      <c r="E460" s="707"/>
      <c r="F460" s="705"/>
      <c r="G460" s="703"/>
      <c r="H460" s="703"/>
      <c r="I460" s="703"/>
      <c r="J460" s="703"/>
      <c r="K460" s="703"/>
      <c r="L460" s="704"/>
      <c r="M460" s="704"/>
      <c r="N460" s="703"/>
    </row>
    <row r="461" spans="1:14" x14ac:dyDescent="0.2">
      <c r="A461" s="703"/>
      <c r="B461" s="703"/>
      <c r="C461" s="704"/>
      <c r="D461" s="704"/>
      <c r="E461" s="707"/>
      <c r="F461" s="708"/>
      <c r="G461" s="703"/>
      <c r="H461" s="703"/>
      <c r="I461" s="703"/>
      <c r="J461" s="703"/>
      <c r="K461" s="703"/>
      <c r="L461" s="704"/>
      <c r="M461" s="704"/>
      <c r="N461" s="703"/>
    </row>
    <row r="462" spans="1:14" x14ac:dyDescent="0.2">
      <c r="A462" s="195"/>
      <c r="B462" s="195"/>
      <c r="C462" s="709"/>
      <c r="D462" s="709"/>
      <c r="E462" s="709"/>
      <c r="F462" s="709"/>
      <c r="G462" s="709"/>
      <c r="H462" s="195"/>
      <c r="I462" s="195"/>
      <c r="J462" s="195"/>
      <c r="K462" s="195"/>
      <c r="L462" s="195"/>
      <c r="M462" s="195"/>
      <c r="N462" s="195"/>
    </row>
    <row r="463" spans="1:14" x14ac:dyDescent="0.2">
      <c r="A463" s="195"/>
      <c r="B463" s="195"/>
      <c r="C463" s="195"/>
      <c r="D463" s="195"/>
      <c r="E463" s="195"/>
      <c r="F463" s="195"/>
      <c r="G463" s="195"/>
      <c r="H463" s="195"/>
      <c r="I463" s="195"/>
      <c r="J463" s="195"/>
      <c r="K463" s="195"/>
      <c r="L463" s="195"/>
      <c r="M463" s="195"/>
      <c r="N463" s="195"/>
    </row>
    <row r="464" spans="1:14" x14ac:dyDescent="0.2">
      <c r="A464" s="195"/>
      <c r="B464" s="195"/>
      <c r="C464" s="195"/>
      <c r="D464" s="195"/>
      <c r="E464" s="195"/>
      <c r="F464" s="195"/>
      <c r="G464" s="195"/>
      <c r="H464" s="195"/>
      <c r="I464" s="195"/>
      <c r="J464" s="195"/>
      <c r="K464" s="195"/>
      <c r="L464" s="195"/>
      <c r="M464" s="195"/>
      <c r="N464" s="195"/>
    </row>
    <row r="465" spans="1:14" x14ac:dyDescent="0.2">
      <c r="A465" s="195"/>
      <c r="B465" s="195"/>
      <c r="C465" s="195"/>
      <c r="D465" s="195"/>
      <c r="E465" s="195"/>
      <c r="F465" s="195"/>
      <c r="G465" s="195"/>
      <c r="H465" s="195"/>
      <c r="I465" s="195"/>
      <c r="J465" s="195"/>
      <c r="K465" s="195"/>
      <c r="L465" s="195"/>
      <c r="M465" s="195"/>
      <c r="N465" s="195"/>
    </row>
    <row r="466" spans="1:14" x14ac:dyDescent="0.2">
      <c r="A466" s="195"/>
      <c r="B466" s="195"/>
      <c r="C466" s="195"/>
      <c r="D466" s="195"/>
      <c r="E466" s="195"/>
      <c r="F466" s="195"/>
      <c r="G466" s="195"/>
      <c r="H466" s="195"/>
      <c r="I466" s="195"/>
      <c r="J466" s="195"/>
      <c r="K466" s="195"/>
      <c r="L466" s="195"/>
      <c r="M466" s="195"/>
      <c r="N466" s="195"/>
    </row>
    <row r="467" spans="1:14" x14ac:dyDescent="0.2">
      <c r="A467" s="195"/>
      <c r="B467" s="195"/>
      <c r="C467" s="195"/>
      <c r="D467" s="195"/>
      <c r="E467" s="195"/>
      <c r="F467" s="195"/>
      <c r="G467" s="195"/>
      <c r="H467" s="195"/>
      <c r="I467" s="195"/>
      <c r="J467" s="195"/>
      <c r="K467" s="195"/>
      <c r="L467" s="195"/>
      <c r="M467" s="195"/>
      <c r="N467" s="195"/>
    </row>
    <row r="468" spans="1:14" x14ac:dyDescent="0.2">
      <c r="A468" s="195"/>
      <c r="B468" s="195"/>
      <c r="C468" s="195"/>
      <c r="D468" s="195"/>
      <c r="E468" s="195"/>
      <c r="F468" s="195"/>
      <c r="G468" s="195"/>
      <c r="H468" s="195"/>
      <c r="I468" s="195"/>
      <c r="J468" s="195"/>
      <c r="K468" s="195"/>
      <c r="L468" s="195"/>
      <c r="M468" s="195"/>
      <c r="N468" s="195"/>
    </row>
    <row r="469" spans="1:14" x14ac:dyDescent="0.2">
      <c r="A469" s="195"/>
      <c r="B469" s="195"/>
      <c r="C469" s="195"/>
      <c r="D469" s="195"/>
      <c r="E469" s="195"/>
      <c r="F469" s="195"/>
      <c r="G469" s="195"/>
      <c r="H469" s="195"/>
      <c r="I469" s="195"/>
      <c r="J469" s="195"/>
      <c r="K469" s="195"/>
      <c r="L469" s="195"/>
      <c r="M469" s="195"/>
      <c r="N469" s="195"/>
    </row>
    <row r="470" spans="1:14" x14ac:dyDescent="0.2">
      <c r="A470" s="195"/>
      <c r="B470" s="195"/>
      <c r="C470" s="195"/>
      <c r="D470" s="195"/>
      <c r="E470" s="195"/>
      <c r="F470" s="195"/>
      <c r="G470" s="195"/>
      <c r="H470" s="195"/>
      <c r="I470" s="195"/>
      <c r="J470" s="195"/>
      <c r="K470" s="195"/>
      <c r="L470" s="195"/>
      <c r="M470" s="195"/>
      <c r="N470" s="195"/>
    </row>
    <row r="471" spans="1:14" x14ac:dyDescent="0.2">
      <c r="A471" s="195"/>
      <c r="B471" s="195"/>
      <c r="C471" s="195"/>
      <c r="D471" s="195"/>
      <c r="E471" s="195"/>
      <c r="F471" s="195"/>
      <c r="G471" s="195"/>
      <c r="H471" s="195"/>
      <c r="I471" s="195"/>
      <c r="J471" s="195"/>
      <c r="K471" s="195"/>
      <c r="L471" s="195"/>
      <c r="M471" s="195"/>
      <c r="N471" s="195"/>
    </row>
    <row r="472" spans="1:14" x14ac:dyDescent="0.2">
      <c r="A472" s="195"/>
      <c r="B472" s="195"/>
      <c r="C472" s="195"/>
      <c r="D472" s="195"/>
      <c r="E472" s="195"/>
      <c r="F472" s="195"/>
      <c r="G472" s="219"/>
      <c r="H472" s="195"/>
      <c r="I472" s="195"/>
      <c r="J472" s="195"/>
      <c r="K472" s="195"/>
      <c r="L472" s="195"/>
      <c r="M472" s="195"/>
      <c r="N472" s="195"/>
    </row>
    <row r="473" spans="1:14" x14ac:dyDescent="0.2">
      <c r="A473" s="195"/>
      <c r="B473" s="195"/>
      <c r="C473" s="195"/>
      <c r="D473" s="195"/>
      <c r="E473" s="195"/>
      <c r="F473" s="195"/>
      <c r="G473" s="195"/>
      <c r="H473" s="195"/>
      <c r="I473" s="195"/>
      <c r="J473" s="195"/>
      <c r="K473" s="195"/>
      <c r="L473" s="195"/>
      <c r="M473" s="195"/>
      <c r="N473" s="195"/>
    </row>
    <row r="474" spans="1:14" x14ac:dyDescent="0.2">
      <c r="A474" s="195"/>
      <c r="B474" s="195"/>
      <c r="C474" s="195"/>
      <c r="D474" s="195"/>
      <c r="E474" s="195"/>
      <c r="F474" s="195"/>
      <c r="G474" s="195"/>
      <c r="H474" s="195"/>
      <c r="I474" s="195"/>
      <c r="J474" s="195"/>
      <c r="K474" s="195"/>
      <c r="L474" s="195"/>
      <c r="M474" s="195"/>
      <c r="N474" s="195"/>
    </row>
    <row r="475" spans="1:14" x14ac:dyDescent="0.2">
      <c r="A475" s="195"/>
      <c r="B475" s="195"/>
      <c r="C475" s="195"/>
      <c r="D475" s="195"/>
      <c r="E475" s="195"/>
      <c r="F475" s="195"/>
      <c r="G475" s="195"/>
      <c r="H475" s="195"/>
      <c r="I475" s="195"/>
      <c r="J475" s="195"/>
      <c r="K475" s="195"/>
      <c r="L475" s="195"/>
      <c r="M475" s="195"/>
      <c r="N475" s="195"/>
    </row>
    <row r="476" spans="1:14" x14ac:dyDescent="0.2">
      <c r="A476" s="195"/>
      <c r="B476" s="195"/>
      <c r="C476" s="195"/>
      <c r="D476" s="195"/>
      <c r="E476" s="195"/>
      <c r="F476" s="195"/>
      <c r="G476" s="195"/>
      <c r="H476" s="195"/>
      <c r="I476" s="195"/>
      <c r="J476" s="195"/>
      <c r="K476" s="195"/>
      <c r="L476" s="195"/>
      <c r="M476" s="195"/>
      <c r="N476" s="195"/>
    </row>
    <row r="477" spans="1:14" x14ac:dyDescent="0.2">
      <c r="A477" s="195"/>
      <c r="B477" s="195"/>
      <c r="C477" s="195"/>
      <c r="D477" s="195"/>
      <c r="E477" s="195"/>
      <c r="F477" s="195"/>
      <c r="G477" s="195"/>
      <c r="H477" s="195"/>
      <c r="I477" s="195"/>
      <c r="J477" s="195"/>
      <c r="K477" s="195"/>
      <c r="L477" s="195"/>
      <c r="M477" s="195"/>
      <c r="N477" s="195"/>
    </row>
    <row r="478" spans="1:14" x14ac:dyDescent="0.2">
      <c r="A478" s="195"/>
      <c r="B478" s="195"/>
      <c r="C478" s="195"/>
      <c r="D478" s="195"/>
      <c r="E478" s="195"/>
      <c r="F478" s="195"/>
      <c r="G478" s="195"/>
      <c r="H478" s="195"/>
      <c r="I478" s="195"/>
      <c r="J478" s="195"/>
      <c r="K478" s="195"/>
      <c r="L478" s="195"/>
      <c r="M478" s="195"/>
      <c r="N478" s="195"/>
    </row>
    <row r="479" spans="1:14" x14ac:dyDescent="0.2">
      <c r="A479" s="195"/>
      <c r="B479" s="195"/>
      <c r="C479" s="195"/>
      <c r="D479" s="195"/>
      <c r="E479" s="195"/>
      <c r="F479" s="195"/>
      <c r="G479" s="195"/>
      <c r="H479" s="195"/>
      <c r="I479" s="195"/>
      <c r="J479" s="195"/>
      <c r="K479" s="195"/>
      <c r="L479" s="195"/>
      <c r="M479" s="195"/>
      <c r="N479" s="195"/>
    </row>
    <row r="480" spans="1:14" x14ac:dyDescent="0.2">
      <c r="A480" s="195"/>
      <c r="B480" s="195"/>
      <c r="C480" s="195"/>
      <c r="D480" s="195"/>
      <c r="E480" s="195"/>
      <c r="F480" s="195"/>
      <c r="G480" s="195"/>
      <c r="H480" s="195"/>
      <c r="I480" s="195"/>
      <c r="J480" s="195"/>
      <c r="K480" s="195"/>
      <c r="L480" s="195"/>
      <c r="M480" s="195"/>
      <c r="N480" s="195"/>
    </row>
    <row r="481" spans="1:14" x14ac:dyDescent="0.2">
      <c r="A481" s="195"/>
      <c r="B481" s="195"/>
      <c r="C481" s="195"/>
      <c r="D481" s="195"/>
      <c r="E481" s="195"/>
      <c r="F481" s="195"/>
      <c r="G481" s="195"/>
      <c r="H481" s="195"/>
      <c r="I481" s="195"/>
      <c r="J481" s="195"/>
      <c r="K481" s="195"/>
      <c r="L481" s="195"/>
      <c r="M481" s="195"/>
      <c r="N481" s="195"/>
    </row>
    <row r="482" spans="1:14" x14ac:dyDescent="0.2">
      <c r="A482" s="195"/>
      <c r="B482" s="195"/>
      <c r="C482" s="195"/>
      <c r="D482" s="195"/>
      <c r="E482" s="195"/>
      <c r="F482" s="195"/>
      <c r="G482" s="219"/>
      <c r="H482" s="195"/>
      <c r="I482" s="195"/>
      <c r="J482" s="195"/>
      <c r="K482" s="195"/>
      <c r="L482" s="195"/>
      <c r="M482" s="195"/>
      <c r="N482" s="195"/>
    </row>
    <row r="483" spans="1:14" x14ac:dyDescent="0.2">
      <c r="A483" s="195"/>
      <c r="B483" s="195"/>
      <c r="C483" s="195"/>
      <c r="D483" s="195"/>
      <c r="E483" s="195"/>
      <c r="F483" s="195"/>
      <c r="G483" s="195"/>
      <c r="H483" s="195"/>
      <c r="I483" s="195"/>
      <c r="J483" s="195"/>
      <c r="K483" s="195"/>
      <c r="L483" s="195"/>
      <c r="M483" s="195"/>
      <c r="N483" s="195"/>
    </row>
    <row r="484" spans="1:14" x14ac:dyDescent="0.2">
      <c r="A484" s="195"/>
      <c r="B484" s="195"/>
      <c r="C484" s="195"/>
      <c r="D484" s="195"/>
      <c r="E484" s="195"/>
      <c r="F484" s="195"/>
      <c r="G484" s="195"/>
      <c r="H484" s="195"/>
      <c r="I484" s="195"/>
      <c r="J484" s="195"/>
      <c r="K484" s="195"/>
      <c r="L484" s="195"/>
      <c r="M484" s="195"/>
      <c r="N484" s="195"/>
    </row>
    <row r="485" spans="1:14" x14ac:dyDescent="0.2">
      <c r="A485" s="195"/>
      <c r="B485" s="195"/>
      <c r="C485" s="195"/>
      <c r="D485" s="195"/>
      <c r="E485" s="195"/>
      <c r="F485" s="195"/>
      <c r="G485" s="219"/>
      <c r="H485" s="195"/>
      <c r="I485" s="195"/>
      <c r="J485" s="195"/>
      <c r="K485" s="195"/>
      <c r="L485" s="195"/>
      <c r="M485" s="195"/>
      <c r="N485" s="195"/>
    </row>
    <row r="486" spans="1:14" x14ac:dyDescent="0.2">
      <c r="A486" s="195"/>
      <c r="B486" s="195"/>
      <c r="C486" s="195"/>
      <c r="D486" s="195"/>
      <c r="E486" s="195"/>
      <c r="F486" s="195"/>
      <c r="G486" s="195"/>
      <c r="H486" s="195"/>
      <c r="I486" s="195"/>
      <c r="J486" s="195"/>
      <c r="K486" s="195"/>
      <c r="L486" s="195"/>
      <c r="M486" s="195"/>
      <c r="N486" s="195"/>
    </row>
    <row r="487" spans="1:14" x14ac:dyDescent="0.2">
      <c r="A487" s="195"/>
      <c r="B487" s="195"/>
      <c r="C487" s="195"/>
      <c r="D487" s="195"/>
      <c r="E487" s="195"/>
      <c r="F487" s="195"/>
      <c r="G487" s="195"/>
      <c r="H487" s="195"/>
      <c r="I487" s="195"/>
      <c r="J487" s="195"/>
      <c r="K487" s="195"/>
      <c r="L487" s="195"/>
      <c r="M487" s="195"/>
      <c r="N487" s="195"/>
    </row>
    <row r="488" spans="1:14" x14ac:dyDescent="0.2">
      <c r="A488" s="195"/>
      <c r="B488" s="195"/>
      <c r="C488" s="195"/>
      <c r="D488" s="195"/>
      <c r="E488" s="195"/>
      <c r="F488" s="195"/>
      <c r="G488" s="195"/>
      <c r="H488" s="195"/>
      <c r="I488" s="195"/>
      <c r="J488" s="195"/>
      <c r="K488" s="195"/>
      <c r="L488" s="195"/>
      <c r="M488" s="195"/>
      <c r="N488" s="195"/>
    </row>
    <row r="489" spans="1:14" x14ac:dyDescent="0.2">
      <c r="A489" s="195"/>
      <c r="B489" s="195"/>
      <c r="C489" s="195"/>
      <c r="D489" s="195"/>
      <c r="E489" s="195"/>
      <c r="F489" s="195"/>
      <c r="G489" s="195"/>
      <c r="H489" s="195"/>
      <c r="I489" s="195"/>
      <c r="J489" s="195"/>
      <c r="K489" s="195"/>
      <c r="L489" s="195"/>
      <c r="M489" s="195"/>
      <c r="N489" s="195"/>
    </row>
    <row r="490" spans="1:14" x14ac:dyDescent="0.2">
      <c r="A490" s="195"/>
      <c r="B490" s="195"/>
      <c r="C490" s="195"/>
      <c r="D490" s="195"/>
      <c r="E490" s="195"/>
      <c r="F490" s="195"/>
      <c r="G490" s="195"/>
      <c r="H490" s="195"/>
      <c r="I490" s="195"/>
      <c r="J490" s="195"/>
      <c r="K490" s="195"/>
      <c r="L490" s="195"/>
      <c r="M490" s="195"/>
      <c r="N490" s="195"/>
    </row>
    <row r="491" spans="1:14" x14ac:dyDescent="0.2">
      <c r="A491" s="195"/>
      <c r="B491" s="195"/>
      <c r="C491" s="195"/>
      <c r="D491" s="195"/>
      <c r="E491" s="195"/>
      <c r="F491" s="195"/>
      <c r="G491" s="195"/>
      <c r="H491" s="195"/>
      <c r="I491" s="195"/>
      <c r="J491" s="195"/>
      <c r="K491" s="195"/>
      <c r="L491" s="195"/>
      <c r="M491" s="195"/>
      <c r="N491" s="195"/>
    </row>
    <row r="492" spans="1:14" x14ac:dyDescent="0.2">
      <c r="A492" s="195"/>
      <c r="B492" s="195"/>
      <c r="C492" s="195"/>
      <c r="D492" s="195"/>
      <c r="E492" s="195"/>
      <c r="F492" s="195"/>
      <c r="G492" s="195"/>
      <c r="H492" s="195"/>
      <c r="I492" s="195"/>
      <c r="J492" s="195"/>
      <c r="K492" s="195"/>
      <c r="L492" s="195"/>
      <c r="M492" s="195"/>
      <c r="N492" s="195"/>
    </row>
    <row r="493" spans="1:14" x14ac:dyDescent="0.2">
      <c r="A493" s="707"/>
      <c r="B493" s="707"/>
      <c r="C493" s="707"/>
      <c r="D493" s="707"/>
      <c r="E493" s="707"/>
      <c r="F493" s="707"/>
      <c r="G493" s="707"/>
      <c r="H493" s="707"/>
      <c r="I493" s="707"/>
      <c r="J493" s="707"/>
      <c r="K493" s="707"/>
      <c r="L493" s="707"/>
      <c r="M493" s="707"/>
      <c r="N493" s="707"/>
    </row>
    <row r="494" spans="1:14" x14ac:dyDescent="0.2">
      <c r="A494" s="707"/>
      <c r="B494" s="707"/>
      <c r="C494" s="707"/>
      <c r="D494" s="707"/>
      <c r="E494" s="707"/>
      <c r="F494" s="707"/>
      <c r="G494" s="707"/>
      <c r="H494" s="707"/>
      <c r="I494" s="707"/>
      <c r="J494" s="707"/>
      <c r="K494" s="707"/>
      <c r="L494" s="707"/>
      <c r="M494" s="707"/>
      <c r="N494" s="707"/>
    </row>
    <row r="495" spans="1:14" x14ac:dyDescent="0.2">
      <c r="A495" s="703"/>
      <c r="B495" s="703"/>
      <c r="C495" s="704"/>
      <c r="D495" s="704"/>
      <c r="E495" s="707"/>
      <c r="F495" s="705"/>
      <c r="G495" s="703"/>
      <c r="H495" s="703"/>
      <c r="I495" s="703"/>
      <c r="J495" s="703"/>
      <c r="K495" s="703"/>
      <c r="L495" s="704"/>
      <c r="M495" s="704"/>
      <c r="N495" s="703"/>
    </row>
    <row r="496" spans="1:14" x14ac:dyDescent="0.2">
      <c r="A496" s="703"/>
      <c r="B496" s="703"/>
      <c r="C496" s="704"/>
      <c r="D496" s="704"/>
      <c r="E496" s="707"/>
      <c r="F496" s="708"/>
      <c r="G496" s="703"/>
      <c r="H496" s="703"/>
      <c r="I496" s="703"/>
      <c r="J496" s="703"/>
      <c r="K496" s="703"/>
      <c r="L496" s="704"/>
      <c r="M496" s="704"/>
      <c r="N496" s="703"/>
    </row>
    <row r="497" spans="1:14" x14ac:dyDescent="0.2">
      <c r="A497" s="195"/>
      <c r="B497" s="195"/>
      <c r="C497" s="195"/>
      <c r="D497" s="195"/>
      <c r="E497" s="195"/>
      <c r="F497" s="195"/>
      <c r="G497" s="195"/>
      <c r="H497" s="195"/>
      <c r="I497" s="195"/>
      <c r="J497" s="195"/>
      <c r="K497" s="195"/>
      <c r="L497" s="195"/>
      <c r="M497" s="195"/>
      <c r="N497" s="195"/>
    </row>
    <row r="498" spans="1:14" x14ac:dyDescent="0.2">
      <c r="A498" s="195"/>
      <c r="B498" s="195"/>
      <c r="C498" s="195"/>
      <c r="D498" s="195"/>
      <c r="E498" s="195"/>
      <c r="F498" s="195"/>
      <c r="G498" s="195"/>
      <c r="H498" s="195"/>
      <c r="I498" s="195"/>
      <c r="J498" s="195"/>
      <c r="K498" s="195"/>
      <c r="L498" s="195"/>
      <c r="M498" s="195"/>
      <c r="N498" s="195"/>
    </row>
    <row r="499" spans="1:14" x14ac:dyDescent="0.2">
      <c r="A499" s="195"/>
      <c r="B499" s="195"/>
      <c r="C499" s="195"/>
      <c r="D499" s="195"/>
      <c r="E499" s="195"/>
      <c r="F499" s="195"/>
      <c r="G499" s="195"/>
      <c r="H499" s="195"/>
      <c r="I499" s="195"/>
      <c r="J499" s="195"/>
      <c r="K499" s="195"/>
      <c r="L499" s="195"/>
      <c r="M499" s="195"/>
      <c r="N499" s="195"/>
    </row>
    <row r="500" spans="1:14" x14ac:dyDescent="0.2">
      <c r="A500" s="195"/>
      <c r="B500" s="195"/>
      <c r="C500" s="195"/>
      <c r="D500" s="195"/>
      <c r="E500" s="195"/>
      <c r="F500" s="195"/>
      <c r="G500" s="195"/>
      <c r="H500" s="195"/>
      <c r="I500" s="195"/>
      <c r="J500" s="195"/>
      <c r="K500" s="195"/>
      <c r="L500" s="195"/>
      <c r="M500" s="195"/>
      <c r="N500" s="195"/>
    </row>
    <row r="501" spans="1:14" x14ac:dyDescent="0.2">
      <c r="A501" s="195"/>
      <c r="B501" s="195"/>
      <c r="C501" s="195"/>
      <c r="D501" s="195"/>
      <c r="E501" s="195"/>
      <c r="F501" s="195"/>
      <c r="G501" s="195"/>
      <c r="H501" s="195"/>
      <c r="I501" s="195"/>
      <c r="J501" s="195"/>
      <c r="K501" s="195"/>
      <c r="L501" s="195"/>
      <c r="M501" s="195"/>
      <c r="N501" s="195"/>
    </row>
    <row r="502" spans="1:14" x14ac:dyDescent="0.2">
      <c r="A502" s="195"/>
      <c r="B502" s="195"/>
      <c r="C502" s="195"/>
      <c r="D502" s="195"/>
      <c r="E502" s="195"/>
      <c r="F502" s="195"/>
      <c r="G502" s="195"/>
      <c r="H502" s="195"/>
      <c r="I502" s="195"/>
      <c r="J502" s="195"/>
      <c r="K502" s="195"/>
      <c r="L502" s="195"/>
      <c r="M502" s="195"/>
      <c r="N502" s="195"/>
    </row>
    <row r="503" spans="1:14" x14ac:dyDescent="0.2">
      <c r="A503" s="195"/>
      <c r="B503" s="195"/>
      <c r="C503" s="195"/>
      <c r="D503" s="195"/>
      <c r="E503" s="195"/>
      <c r="F503" s="195"/>
      <c r="G503" s="195"/>
      <c r="H503" s="195"/>
      <c r="I503" s="195"/>
      <c r="J503" s="195"/>
      <c r="K503" s="195"/>
      <c r="L503" s="195"/>
      <c r="M503" s="195"/>
      <c r="N503" s="195"/>
    </row>
    <row r="504" spans="1:14" x14ac:dyDescent="0.2">
      <c r="A504" s="195"/>
      <c r="B504" s="195"/>
      <c r="C504" s="195"/>
      <c r="D504" s="195"/>
      <c r="E504" s="195"/>
      <c r="F504" s="195"/>
      <c r="G504" s="195"/>
      <c r="H504" s="195"/>
      <c r="I504" s="195"/>
      <c r="J504" s="195"/>
      <c r="K504" s="195"/>
      <c r="L504" s="195"/>
      <c r="M504" s="195"/>
      <c r="N504" s="195"/>
    </row>
    <row r="505" spans="1:14" x14ac:dyDescent="0.2">
      <c r="A505" s="195"/>
      <c r="B505" s="195"/>
      <c r="C505" s="195"/>
      <c r="D505" s="195"/>
      <c r="E505" s="195"/>
      <c r="F505" s="195"/>
      <c r="G505" s="195"/>
      <c r="H505" s="195"/>
      <c r="I505" s="195"/>
      <c r="J505" s="195"/>
      <c r="K505" s="195"/>
      <c r="L505" s="195"/>
      <c r="M505" s="195"/>
      <c r="N505" s="195"/>
    </row>
    <row r="506" spans="1:14" x14ac:dyDescent="0.2">
      <c r="A506" s="195"/>
      <c r="B506" s="195"/>
      <c r="C506" s="195"/>
      <c r="D506" s="195"/>
      <c r="E506" s="195"/>
      <c r="F506" s="195"/>
      <c r="G506" s="195"/>
      <c r="H506" s="195"/>
      <c r="I506" s="195"/>
      <c r="J506" s="195"/>
      <c r="K506" s="195"/>
      <c r="L506" s="195"/>
      <c r="M506" s="195"/>
      <c r="N506" s="195"/>
    </row>
    <row r="507" spans="1:14" x14ac:dyDescent="0.2">
      <c r="A507" s="195"/>
      <c r="B507" s="195"/>
      <c r="C507" s="195"/>
      <c r="D507" s="195"/>
      <c r="E507" s="195"/>
      <c r="F507" s="195"/>
      <c r="G507" s="195"/>
      <c r="H507" s="195"/>
      <c r="I507" s="195"/>
      <c r="J507" s="195"/>
      <c r="K507" s="195"/>
      <c r="L507" s="195"/>
      <c r="M507" s="195"/>
      <c r="N507" s="195"/>
    </row>
    <row r="508" spans="1:14" x14ac:dyDescent="0.2">
      <c r="A508" s="195"/>
      <c r="B508" s="195"/>
      <c r="C508" s="195"/>
      <c r="D508" s="195"/>
      <c r="E508" s="195"/>
      <c r="F508" s="195"/>
      <c r="G508" s="195"/>
      <c r="H508" s="195"/>
      <c r="I508" s="195"/>
      <c r="J508" s="195"/>
      <c r="K508" s="195"/>
      <c r="L508" s="195"/>
      <c r="M508" s="195"/>
      <c r="N508" s="195"/>
    </row>
    <row r="509" spans="1:14" x14ac:dyDescent="0.2">
      <c r="A509" s="195"/>
      <c r="B509" s="195"/>
      <c r="C509" s="195"/>
      <c r="D509" s="195"/>
      <c r="E509" s="195"/>
      <c r="F509" s="195"/>
      <c r="G509" s="195"/>
      <c r="H509" s="195"/>
      <c r="I509" s="195"/>
      <c r="J509" s="195"/>
      <c r="K509" s="195"/>
      <c r="L509" s="195"/>
      <c r="M509" s="195"/>
      <c r="N509" s="195"/>
    </row>
    <row r="510" spans="1:14" x14ac:dyDescent="0.2">
      <c r="A510" s="195"/>
      <c r="B510" s="195"/>
      <c r="C510" s="195"/>
      <c r="D510" s="195"/>
      <c r="E510" s="195"/>
      <c r="F510" s="195"/>
      <c r="G510" s="195"/>
      <c r="H510" s="195"/>
      <c r="I510" s="195"/>
      <c r="J510" s="195"/>
      <c r="K510" s="195"/>
      <c r="L510" s="195"/>
      <c r="M510" s="195"/>
      <c r="N510" s="195"/>
    </row>
    <row r="511" spans="1:14" x14ac:dyDescent="0.2">
      <c r="A511" s="195"/>
      <c r="B511" s="195"/>
      <c r="C511" s="195"/>
      <c r="D511" s="195"/>
      <c r="E511" s="195"/>
      <c r="F511" s="195"/>
      <c r="G511" s="195"/>
      <c r="H511" s="195"/>
      <c r="I511" s="195"/>
      <c r="J511" s="195"/>
      <c r="K511" s="195"/>
      <c r="L511" s="195"/>
      <c r="M511" s="195"/>
      <c r="N511" s="195"/>
    </row>
    <row r="512" spans="1:14" x14ac:dyDescent="0.2">
      <c r="A512" s="195"/>
      <c r="B512" s="195"/>
      <c r="C512" s="195"/>
      <c r="D512" s="195"/>
      <c r="E512" s="195"/>
      <c r="F512" s="195"/>
      <c r="G512" s="195"/>
      <c r="H512" s="195"/>
      <c r="I512" s="195"/>
      <c r="J512" s="195"/>
      <c r="K512" s="195"/>
      <c r="L512" s="195"/>
      <c r="M512" s="195"/>
      <c r="N512" s="195"/>
    </row>
    <row r="513" spans="1:14" x14ac:dyDescent="0.2">
      <c r="A513" s="195"/>
      <c r="B513" s="195"/>
      <c r="C513" s="195"/>
      <c r="D513" s="195"/>
      <c r="E513" s="195"/>
      <c r="F513" s="195"/>
      <c r="G513" s="195"/>
      <c r="H513" s="195"/>
      <c r="I513" s="195"/>
      <c r="J513" s="195"/>
      <c r="K513" s="195"/>
      <c r="L513" s="195"/>
      <c r="M513" s="195"/>
      <c r="N513" s="195"/>
    </row>
    <row r="514" spans="1:14" x14ac:dyDescent="0.2">
      <c r="A514" s="195"/>
      <c r="B514" s="195"/>
      <c r="C514" s="195"/>
      <c r="D514" s="195"/>
      <c r="E514" s="195"/>
      <c r="F514" s="195"/>
      <c r="G514" s="195"/>
      <c r="H514" s="195"/>
      <c r="I514" s="195"/>
      <c r="J514" s="195"/>
      <c r="K514" s="195"/>
      <c r="L514" s="195"/>
      <c r="M514" s="195"/>
      <c r="N514" s="195"/>
    </row>
    <row r="515" spans="1:14" x14ac:dyDescent="0.2">
      <c r="A515" s="195"/>
      <c r="B515" s="195"/>
      <c r="C515" s="195"/>
      <c r="D515" s="195"/>
      <c r="E515" s="195"/>
      <c r="F515" s="195"/>
      <c r="G515" s="195"/>
      <c r="H515" s="195"/>
      <c r="I515" s="195"/>
      <c r="J515" s="195"/>
      <c r="K515" s="195"/>
      <c r="L515" s="195"/>
      <c r="M515" s="195"/>
      <c r="N515" s="195"/>
    </row>
    <row r="516" spans="1:14" x14ac:dyDescent="0.2">
      <c r="A516" s="195"/>
      <c r="B516" s="195"/>
      <c r="C516" s="195"/>
      <c r="D516" s="195"/>
      <c r="E516" s="195"/>
      <c r="F516" s="195"/>
      <c r="G516" s="195"/>
      <c r="H516" s="195"/>
      <c r="I516" s="195"/>
      <c r="J516" s="195"/>
      <c r="K516" s="195"/>
      <c r="L516" s="195"/>
      <c r="M516" s="195"/>
      <c r="N516" s="195"/>
    </row>
    <row r="517" spans="1:14" x14ac:dyDescent="0.2">
      <c r="A517" s="195"/>
      <c r="B517" s="195"/>
      <c r="C517" s="195"/>
      <c r="D517" s="195"/>
      <c r="E517" s="195"/>
      <c r="F517" s="195"/>
      <c r="G517" s="195"/>
      <c r="H517" s="195"/>
      <c r="I517" s="195"/>
      <c r="J517" s="195"/>
      <c r="K517" s="195"/>
      <c r="L517" s="195"/>
      <c r="M517" s="195"/>
      <c r="N517" s="195"/>
    </row>
    <row r="518" spans="1:14" x14ac:dyDescent="0.2">
      <c r="A518" s="195"/>
      <c r="B518" s="195"/>
      <c r="C518" s="195"/>
      <c r="D518" s="195"/>
      <c r="E518" s="195"/>
      <c r="F518" s="195"/>
      <c r="G518" s="195"/>
      <c r="H518" s="195"/>
      <c r="I518" s="195"/>
      <c r="J518" s="195"/>
      <c r="K518" s="195"/>
      <c r="L518" s="195"/>
      <c r="M518" s="195"/>
      <c r="N518" s="195"/>
    </row>
    <row r="519" spans="1:14" x14ac:dyDescent="0.2">
      <c r="A519" s="195"/>
      <c r="B519" s="195"/>
      <c r="C519" s="195"/>
      <c r="D519" s="195"/>
      <c r="E519" s="195"/>
      <c r="F519" s="195"/>
      <c r="G519" s="195"/>
      <c r="H519" s="195"/>
      <c r="I519" s="195"/>
      <c r="J519" s="195"/>
      <c r="K519" s="195"/>
      <c r="L519" s="195"/>
      <c r="M519" s="195"/>
      <c r="N519" s="195"/>
    </row>
    <row r="520" spans="1:14" x14ac:dyDescent="0.2">
      <c r="A520" s="195"/>
      <c r="B520" s="195"/>
      <c r="C520" s="195"/>
      <c r="D520" s="195"/>
      <c r="E520" s="195"/>
      <c r="F520" s="195"/>
      <c r="G520" s="195"/>
      <c r="H520" s="195"/>
      <c r="I520" s="195"/>
      <c r="J520" s="195"/>
      <c r="K520" s="195"/>
      <c r="L520" s="195"/>
      <c r="M520" s="195"/>
      <c r="N520" s="195"/>
    </row>
    <row r="521" spans="1:14" x14ac:dyDescent="0.2">
      <c r="A521" s="195"/>
      <c r="B521" s="195"/>
      <c r="C521" s="195"/>
      <c r="D521" s="195"/>
      <c r="E521" s="195"/>
      <c r="F521" s="195"/>
      <c r="G521" s="195"/>
      <c r="H521" s="195"/>
      <c r="I521" s="195"/>
      <c r="J521" s="195"/>
      <c r="K521" s="195"/>
      <c r="L521" s="195"/>
      <c r="M521" s="195"/>
      <c r="N521" s="195"/>
    </row>
    <row r="522" spans="1:14" x14ac:dyDescent="0.2">
      <c r="A522" s="195"/>
      <c r="B522" s="195"/>
      <c r="C522" s="195"/>
      <c r="D522" s="195"/>
      <c r="E522" s="195"/>
      <c r="F522" s="195"/>
      <c r="G522" s="195"/>
      <c r="H522" s="195"/>
      <c r="I522" s="195"/>
      <c r="J522" s="195"/>
      <c r="K522" s="195"/>
      <c r="L522" s="195"/>
      <c r="M522" s="195"/>
      <c r="N522" s="195"/>
    </row>
    <row r="523" spans="1:14" x14ac:dyDescent="0.2">
      <c r="A523" s="195"/>
      <c r="B523" s="195"/>
      <c r="C523" s="195"/>
      <c r="D523" s="195"/>
      <c r="E523" s="195"/>
      <c r="F523" s="195"/>
      <c r="G523" s="195"/>
      <c r="H523" s="195"/>
      <c r="I523" s="195"/>
      <c r="J523" s="195"/>
      <c r="K523" s="195"/>
      <c r="L523" s="195"/>
      <c r="M523" s="195"/>
      <c r="N523" s="195"/>
    </row>
    <row r="524" spans="1:14" x14ac:dyDescent="0.2">
      <c r="A524" s="195"/>
      <c r="B524" s="195"/>
      <c r="C524" s="195"/>
      <c r="D524" s="195"/>
      <c r="E524" s="195"/>
      <c r="F524" s="195"/>
      <c r="G524" s="195"/>
      <c r="H524" s="195"/>
      <c r="I524" s="195"/>
      <c r="J524" s="195"/>
      <c r="K524" s="195"/>
      <c r="L524" s="195"/>
      <c r="M524" s="195"/>
      <c r="N524" s="195"/>
    </row>
    <row r="525" spans="1:14" x14ac:dyDescent="0.2">
      <c r="A525" s="195"/>
      <c r="B525" s="195"/>
      <c r="C525" s="195"/>
      <c r="D525" s="195"/>
      <c r="E525" s="195"/>
      <c r="F525" s="195"/>
      <c r="G525" s="195"/>
      <c r="H525" s="195"/>
      <c r="I525" s="195"/>
      <c r="J525" s="195"/>
      <c r="K525" s="195"/>
      <c r="L525" s="195"/>
      <c r="M525" s="195"/>
      <c r="N525" s="195"/>
    </row>
    <row r="526" spans="1:14" x14ac:dyDescent="0.2">
      <c r="A526" s="195"/>
      <c r="B526" s="195"/>
      <c r="C526" s="195"/>
      <c r="D526" s="195"/>
      <c r="E526" s="195"/>
      <c r="F526" s="195"/>
      <c r="G526" s="195"/>
      <c r="H526" s="195"/>
      <c r="I526" s="195"/>
      <c r="J526" s="195"/>
      <c r="K526" s="195"/>
      <c r="L526" s="195"/>
      <c r="M526" s="195"/>
      <c r="N526" s="195"/>
    </row>
    <row r="527" spans="1:14" x14ac:dyDescent="0.2">
      <c r="A527" s="707"/>
      <c r="B527" s="707"/>
      <c r="C527" s="707"/>
      <c r="D527" s="707"/>
      <c r="E527" s="707"/>
      <c r="F527" s="707"/>
      <c r="G527" s="707"/>
      <c r="H527" s="707"/>
      <c r="I527" s="707"/>
      <c r="J527" s="707"/>
      <c r="K527" s="707"/>
      <c r="L527" s="707"/>
      <c r="M527" s="707"/>
      <c r="N527" s="707"/>
    </row>
    <row r="528" spans="1:14" x14ac:dyDescent="0.2">
      <c r="A528" s="707"/>
      <c r="B528" s="707"/>
      <c r="C528" s="707"/>
      <c r="D528" s="707"/>
      <c r="E528" s="707"/>
      <c r="F528" s="707"/>
      <c r="G528" s="707"/>
      <c r="H528" s="707"/>
      <c r="I528" s="707"/>
      <c r="J528" s="707"/>
      <c r="K528" s="707"/>
      <c r="L528" s="707"/>
      <c r="M528" s="707"/>
      <c r="N528" s="707"/>
    </row>
    <row r="529" spans="1:14" x14ac:dyDescent="0.2">
      <c r="A529" s="703"/>
      <c r="B529" s="703"/>
      <c r="C529" s="704"/>
      <c r="D529" s="704"/>
      <c r="E529" s="707"/>
      <c r="F529" s="705"/>
      <c r="G529" s="703"/>
      <c r="H529" s="703"/>
      <c r="I529" s="703"/>
      <c r="J529" s="703"/>
      <c r="K529" s="703"/>
      <c r="L529" s="704"/>
      <c r="M529" s="704"/>
      <c r="N529" s="703"/>
    </row>
    <row r="530" spans="1:14" x14ac:dyDescent="0.2">
      <c r="A530" s="703"/>
      <c r="B530" s="703"/>
      <c r="C530" s="704"/>
      <c r="D530" s="704"/>
      <c r="E530" s="707"/>
      <c r="F530" s="708"/>
      <c r="G530" s="703"/>
      <c r="H530" s="703"/>
      <c r="I530" s="703"/>
      <c r="J530" s="703"/>
      <c r="K530" s="703"/>
      <c r="L530" s="704"/>
      <c r="M530" s="704"/>
      <c r="N530" s="703"/>
    </row>
    <row r="531" spans="1:14" x14ac:dyDescent="0.2">
      <c r="A531" s="195"/>
      <c r="B531" s="195"/>
      <c r="C531" s="195"/>
      <c r="D531" s="195"/>
      <c r="E531" s="195"/>
      <c r="F531" s="195"/>
      <c r="G531" s="195"/>
      <c r="H531" s="195"/>
      <c r="I531" s="195"/>
      <c r="J531" s="195"/>
      <c r="K531" s="195"/>
      <c r="L531" s="195"/>
      <c r="M531" s="195"/>
      <c r="N531" s="195"/>
    </row>
    <row r="532" spans="1:14" x14ac:dyDescent="0.2">
      <c r="A532" s="195"/>
      <c r="B532" s="195"/>
      <c r="C532" s="195"/>
      <c r="D532" s="195"/>
      <c r="E532" s="195"/>
      <c r="F532" s="195"/>
      <c r="G532" s="195"/>
      <c r="H532" s="195"/>
      <c r="I532" s="195"/>
      <c r="J532" s="195"/>
      <c r="K532" s="195"/>
      <c r="L532" s="195"/>
      <c r="M532" s="195"/>
      <c r="N532" s="195"/>
    </row>
    <row r="533" spans="1:14" x14ac:dyDescent="0.2">
      <c r="A533" s="195"/>
      <c r="B533" s="195"/>
      <c r="C533" s="195"/>
      <c r="D533" s="195"/>
      <c r="E533" s="195"/>
      <c r="F533" s="195"/>
      <c r="G533" s="195"/>
      <c r="H533" s="195"/>
      <c r="I533" s="195"/>
      <c r="J533" s="195"/>
      <c r="K533" s="195"/>
      <c r="L533" s="195"/>
      <c r="M533" s="195"/>
      <c r="N533" s="195"/>
    </row>
    <row r="534" spans="1:14" x14ac:dyDescent="0.2">
      <c r="A534" s="195"/>
      <c r="B534" s="195"/>
      <c r="C534" s="195"/>
      <c r="D534" s="195"/>
      <c r="E534" s="195"/>
      <c r="F534" s="195"/>
      <c r="G534" s="195"/>
      <c r="H534" s="195"/>
      <c r="I534" s="195"/>
      <c r="J534" s="195"/>
      <c r="K534" s="195"/>
      <c r="L534" s="195"/>
      <c r="M534" s="195"/>
      <c r="N534" s="195"/>
    </row>
    <row r="535" spans="1:14" x14ac:dyDescent="0.2">
      <c r="A535" s="195"/>
      <c r="B535" s="195"/>
      <c r="C535" s="195"/>
      <c r="D535" s="195"/>
      <c r="E535" s="195"/>
      <c r="F535" s="195"/>
      <c r="G535" s="195"/>
      <c r="H535" s="195"/>
      <c r="I535" s="195"/>
      <c r="J535" s="195"/>
      <c r="K535" s="195"/>
      <c r="L535" s="195"/>
      <c r="M535" s="195"/>
      <c r="N535" s="195"/>
    </row>
    <row r="536" spans="1:14" x14ac:dyDescent="0.2">
      <c r="A536" s="195"/>
      <c r="B536" s="195"/>
      <c r="C536" s="195"/>
      <c r="D536" s="195"/>
      <c r="E536" s="195"/>
      <c r="F536" s="195"/>
      <c r="G536" s="195"/>
      <c r="H536" s="195"/>
      <c r="I536" s="195"/>
      <c r="J536" s="195"/>
      <c r="K536" s="195"/>
      <c r="L536" s="195"/>
      <c r="M536" s="195"/>
      <c r="N536" s="195"/>
    </row>
    <row r="537" spans="1:14" x14ac:dyDescent="0.2">
      <c r="A537" s="195"/>
      <c r="B537" s="195"/>
      <c r="C537" s="195"/>
      <c r="D537" s="195"/>
      <c r="E537" s="195"/>
      <c r="F537" s="195"/>
      <c r="G537" s="195"/>
      <c r="H537" s="195"/>
      <c r="I537" s="195"/>
      <c r="J537" s="195"/>
      <c r="K537" s="195"/>
      <c r="L537" s="195"/>
      <c r="M537" s="195"/>
      <c r="N537" s="195"/>
    </row>
    <row r="538" spans="1:14" x14ac:dyDescent="0.2">
      <c r="A538" s="195"/>
      <c r="B538" s="195"/>
      <c r="C538" s="195"/>
      <c r="D538" s="195"/>
      <c r="E538" s="195"/>
      <c r="F538" s="195"/>
      <c r="G538" s="195"/>
      <c r="H538" s="195"/>
      <c r="I538" s="195"/>
      <c r="J538" s="195"/>
      <c r="K538" s="195"/>
      <c r="L538" s="195"/>
      <c r="M538" s="195"/>
      <c r="N538" s="195"/>
    </row>
    <row r="539" spans="1:14" x14ac:dyDescent="0.2">
      <c r="A539" s="195"/>
      <c r="B539" s="195"/>
      <c r="C539" s="195"/>
      <c r="D539" s="195"/>
      <c r="E539" s="195"/>
      <c r="F539" s="195"/>
      <c r="G539" s="195"/>
      <c r="H539" s="195"/>
      <c r="I539" s="195"/>
      <c r="J539" s="195"/>
      <c r="K539" s="195"/>
      <c r="L539" s="195"/>
      <c r="M539" s="195"/>
      <c r="N539" s="195"/>
    </row>
    <row r="540" spans="1:14" x14ac:dyDescent="0.2">
      <c r="A540" s="195"/>
      <c r="B540" s="195"/>
      <c r="C540" s="195"/>
      <c r="D540" s="195"/>
      <c r="E540" s="195"/>
      <c r="F540" s="195"/>
      <c r="G540" s="195"/>
      <c r="H540" s="195"/>
      <c r="I540" s="195"/>
      <c r="J540" s="195"/>
      <c r="K540" s="195"/>
      <c r="L540" s="195"/>
      <c r="M540" s="195"/>
      <c r="N540" s="195"/>
    </row>
    <row r="541" spans="1:14" x14ac:dyDescent="0.2">
      <c r="A541" s="195"/>
      <c r="B541" s="195"/>
      <c r="C541" s="195"/>
      <c r="D541" s="195"/>
      <c r="E541" s="195"/>
      <c r="F541" s="195"/>
      <c r="G541" s="195"/>
      <c r="H541" s="195"/>
      <c r="I541" s="195"/>
      <c r="J541" s="195"/>
      <c r="K541" s="195"/>
      <c r="L541" s="195"/>
      <c r="M541" s="195"/>
      <c r="N541" s="195"/>
    </row>
    <row r="542" spans="1:14" x14ac:dyDescent="0.2">
      <c r="A542" s="195"/>
      <c r="B542" s="195"/>
      <c r="C542" s="195"/>
      <c r="D542" s="195"/>
      <c r="E542" s="195"/>
      <c r="F542" s="195"/>
      <c r="G542" s="195"/>
      <c r="H542" s="195"/>
      <c r="I542" s="195"/>
      <c r="J542" s="195"/>
      <c r="K542" s="195"/>
      <c r="L542" s="195"/>
      <c r="M542" s="195"/>
      <c r="N542" s="195"/>
    </row>
    <row r="543" spans="1:14" x14ac:dyDescent="0.2">
      <c r="A543" s="195"/>
      <c r="B543" s="195"/>
      <c r="C543" s="195"/>
      <c r="D543" s="195"/>
      <c r="E543" s="195"/>
      <c r="F543" s="195"/>
      <c r="G543" s="195"/>
      <c r="H543" s="195"/>
      <c r="I543" s="195"/>
      <c r="J543" s="195"/>
      <c r="K543" s="195"/>
      <c r="L543" s="195"/>
      <c r="M543" s="195"/>
      <c r="N543" s="195"/>
    </row>
    <row r="544" spans="1:14" x14ac:dyDescent="0.2">
      <c r="A544" s="195"/>
      <c r="B544" s="195"/>
      <c r="C544" s="195"/>
      <c r="D544" s="195"/>
      <c r="E544" s="195"/>
      <c r="F544" s="195"/>
      <c r="G544" s="195"/>
      <c r="H544" s="195"/>
      <c r="I544" s="195"/>
      <c r="J544" s="195"/>
      <c r="K544" s="195"/>
      <c r="L544" s="195"/>
      <c r="M544" s="195"/>
      <c r="N544" s="195"/>
    </row>
    <row r="545" spans="1:14" x14ac:dyDescent="0.2">
      <c r="A545" s="195"/>
      <c r="B545" s="195"/>
      <c r="C545" s="195"/>
      <c r="D545" s="195"/>
      <c r="E545" s="195"/>
      <c r="F545" s="195"/>
      <c r="G545" s="195"/>
      <c r="H545" s="195"/>
      <c r="I545" s="195"/>
      <c r="J545" s="195"/>
      <c r="K545" s="195"/>
      <c r="L545" s="195"/>
      <c r="M545" s="195"/>
      <c r="N545" s="195"/>
    </row>
    <row r="546" spans="1:14" x14ac:dyDescent="0.2">
      <c r="A546" s="195"/>
      <c r="B546" s="195"/>
      <c r="C546" s="195"/>
      <c r="D546" s="195"/>
      <c r="E546" s="195"/>
      <c r="F546" s="195"/>
      <c r="G546" s="195"/>
      <c r="H546" s="195"/>
      <c r="I546" s="195"/>
      <c r="J546" s="195"/>
      <c r="K546" s="195"/>
      <c r="L546" s="195"/>
      <c r="M546" s="195"/>
      <c r="N546" s="195"/>
    </row>
    <row r="547" spans="1:14" x14ac:dyDescent="0.2">
      <c r="A547" s="195"/>
      <c r="B547" s="195"/>
      <c r="C547" s="195"/>
      <c r="D547" s="195"/>
      <c r="E547" s="195"/>
      <c r="F547" s="195"/>
      <c r="G547" s="195"/>
      <c r="H547" s="195"/>
      <c r="I547" s="195"/>
      <c r="J547" s="195"/>
      <c r="K547" s="195"/>
      <c r="L547" s="195"/>
      <c r="M547" s="195"/>
      <c r="N547" s="195"/>
    </row>
    <row r="548" spans="1:14" x14ac:dyDescent="0.2">
      <c r="A548" s="195"/>
      <c r="B548" s="195"/>
      <c r="C548" s="195"/>
      <c r="D548" s="195"/>
      <c r="E548" s="195"/>
      <c r="F548" s="195"/>
      <c r="G548" s="195"/>
      <c r="H548" s="195"/>
      <c r="I548" s="195"/>
      <c r="J548" s="195"/>
      <c r="K548" s="195"/>
      <c r="L548" s="195"/>
      <c r="M548" s="195"/>
      <c r="N548" s="195"/>
    </row>
    <row r="549" spans="1:14" x14ac:dyDescent="0.2">
      <c r="A549" s="195"/>
      <c r="B549" s="195"/>
      <c r="C549" s="195"/>
      <c r="D549" s="195"/>
      <c r="E549" s="195"/>
      <c r="F549" s="195"/>
      <c r="G549" s="195"/>
      <c r="H549" s="195"/>
      <c r="I549" s="195"/>
      <c r="J549" s="195"/>
      <c r="K549" s="195"/>
      <c r="L549" s="195"/>
      <c r="M549" s="195"/>
      <c r="N549" s="195"/>
    </row>
    <row r="550" spans="1:14" x14ac:dyDescent="0.2">
      <c r="A550" s="195"/>
      <c r="B550" s="195"/>
      <c r="C550" s="195"/>
      <c r="D550" s="195"/>
      <c r="E550" s="195"/>
      <c r="F550" s="195"/>
      <c r="G550" s="195"/>
      <c r="H550" s="195"/>
      <c r="I550" s="195"/>
      <c r="J550" s="195"/>
      <c r="K550" s="195"/>
      <c r="L550" s="195"/>
      <c r="M550" s="195"/>
      <c r="N550" s="195"/>
    </row>
    <row r="551" spans="1:14" x14ac:dyDescent="0.2">
      <c r="A551" s="195"/>
      <c r="B551" s="195"/>
      <c r="C551" s="195"/>
      <c r="D551" s="195"/>
      <c r="E551" s="195"/>
      <c r="F551" s="195"/>
      <c r="G551" s="195"/>
      <c r="H551" s="195"/>
      <c r="I551" s="195"/>
      <c r="J551" s="195"/>
      <c r="K551" s="195"/>
      <c r="L551" s="195"/>
      <c r="M551" s="195"/>
      <c r="N551" s="195"/>
    </row>
    <row r="552" spans="1:14" x14ac:dyDescent="0.2">
      <c r="A552" s="195"/>
      <c r="B552" s="195"/>
      <c r="C552" s="195"/>
      <c r="D552" s="195"/>
      <c r="E552" s="195"/>
      <c r="F552" s="195"/>
      <c r="G552" s="195"/>
      <c r="H552" s="195"/>
      <c r="I552" s="195"/>
      <c r="J552" s="195"/>
      <c r="K552" s="195"/>
      <c r="L552" s="195"/>
      <c r="M552" s="195"/>
      <c r="N552" s="195"/>
    </row>
    <row r="553" spans="1:14" x14ac:dyDescent="0.2">
      <c r="A553" s="195"/>
      <c r="B553" s="195"/>
      <c r="C553" s="195"/>
      <c r="D553" s="195"/>
      <c r="E553" s="195"/>
      <c r="F553" s="195"/>
      <c r="G553" s="195"/>
      <c r="H553" s="195"/>
      <c r="I553" s="195"/>
      <c r="J553" s="195"/>
      <c r="K553" s="195"/>
      <c r="L553" s="195"/>
      <c r="M553" s="195"/>
      <c r="N553" s="195"/>
    </row>
    <row r="554" spans="1:14" x14ac:dyDescent="0.2">
      <c r="A554" s="195"/>
      <c r="B554" s="195"/>
      <c r="C554" s="195"/>
      <c r="D554" s="195"/>
      <c r="E554" s="195"/>
      <c r="F554" s="195"/>
      <c r="G554" s="195"/>
      <c r="H554" s="195"/>
      <c r="I554" s="195"/>
      <c r="J554" s="195"/>
      <c r="K554" s="195"/>
      <c r="L554" s="195"/>
      <c r="M554" s="195"/>
      <c r="N554" s="195"/>
    </row>
    <row r="555" spans="1:14" x14ac:dyDescent="0.2">
      <c r="A555" s="195"/>
      <c r="B555" s="195"/>
      <c r="C555" s="195"/>
      <c r="D555" s="195"/>
      <c r="E555" s="195"/>
      <c r="F555" s="195"/>
      <c r="G555" s="195"/>
      <c r="H555" s="195"/>
      <c r="I555" s="195"/>
      <c r="J555" s="195"/>
      <c r="K555" s="195"/>
      <c r="L555" s="195"/>
      <c r="M555" s="195"/>
      <c r="N555" s="195"/>
    </row>
    <row r="556" spans="1:14" x14ac:dyDescent="0.2">
      <c r="A556" s="195"/>
      <c r="B556" s="195"/>
      <c r="C556" s="195"/>
      <c r="D556" s="195"/>
      <c r="E556" s="195"/>
      <c r="F556" s="195"/>
      <c r="G556" s="195"/>
      <c r="H556" s="195"/>
      <c r="I556" s="195"/>
      <c r="J556" s="195"/>
      <c r="K556" s="195"/>
      <c r="L556" s="195"/>
      <c r="M556" s="195"/>
      <c r="N556" s="195"/>
    </row>
    <row r="557" spans="1:14" x14ac:dyDescent="0.2">
      <c r="A557" s="195"/>
      <c r="B557" s="195"/>
      <c r="C557" s="195"/>
      <c r="D557" s="195"/>
      <c r="E557" s="195"/>
      <c r="F557" s="195"/>
      <c r="G557" s="195"/>
      <c r="H557" s="195"/>
      <c r="I557" s="195"/>
      <c r="J557" s="195"/>
      <c r="K557" s="195"/>
      <c r="L557" s="195"/>
      <c r="M557" s="195"/>
      <c r="N557" s="195"/>
    </row>
    <row r="558" spans="1:14" x14ac:dyDescent="0.2">
      <c r="A558" s="195"/>
      <c r="B558" s="195"/>
      <c r="C558" s="195"/>
      <c r="D558" s="195"/>
      <c r="E558" s="195"/>
      <c r="F558" s="195"/>
      <c r="G558" s="195"/>
      <c r="H558" s="195"/>
      <c r="I558" s="195"/>
      <c r="J558" s="195"/>
      <c r="K558" s="195"/>
      <c r="L558" s="195"/>
      <c r="M558" s="195"/>
      <c r="N558" s="195"/>
    </row>
    <row r="559" spans="1:14" x14ac:dyDescent="0.2">
      <c r="A559" s="195"/>
      <c r="B559" s="195"/>
      <c r="C559" s="195"/>
      <c r="D559" s="195"/>
      <c r="E559" s="195"/>
      <c r="F559" s="195"/>
      <c r="G559" s="195"/>
      <c r="H559" s="195"/>
      <c r="I559" s="195"/>
      <c r="J559" s="195"/>
      <c r="K559" s="195"/>
      <c r="L559" s="195"/>
      <c r="M559" s="195"/>
      <c r="N559" s="195"/>
    </row>
    <row r="560" spans="1:14" x14ac:dyDescent="0.2">
      <c r="A560" s="195"/>
      <c r="B560" s="195"/>
      <c r="C560" s="195"/>
      <c r="D560" s="195"/>
      <c r="E560" s="195"/>
      <c r="F560" s="195"/>
      <c r="G560" s="195"/>
      <c r="H560" s="195"/>
      <c r="I560" s="195"/>
      <c r="J560" s="195"/>
      <c r="K560" s="195"/>
      <c r="L560" s="195"/>
      <c r="M560" s="195"/>
      <c r="N560" s="195"/>
    </row>
    <row r="561" spans="1:14" x14ac:dyDescent="0.2">
      <c r="A561" s="195"/>
      <c r="B561" s="195"/>
      <c r="C561" s="195"/>
      <c r="D561" s="195"/>
      <c r="E561" s="195"/>
      <c r="F561" s="195"/>
      <c r="G561" s="195"/>
      <c r="H561" s="195"/>
      <c r="I561" s="195"/>
      <c r="J561" s="195"/>
      <c r="K561" s="195"/>
      <c r="L561" s="195"/>
      <c r="M561" s="195"/>
      <c r="N561" s="195"/>
    </row>
    <row r="562" spans="1:14" x14ac:dyDescent="0.2">
      <c r="A562" s="195"/>
      <c r="B562" s="195"/>
      <c r="C562" s="195"/>
      <c r="D562" s="195"/>
      <c r="E562" s="195"/>
      <c r="F562" s="195"/>
      <c r="G562" s="195"/>
      <c r="H562" s="195"/>
      <c r="I562" s="195"/>
      <c r="J562" s="195"/>
      <c r="K562" s="195"/>
      <c r="L562" s="195"/>
      <c r="M562" s="195"/>
      <c r="N562" s="195"/>
    </row>
    <row r="563" spans="1:14" x14ac:dyDescent="0.2">
      <c r="A563" s="195"/>
      <c r="B563" s="195"/>
      <c r="C563" s="195"/>
      <c r="D563" s="195"/>
      <c r="E563" s="195"/>
      <c r="F563" s="195"/>
      <c r="G563" s="195"/>
      <c r="H563" s="195"/>
      <c r="I563" s="195"/>
      <c r="J563" s="195"/>
      <c r="K563" s="195"/>
      <c r="L563" s="195"/>
      <c r="M563" s="195"/>
      <c r="N563" s="195"/>
    </row>
    <row r="564" spans="1:14" x14ac:dyDescent="0.2">
      <c r="A564" s="195"/>
      <c r="B564" s="195"/>
      <c r="C564" s="195"/>
      <c r="D564" s="195"/>
      <c r="E564" s="195"/>
      <c r="F564" s="195"/>
      <c r="G564" s="195"/>
      <c r="H564" s="195"/>
      <c r="I564" s="195"/>
      <c r="J564" s="195"/>
      <c r="K564" s="195"/>
      <c r="L564" s="195"/>
      <c r="M564" s="195"/>
      <c r="N564" s="195"/>
    </row>
    <row r="565" spans="1:14" x14ac:dyDescent="0.2">
      <c r="A565" s="195"/>
      <c r="B565" s="195"/>
      <c r="C565" s="195"/>
      <c r="D565" s="195"/>
      <c r="E565" s="195"/>
      <c r="F565" s="195"/>
      <c r="G565" s="195"/>
      <c r="H565" s="195"/>
      <c r="I565" s="195"/>
      <c r="J565" s="195"/>
      <c r="K565" s="195"/>
      <c r="L565" s="195"/>
      <c r="M565" s="195"/>
      <c r="N565" s="195"/>
    </row>
    <row r="566" spans="1:14" x14ac:dyDescent="0.2">
      <c r="A566" s="195"/>
      <c r="B566" s="195"/>
      <c r="C566" s="195"/>
      <c r="D566" s="195"/>
      <c r="E566" s="195"/>
      <c r="F566" s="195"/>
      <c r="G566" s="195"/>
      <c r="H566" s="195"/>
      <c r="I566" s="195"/>
      <c r="J566" s="195"/>
      <c r="K566" s="195"/>
      <c r="L566" s="195"/>
      <c r="M566" s="195"/>
      <c r="N566" s="195"/>
    </row>
    <row r="567" spans="1:14" x14ac:dyDescent="0.2">
      <c r="A567" s="195"/>
      <c r="B567" s="195"/>
      <c r="C567" s="195"/>
      <c r="D567" s="195"/>
      <c r="E567" s="195"/>
      <c r="F567" s="195"/>
      <c r="G567" s="195"/>
      <c r="H567" s="195"/>
      <c r="I567" s="195"/>
      <c r="J567" s="195"/>
      <c r="K567" s="195"/>
      <c r="L567" s="195"/>
      <c r="M567" s="195"/>
      <c r="N567" s="195"/>
    </row>
    <row r="568" spans="1:14" x14ac:dyDescent="0.2">
      <c r="A568" s="707"/>
      <c r="B568" s="707"/>
      <c r="C568" s="707"/>
      <c r="D568" s="707"/>
      <c r="E568" s="707"/>
      <c r="F568" s="707"/>
      <c r="G568" s="707"/>
      <c r="H568" s="707"/>
      <c r="I568" s="707"/>
      <c r="J568" s="707"/>
      <c r="K568" s="707"/>
      <c r="L568" s="707"/>
      <c r="M568" s="707"/>
      <c r="N568" s="707"/>
    </row>
    <row r="569" spans="1:14" x14ac:dyDescent="0.2">
      <c r="A569" s="707"/>
      <c r="B569" s="707"/>
      <c r="C569" s="707"/>
      <c r="D569" s="707"/>
      <c r="E569" s="707"/>
      <c r="F569" s="707"/>
      <c r="G569" s="707"/>
      <c r="H569" s="707"/>
      <c r="I569" s="707"/>
      <c r="J569" s="707"/>
      <c r="K569" s="707"/>
      <c r="L569" s="707"/>
      <c r="M569" s="707"/>
      <c r="N569" s="707"/>
    </row>
    <row r="570" spans="1:14" x14ac:dyDescent="0.2">
      <c r="A570" s="703"/>
      <c r="B570" s="703"/>
      <c r="C570" s="704"/>
      <c r="D570" s="704"/>
      <c r="E570" s="707"/>
      <c r="F570" s="705"/>
      <c r="G570" s="703"/>
      <c r="H570" s="703"/>
      <c r="I570" s="703"/>
      <c r="J570" s="703"/>
      <c r="K570" s="703"/>
      <c r="L570" s="704"/>
      <c r="M570" s="704"/>
      <c r="N570" s="703"/>
    </row>
    <row r="571" spans="1:14" x14ac:dyDescent="0.2">
      <c r="A571" s="703"/>
      <c r="B571" s="703"/>
      <c r="C571" s="704"/>
      <c r="D571" s="704"/>
      <c r="E571" s="707"/>
      <c r="F571" s="708"/>
      <c r="G571" s="703"/>
      <c r="H571" s="703"/>
      <c r="I571" s="703"/>
      <c r="J571" s="703"/>
      <c r="K571" s="703"/>
      <c r="L571" s="704"/>
      <c r="M571" s="704"/>
      <c r="N571" s="703"/>
    </row>
    <row r="572" spans="1:14" x14ac:dyDescent="0.2">
      <c r="A572" s="195"/>
      <c r="B572" s="195"/>
      <c r="C572" s="195"/>
      <c r="D572" s="195"/>
      <c r="E572" s="195"/>
      <c r="F572" s="195"/>
      <c r="G572" s="195"/>
      <c r="H572" s="195"/>
      <c r="I572" s="195"/>
      <c r="J572" s="195"/>
      <c r="K572" s="195"/>
      <c r="L572" s="195"/>
      <c r="M572" s="195"/>
      <c r="N572" s="195"/>
    </row>
    <row r="573" spans="1:14" x14ac:dyDescent="0.2">
      <c r="A573" s="195"/>
      <c r="B573" s="195"/>
      <c r="C573" s="195"/>
      <c r="D573" s="195"/>
      <c r="E573" s="195"/>
      <c r="F573" s="195"/>
      <c r="G573" s="195"/>
      <c r="H573" s="195"/>
      <c r="I573" s="195"/>
      <c r="J573" s="195"/>
      <c r="K573" s="195"/>
      <c r="L573" s="195"/>
      <c r="M573" s="195"/>
      <c r="N573" s="195"/>
    </row>
    <row r="574" spans="1:14" x14ac:dyDescent="0.2">
      <c r="A574" s="195"/>
      <c r="B574" s="195"/>
      <c r="C574" s="195"/>
      <c r="D574" s="195"/>
      <c r="E574" s="195"/>
      <c r="F574" s="195"/>
      <c r="G574" s="195"/>
      <c r="H574" s="195"/>
      <c r="I574" s="195"/>
      <c r="J574" s="195"/>
      <c r="K574" s="195"/>
      <c r="L574" s="195"/>
      <c r="M574" s="195"/>
      <c r="N574" s="195"/>
    </row>
    <row r="575" spans="1:14" x14ac:dyDescent="0.2">
      <c r="A575" s="195"/>
      <c r="B575" s="195"/>
      <c r="C575" s="195"/>
      <c r="D575" s="195"/>
      <c r="E575" s="195"/>
      <c r="F575" s="195"/>
      <c r="G575" s="195"/>
      <c r="H575" s="195"/>
      <c r="I575" s="195"/>
      <c r="J575" s="195"/>
      <c r="K575" s="195"/>
      <c r="L575" s="195"/>
      <c r="M575" s="195"/>
      <c r="N575" s="195"/>
    </row>
    <row r="576" spans="1:14" x14ac:dyDescent="0.2">
      <c r="A576" s="195"/>
      <c r="B576" s="195"/>
      <c r="C576" s="195"/>
      <c r="D576" s="195"/>
      <c r="E576" s="195"/>
      <c r="F576" s="195"/>
      <c r="G576" s="195"/>
      <c r="H576" s="195"/>
      <c r="I576" s="195"/>
      <c r="J576" s="195"/>
      <c r="K576" s="195"/>
      <c r="L576" s="195"/>
      <c r="M576" s="195"/>
      <c r="N576" s="195"/>
    </row>
    <row r="577" spans="1:14" x14ac:dyDescent="0.2">
      <c r="A577" s="195"/>
      <c r="B577" s="195"/>
      <c r="C577" s="195"/>
      <c r="D577" s="195"/>
      <c r="E577" s="195"/>
      <c r="F577" s="195"/>
      <c r="G577" s="195"/>
      <c r="H577" s="195"/>
      <c r="I577" s="195"/>
      <c r="J577" s="195"/>
      <c r="K577" s="195"/>
      <c r="L577" s="195"/>
      <c r="M577" s="195"/>
      <c r="N577" s="195"/>
    </row>
    <row r="578" spans="1:14" x14ac:dyDescent="0.2">
      <c r="A578" s="195"/>
      <c r="B578" s="195"/>
      <c r="C578" s="195"/>
      <c r="D578" s="195"/>
      <c r="E578" s="195"/>
      <c r="F578" s="195"/>
      <c r="G578" s="195"/>
      <c r="H578" s="195"/>
      <c r="I578" s="195"/>
      <c r="J578" s="195"/>
      <c r="K578" s="195"/>
      <c r="L578" s="195"/>
      <c r="M578" s="195"/>
      <c r="N578" s="195"/>
    </row>
    <row r="579" spans="1:14" x14ac:dyDescent="0.2">
      <c r="A579" s="195"/>
      <c r="B579" s="195"/>
      <c r="C579" s="195"/>
      <c r="D579" s="195"/>
      <c r="E579" s="195"/>
      <c r="F579" s="195"/>
      <c r="G579" s="195"/>
      <c r="H579" s="195"/>
      <c r="I579" s="195"/>
      <c r="J579" s="195"/>
      <c r="K579" s="195"/>
      <c r="L579" s="195"/>
      <c r="M579" s="195"/>
      <c r="N579" s="195"/>
    </row>
    <row r="580" spans="1:14" x14ac:dyDescent="0.2">
      <c r="A580" s="195"/>
      <c r="B580" s="195"/>
      <c r="C580" s="195"/>
      <c r="D580" s="195"/>
      <c r="E580" s="195"/>
      <c r="F580" s="195"/>
      <c r="G580" s="195"/>
      <c r="H580" s="195"/>
      <c r="I580" s="195"/>
      <c r="J580" s="195"/>
      <c r="K580" s="195"/>
      <c r="L580" s="195"/>
      <c r="M580" s="195"/>
      <c r="N580" s="195"/>
    </row>
    <row r="581" spans="1:14" x14ac:dyDescent="0.2">
      <c r="A581" s="195"/>
      <c r="B581" s="195"/>
      <c r="C581" s="195"/>
      <c r="D581" s="195"/>
      <c r="E581" s="195"/>
      <c r="F581" s="195"/>
      <c r="G581" s="195"/>
      <c r="H581" s="195"/>
      <c r="I581" s="195"/>
      <c r="J581" s="195"/>
      <c r="K581" s="195"/>
      <c r="L581" s="195"/>
      <c r="M581" s="195"/>
      <c r="N581" s="195"/>
    </row>
    <row r="582" spans="1:14" x14ac:dyDescent="0.2">
      <c r="A582" s="195"/>
      <c r="B582" s="195"/>
      <c r="C582" s="195"/>
      <c r="D582" s="195"/>
      <c r="E582" s="195"/>
      <c r="F582" s="195"/>
      <c r="G582" s="195"/>
      <c r="H582" s="195"/>
      <c r="I582" s="195"/>
      <c r="J582" s="195"/>
      <c r="K582" s="195"/>
      <c r="L582" s="195"/>
      <c r="M582" s="195"/>
      <c r="N582" s="195"/>
    </row>
    <row r="583" spans="1:14" x14ac:dyDescent="0.2">
      <c r="A583" s="195"/>
      <c r="B583" s="195"/>
      <c r="C583" s="195"/>
      <c r="D583" s="195"/>
      <c r="E583" s="195"/>
      <c r="F583" s="195"/>
      <c r="G583" s="195"/>
      <c r="H583" s="195"/>
      <c r="I583" s="195"/>
      <c r="J583" s="195"/>
      <c r="K583" s="195"/>
      <c r="L583" s="195"/>
      <c r="M583" s="195"/>
      <c r="N583" s="195"/>
    </row>
    <row r="584" spans="1:14" x14ac:dyDescent="0.2">
      <c r="A584" s="195"/>
      <c r="B584" s="195"/>
      <c r="C584" s="195"/>
      <c r="D584" s="195"/>
      <c r="E584" s="195"/>
      <c r="F584" s="195"/>
      <c r="G584" s="195"/>
      <c r="H584" s="195"/>
      <c r="I584" s="195"/>
      <c r="J584" s="195"/>
      <c r="K584" s="195"/>
      <c r="L584" s="195"/>
      <c r="M584" s="195"/>
      <c r="N584" s="195"/>
    </row>
    <row r="585" spans="1:14" x14ac:dyDescent="0.2">
      <c r="A585" s="195"/>
      <c r="B585" s="195"/>
      <c r="C585" s="195"/>
      <c r="D585" s="195"/>
      <c r="E585" s="195"/>
      <c r="F585" s="195"/>
      <c r="G585" s="195"/>
      <c r="H585" s="195"/>
      <c r="I585" s="195"/>
      <c r="J585" s="195"/>
      <c r="K585" s="195"/>
      <c r="L585" s="195"/>
      <c r="M585" s="195"/>
      <c r="N585" s="195"/>
    </row>
    <row r="586" spans="1:14" x14ac:dyDescent="0.2">
      <c r="A586" s="195"/>
      <c r="B586" s="195"/>
      <c r="C586" s="195"/>
      <c r="D586" s="195"/>
      <c r="E586" s="195"/>
      <c r="F586" s="195"/>
      <c r="G586" s="195"/>
      <c r="H586" s="195"/>
      <c r="I586" s="195"/>
      <c r="J586" s="195"/>
      <c r="K586" s="195"/>
      <c r="L586" s="195"/>
      <c r="M586" s="195"/>
      <c r="N586" s="195"/>
    </row>
    <row r="587" spans="1:14" x14ac:dyDescent="0.2">
      <c r="A587" s="195"/>
      <c r="B587" s="195"/>
      <c r="C587" s="195"/>
      <c r="D587" s="195"/>
      <c r="E587" s="195"/>
      <c r="F587" s="195"/>
      <c r="G587" s="195"/>
      <c r="H587" s="195"/>
      <c r="I587" s="195"/>
      <c r="J587" s="195"/>
      <c r="K587" s="195"/>
      <c r="L587" s="195"/>
      <c r="M587" s="195"/>
      <c r="N587" s="195"/>
    </row>
    <row r="588" spans="1:14" x14ac:dyDescent="0.2">
      <c r="A588" s="195"/>
      <c r="B588" s="195"/>
      <c r="C588" s="195"/>
      <c r="D588" s="195"/>
      <c r="E588" s="195"/>
      <c r="F588" s="195"/>
      <c r="G588" s="195"/>
      <c r="H588" s="195"/>
      <c r="I588" s="195"/>
      <c r="J588" s="195"/>
      <c r="K588" s="195"/>
      <c r="L588" s="195"/>
      <c r="M588" s="195"/>
      <c r="N588" s="195"/>
    </row>
    <row r="589" spans="1:14" x14ac:dyDescent="0.2">
      <c r="A589" s="195"/>
      <c r="B589" s="195"/>
      <c r="C589" s="195"/>
      <c r="D589" s="195"/>
      <c r="E589" s="195"/>
      <c r="F589" s="195"/>
      <c r="G589" s="195"/>
      <c r="H589" s="195"/>
      <c r="I589" s="195"/>
      <c r="J589" s="195"/>
      <c r="K589" s="195"/>
      <c r="L589" s="195"/>
      <c r="M589" s="195"/>
      <c r="N589" s="195"/>
    </row>
    <row r="590" spans="1:14" x14ac:dyDescent="0.2">
      <c r="A590" s="195"/>
      <c r="B590" s="195"/>
      <c r="C590" s="195"/>
      <c r="D590" s="195"/>
      <c r="E590" s="195"/>
      <c r="F590" s="195"/>
      <c r="G590" s="195"/>
      <c r="H590" s="195"/>
      <c r="I590" s="195"/>
      <c r="J590" s="195"/>
      <c r="K590" s="195"/>
      <c r="L590" s="195"/>
      <c r="M590" s="195"/>
      <c r="N590" s="195"/>
    </row>
    <row r="591" spans="1:14" x14ac:dyDescent="0.2">
      <c r="A591" s="195"/>
      <c r="B591" s="195"/>
      <c r="C591" s="195"/>
      <c r="D591" s="195"/>
      <c r="E591" s="195"/>
      <c r="F591" s="195"/>
      <c r="G591" s="195"/>
      <c r="H591" s="195"/>
      <c r="I591" s="195"/>
      <c r="J591" s="195"/>
      <c r="K591" s="195"/>
      <c r="L591" s="195"/>
      <c r="M591" s="195"/>
      <c r="N591" s="195"/>
    </row>
    <row r="592" spans="1:14" x14ac:dyDescent="0.2">
      <c r="A592" s="195"/>
      <c r="B592" s="195"/>
      <c r="C592" s="195"/>
      <c r="D592" s="195"/>
      <c r="E592" s="195"/>
      <c r="F592" s="195"/>
      <c r="G592" s="195"/>
      <c r="H592" s="195"/>
      <c r="I592" s="195"/>
      <c r="J592" s="195"/>
      <c r="K592" s="195"/>
      <c r="L592" s="195"/>
      <c r="M592" s="195"/>
      <c r="N592" s="195"/>
    </row>
    <row r="593" spans="1:14" x14ac:dyDescent="0.2">
      <c r="A593" s="195"/>
      <c r="B593" s="195"/>
      <c r="C593" s="195"/>
      <c r="D593" s="195"/>
      <c r="E593" s="195"/>
      <c r="F593" s="195"/>
      <c r="G593" s="195"/>
      <c r="H593" s="195"/>
      <c r="I593" s="195"/>
      <c r="J593" s="195"/>
      <c r="K593" s="195"/>
      <c r="L593" s="195"/>
      <c r="M593" s="195"/>
      <c r="N593" s="195"/>
    </row>
    <row r="594" spans="1:14" x14ac:dyDescent="0.2">
      <c r="A594" s="195"/>
      <c r="B594" s="195"/>
      <c r="C594" s="195"/>
      <c r="D594" s="195"/>
      <c r="E594" s="195"/>
      <c r="F594" s="195"/>
      <c r="G594" s="195"/>
      <c r="H594" s="195"/>
      <c r="I594" s="195"/>
      <c r="J594" s="195"/>
      <c r="K594" s="195"/>
      <c r="L594" s="195"/>
      <c r="M594" s="195"/>
      <c r="N594" s="195"/>
    </row>
    <row r="595" spans="1:14" x14ac:dyDescent="0.2">
      <c r="A595" s="195"/>
      <c r="B595" s="195"/>
      <c r="C595" s="195"/>
      <c r="D595" s="195"/>
      <c r="E595" s="195"/>
      <c r="F595" s="195"/>
      <c r="G595" s="195"/>
      <c r="H595" s="195"/>
      <c r="I595" s="195"/>
      <c r="J595" s="195"/>
      <c r="K595" s="195"/>
      <c r="L595" s="195"/>
      <c r="M595" s="195"/>
      <c r="N595" s="195"/>
    </row>
    <row r="596" spans="1:14" x14ac:dyDescent="0.2">
      <c r="A596" s="195"/>
      <c r="B596" s="195"/>
      <c r="C596" s="195"/>
      <c r="D596" s="195"/>
      <c r="E596" s="195"/>
      <c r="F596" s="195"/>
      <c r="G596" s="195"/>
      <c r="H596" s="195"/>
      <c r="I596" s="195"/>
      <c r="J596" s="195"/>
      <c r="K596" s="195"/>
      <c r="L596" s="195"/>
      <c r="M596" s="195"/>
      <c r="N596" s="195"/>
    </row>
    <row r="597" spans="1:14" x14ac:dyDescent="0.2">
      <c r="A597" s="195"/>
      <c r="B597" s="195"/>
      <c r="C597" s="195"/>
      <c r="D597" s="195"/>
      <c r="E597" s="195"/>
      <c r="F597" s="195"/>
      <c r="G597" s="195"/>
      <c r="H597" s="195"/>
      <c r="I597" s="195"/>
      <c r="J597" s="195"/>
      <c r="K597" s="195"/>
      <c r="L597" s="195"/>
      <c r="M597" s="195"/>
      <c r="N597" s="195"/>
    </row>
    <row r="598" spans="1:14" x14ac:dyDescent="0.2">
      <c r="A598" s="195"/>
      <c r="B598" s="195"/>
      <c r="C598" s="195"/>
      <c r="D598" s="195"/>
      <c r="E598" s="195"/>
      <c r="F598" s="195"/>
      <c r="G598" s="195"/>
      <c r="H598" s="195"/>
      <c r="I598" s="195"/>
      <c r="J598" s="195"/>
      <c r="K598" s="195"/>
      <c r="L598" s="195"/>
      <c r="M598" s="195"/>
      <c r="N598" s="195"/>
    </row>
    <row r="599" spans="1:14" x14ac:dyDescent="0.2">
      <c r="A599" s="195"/>
      <c r="B599" s="195"/>
      <c r="C599" s="195"/>
      <c r="D599" s="195"/>
      <c r="E599" s="195"/>
      <c r="F599" s="195"/>
      <c r="G599" s="195"/>
      <c r="H599" s="195"/>
      <c r="I599" s="195"/>
      <c r="J599" s="195"/>
      <c r="K599" s="195"/>
      <c r="L599" s="195"/>
      <c r="M599" s="195"/>
      <c r="N599" s="195"/>
    </row>
    <row r="600" spans="1:14" x14ac:dyDescent="0.2">
      <c r="A600" s="195"/>
      <c r="B600" s="195"/>
      <c r="C600" s="195"/>
      <c r="D600" s="195"/>
      <c r="E600" s="195"/>
      <c r="F600" s="195"/>
      <c r="G600" s="195"/>
      <c r="H600" s="195"/>
      <c r="I600" s="195"/>
      <c r="J600" s="195"/>
      <c r="K600" s="195"/>
      <c r="L600" s="195"/>
      <c r="M600" s="195"/>
      <c r="N600" s="195"/>
    </row>
    <row r="601" spans="1:14" x14ac:dyDescent="0.2">
      <c r="A601" s="195"/>
      <c r="B601" s="195"/>
      <c r="C601" s="195"/>
      <c r="D601" s="195"/>
      <c r="E601" s="195"/>
      <c r="F601" s="195"/>
      <c r="G601" s="195"/>
      <c r="H601" s="195"/>
      <c r="I601" s="195"/>
      <c r="J601" s="195"/>
      <c r="K601" s="195"/>
      <c r="L601" s="195"/>
      <c r="M601" s="195"/>
      <c r="N601" s="195"/>
    </row>
    <row r="602" spans="1:14" x14ac:dyDescent="0.2">
      <c r="A602" s="195"/>
      <c r="B602" s="195"/>
      <c r="C602" s="195"/>
      <c r="D602" s="195"/>
      <c r="E602" s="195"/>
      <c r="F602" s="195"/>
      <c r="G602" s="195"/>
      <c r="H602" s="195"/>
      <c r="I602" s="195"/>
      <c r="J602" s="195"/>
      <c r="K602" s="195"/>
      <c r="L602" s="195"/>
      <c r="M602" s="195"/>
      <c r="N602" s="195"/>
    </row>
    <row r="603" spans="1:14" x14ac:dyDescent="0.2">
      <c r="A603" s="195"/>
      <c r="B603" s="195"/>
      <c r="C603" s="195"/>
      <c r="D603" s="195"/>
      <c r="E603" s="195"/>
      <c r="F603" s="195"/>
      <c r="G603" s="195"/>
      <c r="H603" s="195"/>
      <c r="I603" s="195"/>
      <c r="J603" s="195"/>
      <c r="K603" s="195"/>
      <c r="L603" s="195"/>
      <c r="M603" s="195"/>
      <c r="N603" s="195"/>
    </row>
    <row r="604" spans="1:14" x14ac:dyDescent="0.2">
      <c r="A604" s="707"/>
      <c r="B604" s="707"/>
      <c r="C604" s="707"/>
      <c r="D604" s="707"/>
      <c r="E604" s="707"/>
      <c r="F604" s="707"/>
      <c r="G604" s="707"/>
      <c r="H604" s="707"/>
      <c r="I604" s="707"/>
      <c r="J604" s="707"/>
      <c r="K604" s="707"/>
      <c r="L604" s="707"/>
      <c r="M604" s="707"/>
      <c r="N604" s="707"/>
    </row>
    <row r="605" spans="1:14" x14ac:dyDescent="0.2">
      <c r="A605" s="707"/>
      <c r="B605" s="707"/>
      <c r="C605" s="707"/>
      <c r="D605" s="707"/>
      <c r="E605" s="707"/>
      <c r="F605" s="707"/>
      <c r="G605" s="707"/>
      <c r="H605" s="707"/>
      <c r="I605" s="707"/>
      <c r="J605" s="707"/>
      <c r="K605" s="707"/>
      <c r="L605" s="707"/>
      <c r="M605" s="707"/>
      <c r="N605" s="707"/>
    </row>
    <row r="606" spans="1:14" x14ac:dyDescent="0.2">
      <c r="A606" s="703"/>
      <c r="B606" s="703"/>
      <c r="C606" s="704"/>
      <c r="D606" s="704"/>
      <c r="E606" s="707"/>
      <c r="F606" s="705"/>
      <c r="G606" s="703"/>
      <c r="H606" s="703"/>
      <c r="I606" s="703"/>
      <c r="J606" s="703"/>
      <c r="K606" s="703"/>
      <c r="L606" s="704"/>
      <c r="M606" s="704"/>
      <c r="N606" s="703"/>
    </row>
    <row r="607" spans="1:14" x14ac:dyDescent="0.2">
      <c r="A607" s="703"/>
      <c r="B607" s="703"/>
      <c r="C607" s="704"/>
      <c r="D607" s="704"/>
      <c r="E607" s="707"/>
      <c r="F607" s="708"/>
      <c r="G607" s="703"/>
      <c r="H607" s="703"/>
      <c r="I607" s="703"/>
      <c r="J607" s="703"/>
      <c r="K607" s="703"/>
      <c r="L607" s="704"/>
      <c r="M607" s="704"/>
      <c r="N607" s="703"/>
    </row>
    <row r="608" spans="1:14" x14ac:dyDescent="0.2">
      <c r="A608" s="195"/>
      <c r="B608" s="195"/>
      <c r="C608" s="195"/>
      <c r="D608" s="195"/>
      <c r="E608" s="195"/>
      <c r="F608" s="195"/>
      <c r="G608" s="195"/>
      <c r="H608" s="195"/>
      <c r="I608" s="195"/>
      <c r="J608" s="195"/>
      <c r="K608" s="195"/>
      <c r="L608" s="195"/>
      <c r="M608" s="195"/>
      <c r="N608" s="195"/>
    </row>
    <row r="609" spans="1:14" x14ac:dyDescent="0.2">
      <c r="A609" s="195"/>
      <c r="B609" s="195"/>
      <c r="C609" s="195"/>
      <c r="D609" s="195"/>
      <c r="E609" s="195"/>
      <c r="F609" s="195"/>
      <c r="G609" s="195"/>
      <c r="H609" s="195"/>
      <c r="I609" s="195"/>
      <c r="J609" s="195"/>
      <c r="K609" s="195"/>
      <c r="L609" s="195"/>
      <c r="M609" s="195"/>
      <c r="N609" s="195"/>
    </row>
    <row r="610" spans="1:14" x14ac:dyDescent="0.2">
      <c r="A610" s="195"/>
      <c r="B610" s="195"/>
      <c r="C610" s="195"/>
      <c r="D610" s="195"/>
      <c r="E610" s="195"/>
      <c r="F610" s="195"/>
      <c r="G610" s="195"/>
      <c r="H610" s="195"/>
      <c r="I610" s="195"/>
      <c r="J610" s="195"/>
      <c r="K610" s="195"/>
      <c r="L610" s="195"/>
      <c r="M610" s="195"/>
      <c r="N610" s="195"/>
    </row>
    <row r="611" spans="1:14" x14ac:dyDescent="0.2">
      <c r="A611" s="195"/>
      <c r="B611" s="195"/>
      <c r="C611" s="195"/>
      <c r="D611" s="195"/>
      <c r="E611" s="195"/>
      <c r="F611" s="195"/>
      <c r="G611" s="195"/>
      <c r="H611" s="195"/>
      <c r="I611" s="195"/>
      <c r="J611" s="195"/>
      <c r="K611" s="195"/>
      <c r="L611" s="195"/>
      <c r="M611" s="195"/>
      <c r="N611" s="195"/>
    </row>
    <row r="612" spans="1:14" x14ac:dyDescent="0.2">
      <c r="A612" s="195"/>
      <c r="B612" s="195"/>
      <c r="C612" s="195"/>
      <c r="D612" s="195"/>
      <c r="E612" s="195"/>
      <c r="F612" s="195"/>
      <c r="G612" s="195"/>
      <c r="H612" s="195"/>
      <c r="I612" s="195"/>
      <c r="J612" s="195"/>
      <c r="K612" s="195"/>
      <c r="L612" s="195"/>
      <c r="M612" s="195"/>
      <c r="N612" s="195"/>
    </row>
    <row r="613" spans="1:14" x14ac:dyDescent="0.2">
      <c r="A613" s="195"/>
      <c r="B613" s="195"/>
      <c r="C613" s="195"/>
      <c r="D613" s="195"/>
      <c r="E613" s="222"/>
      <c r="F613" s="195"/>
      <c r="G613" s="195"/>
      <c r="H613" s="195"/>
      <c r="I613" s="195"/>
      <c r="J613" s="195"/>
      <c r="K613" s="195"/>
      <c r="L613" s="195"/>
      <c r="M613" s="195"/>
      <c r="N613" s="195"/>
    </row>
    <row r="614" spans="1:14" x14ac:dyDescent="0.2">
      <c r="A614" s="195"/>
      <c r="B614" s="195"/>
      <c r="C614" s="195"/>
      <c r="D614" s="195"/>
      <c r="E614" s="195"/>
      <c r="F614" s="195"/>
      <c r="G614" s="195"/>
      <c r="H614" s="195"/>
      <c r="I614" s="195"/>
      <c r="J614" s="195"/>
      <c r="K614" s="195"/>
      <c r="L614" s="195"/>
      <c r="M614" s="195"/>
      <c r="N614" s="195"/>
    </row>
    <row r="615" spans="1:14" x14ac:dyDescent="0.2">
      <c r="A615" s="195"/>
      <c r="B615" s="195"/>
      <c r="C615" s="195"/>
      <c r="D615" s="195"/>
      <c r="E615" s="195"/>
      <c r="F615" s="195"/>
      <c r="G615" s="195"/>
      <c r="H615" s="195"/>
      <c r="I615" s="195"/>
      <c r="J615" s="195"/>
      <c r="K615" s="195"/>
      <c r="L615" s="195"/>
      <c r="M615" s="195"/>
      <c r="N615" s="195"/>
    </row>
    <row r="616" spans="1:14" x14ac:dyDescent="0.2">
      <c r="A616" s="195"/>
      <c r="B616" s="195"/>
      <c r="C616" s="195"/>
      <c r="D616" s="195"/>
      <c r="E616" s="195"/>
      <c r="F616" s="195"/>
      <c r="G616" s="195"/>
      <c r="H616" s="195"/>
      <c r="I616" s="195"/>
      <c r="J616" s="195"/>
      <c r="K616" s="195"/>
      <c r="L616" s="195"/>
      <c r="M616" s="195"/>
      <c r="N616" s="195"/>
    </row>
    <row r="617" spans="1:14" x14ac:dyDescent="0.2">
      <c r="A617" s="195"/>
      <c r="B617" s="195"/>
      <c r="C617" s="195"/>
      <c r="D617" s="195"/>
      <c r="E617" s="195"/>
      <c r="F617" s="195"/>
      <c r="G617" s="195"/>
      <c r="H617" s="195"/>
      <c r="I617" s="195"/>
      <c r="J617" s="195"/>
      <c r="K617" s="195"/>
      <c r="L617" s="195"/>
      <c r="M617" s="195"/>
      <c r="N617" s="195"/>
    </row>
    <row r="618" spans="1:14" x14ac:dyDescent="0.2">
      <c r="A618" s="195"/>
      <c r="B618" s="195"/>
      <c r="C618" s="195"/>
      <c r="D618" s="195"/>
      <c r="E618" s="195"/>
      <c r="F618" s="195"/>
      <c r="G618" s="195"/>
      <c r="H618" s="195"/>
      <c r="I618" s="195"/>
      <c r="J618" s="195"/>
      <c r="K618" s="195"/>
      <c r="L618" s="195"/>
      <c r="M618" s="195"/>
      <c r="N618" s="195"/>
    </row>
    <row r="619" spans="1:14" x14ac:dyDescent="0.2">
      <c r="A619" s="195"/>
      <c r="B619" s="195"/>
      <c r="C619" s="195"/>
      <c r="D619" s="195"/>
      <c r="E619" s="195"/>
      <c r="F619" s="195"/>
      <c r="G619" s="195"/>
      <c r="H619" s="195"/>
      <c r="I619" s="195"/>
      <c r="J619" s="195"/>
      <c r="K619" s="195"/>
      <c r="L619" s="195"/>
      <c r="M619" s="195"/>
      <c r="N619" s="195"/>
    </row>
    <row r="620" spans="1:14" x14ac:dyDescent="0.2">
      <c r="A620" s="195"/>
      <c r="B620" s="195"/>
      <c r="C620" s="195"/>
      <c r="D620" s="195"/>
      <c r="E620" s="222"/>
      <c r="F620" s="195"/>
      <c r="G620" s="195"/>
      <c r="H620" s="195"/>
      <c r="I620" s="195"/>
      <c r="J620" s="195"/>
      <c r="K620" s="195"/>
      <c r="L620" s="195"/>
      <c r="M620" s="195"/>
      <c r="N620" s="195"/>
    </row>
    <row r="621" spans="1:14" x14ac:dyDescent="0.2">
      <c r="A621" s="195"/>
      <c r="B621" s="195"/>
      <c r="C621" s="195"/>
      <c r="D621" s="195"/>
      <c r="E621" s="195"/>
      <c r="F621" s="195"/>
      <c r="G621" s="195"/>
      <c r="H621" s="195"/>
      <c r="I621" s="195"/>
      <c r="J621" s="195"/>
      <c r="K621" s="195"/>
      <c r="L621" s="195"/>
      <c r="M621" s="195"/>
      <c r="N621" s="195"/>
    </row>
    <row r="622" spans="1:14" x14ac:dyDescent="0.2">
      <c r="A622" s="195"/>
      <c r="B622" s="195"/>
      <c r="C622" s="195"/>
      <c r="D622" s="195"/>
      <c r="E622" s="195"/>
      <c r="F622" s="195"/>
      <c r="G622" s="195"/>
      <c r="H622" s="195"/>
      <c r="I622" s="195"/>
      <c r="J622" s="195"/>
      <c r="K622" s="195"/>
      <c r="L622" s="195"/>
      <c r="M622" s="195"/>
      <c r="N622" s="195"/>
    </row>
    <row r="623" spans="1:14" x14ac:dyDescent="0.2">
      <c r="A623" s="195"/>
      <c r="B623" s="195"/>
      <c r="C623" s="195"/>
      <c r="D623" s="195"/>
      <c r="E623" s="195"/>
      <c r="F623" s="195"/>
      <c r="G623" s="195"/>
      <c r="H623" s="195"/>
      <c r="I623" s="195"/>
      <c r="J623" s="195"/>
      <c r="K623" s="195"/>
      <c r="L623" s="195"/>
      <c r="M623" s="195"/>
      <c r="N623" s="195"/>
    </row>
    <row r="624" spans="1:14" x14ac:dyDescent="0.2">
      <c r="A624" s="195"/>
      <c r="B624" s="195"/>
      <c r="C624" s="195"/>
      <c r="D624" s="195"/>
      <c r="E624" s="195"/>
      <c r="F624" s="195"/>
      <c r="G624" s="195"/>
      <c r="H624" s="195"/>
      <c r="I624" s="195"/>
      <c r="J624" s="195"/>
      <c r="K624" s="195"/>
      <c r="L624" s="195"/>
      <c r="M624" s="195"/>
      <c r="N624" s="195"/>
    </row>
    <row r="625" spans="1:14" x14ac:dyDescent="0.2">
      <c r="A625" s="195"/>
      <c r="B625" s="195"/>
      <c r="C625" s="195"/>
      <c r="D625" s="195"/>
      <c r="E625" s="195"/>
      <c r="F625" s="195"/>
      <c r="G625" s="195"/>
      <c r="H625" s="195"/>
      <c r="I625" s="195"/>
      <c r="J625" s="195"/>
      <c r="K625" s="195"/>
      <c r="L625" s="195"/>
      <c r="M625" s="195"/>
      <c r="N625" s="195"/>
    </row>
    <row r="626" spans="1:14" x14ac:dyDescent="0.2">
      <c r="A626" s="195"/>
      <c r="B626" s="195"/>
      <c r="C626" s="195"/>
      <c r="D626" s="195"/>
      <c r="E626" s="195"/>
      <c r="F626" s="195"/>
      <c r="G626" s="195"/>
      <c r="H626" s="195"/>
      <c r="I626" s="195"/>
      <c r="J626" s="195"/>
      <c r="K626" s="195"/>
      <c r="L626" s="195"/>
      <c r="M626" s="195"/>
      <c r="N626" s="195"/>
    </row>
    <row r="627" spans="1:14" x14ac:dyDescent="0.2">
      <c r="A627" s="195"/>
      <c r="B627" s="195"/>
      <c r="C627" s="195"/>
      <c r="D627" s="195"/>
      <c r="E627" s="195"/>
      <c r="F627" s="195"/>
      <c r="G627" s="195"/>
      <c r="H627" s="195"/>
      <c r="I627" s="195"/>
      <c r="J627" s="195"/>
      <c r="K627" s="195"/>
      <c r="L627" s="195"/>
      <c r="M627" s="195"/>
      <c r="N627" s="195"/>
    </row>
    <row r="628" spans="1:14" x14ac:dyDescent="0.2">
      <c r="A628" s="195"/>
      <c r="B628" s="195"/>
      <c r="C628" s="195"/>
      <c r="D628" s="195"/>
      <c r="E628" s="195"/>
      <c r="F628" s="195"/>
      <c r="G628" s="195"/>
      <c r="H628" s="195"/>
      <c r="I628" s="195"/>
      <c r="J628" s="195"/>
      <c r="K628" s="195"/>
      <c r="L628" s="195"/>
      <c r="M628" s="195"/>
      <c r="N628" s="195"/>
    </row>
    <row r="629" spans="1:14" x14ac:dyDescent="0.2">
      <c r="A629" s="195"/>
      <c r="B629" s="195"/>
      <c r="C629" s="195"/>
      <c r="D629" s="195"/>
      <c r="E629" s="195"/>
      <c r="F629" s="195"/>
      <c r="G629" s="195"/>
      <c r="H629" s="195"/>
      <c r="I629" s="195"/>
      <c r="J629" s="195"/>
      <c r="K629" s="195"/>
      <c r="L629" s="195"/>
      <c r="M629" s="195"/>
      <c r="N629" s="195"/>
    </row>
    <row r="630" spans="1:14" x14ac:dyDescent="0.2">
      <c r="A630" s="195"/>
      <c r="B630" s="195"/>
      <c r="C630" s="195"/>
      <c r="D630" s="195"/>
      <c r="E630" s="195"/>
      <c r="F630" s="195"/>
      <c r="G630" s="195"/>
      <c r="H630" s="195"/>
      <c r="I630" s="195"/>
      <c r="J630" s="195"/>
      <c r="K630" s="195"/>
      <c r="L630" s="195"/>
      <c r="M630" s="195"/>
      <c r="N630" s="195"/>
    </row>
    <row r="631" spans="1:14" x14ac:dyDescent="0.2">
      <c r="A631" s="195"/>
      <c r="B631" s="195"/>
      <c r="C631" s="195"/>
      <c r="D631" s="195"/>
      <c r="E631" s="195"/>
      <c r="F631" s="195"/>
      <c r="G631" s="195"/>
      <c r="H631" s="195"/>
      <c r="I631" s="195"/>
      <c r="J631" s="195"/>
      <c r="K631" s="195"/>
      <c r="L631" s="195"/>
      <c r="M631" s="195"/>
      <c r="N631" s="195"/>
    </row>
    <row r="632" spans="1:14" x14ac:dyDescent="0.2">
      <c r="A632" s="195"/>
      <c r="B632" s="195"/>
      <c r="C632" s="195"/>
      <c r="D632" s="195"/>
      <c r="E632" s="195"/>
      <c r="F632" s="195"/>
      <c r="G632" s="195"/>
      <c r="H632" s="195"/>
      <c r="I632" s="195"/>
      <c r="J632" s="195"/>
      <c r="K632" s="195"/>
      <c r="L632" s="195"/>
      <c r="M632" s="195"/>
      <c r="N632" s="195"/>
    </row>
    <row r="633" spans="1:14" x14ac:dyDescent="0.2">
      <c r="A633" s="195"/>
      <c r="B633" s="195"/>
      <c r="C633" s="195"/>
      <c r="D633" s="195"/>
      <c r="E633" s="195"/>
      <c r="F633" s="195"/>
      <c r="G633" s="195"/>
      <c r="H633" s="195"/>
      <c r="I633" s="195"/>
      <c r="J633" s="195"/>
      <c r="K633" s="195"/>
      <c r="L633" s="195"/>
      <c r="M633" s="195"/>
      <c r="N633" s="195"/>
    </row>
    <row r="634" spans="1:14" x14ac:dyDescent="0.2">
      <c r="A634" s="195"/>
      <c r="B634" s="195"/>
      <c r="C634" s="195"/>
      <c r="D634" s="195"/>
      <c r="E634" s="195"/>
      <c r="F634" s="195"/>
      <c r="G634" s="195"/>
      <c r="H634" s="195"/>
      <c r="I634" s="195"/>
      <c r="J634" s="195"/>
      <c r="K634" s="195"/>
      <c r="L634" s="195"/>
      <c r="M634" s="195"/>
      <c r="N634" s="195"/>
    </row>
    <row r="635" spans="1:14" x14ac:dyDescent="0.2">
      <c r="A635" s="195"/>
      <c r="B635" s="195"/>
      <c r="C635" s="195"/>
      <c r="D635" s="195"/>
      <c r="E635" s="222"/>
      <c r="F635" s="195"/>
      <c r="G635" s="195"/>
      <c r="H635" s="195"/>
      <c r="I635" s="195"/>
      <c r="J635" s="195"/>
      <c r="K635" s="195"/>
      <c r="L635" s="195"/>
      <c r="M635" s="195"/>
      <c r="N635" s="195"/>
    </row>
    <row r="636" spans="1:14" x14ac:dyDescent="0.2">
      <c r="A636" s="195"/>
      <c r="B636" s="195"/>
      <c r="C636" s="195"/>
      <c r="D636" s="195"/>
      <c r="E636" s="195"/>
      <c r="F636" s="195"/>
      <c r="G636" s="195"/>
      <c r="H636" s="195"/>
      <c r="I636" s="195"/>
      <c r="J636" s="195"/>
      <c r="K636" s="195"/>
      <c r="L636" s="195"/>
      <c r="M636" s="195"/>
      <c r="N636" s="195"/>
    </row>
    <row r="637" spans="1:14" x14ac:dyDescent="0.2">
      <c r="A637" s="195"/>
      <c r="B637" s="195"/>
      <c r="C637" s="195"/>
      <c r="D637" s="195"/>
      <c r="E637" s="195"/>
      <c r="F637" s="195"/>
      <c r="G637" s="195"/>
      <c r="H637" s="195"/>
      <c r="I637" s="195"/>
      <c r="J637" s="195"/>
      <c r="K637" s="195"/>
      <c r="L637" s="195"/>
      <c r="M637" s="195"/>
      <c r="N637" s="195"/>
    </row>
    <row r="638" spans="1:14" x14ac:dyDescent="0.2">
      <c r="A638" s="195"/>
      <c r="B638" s="195"/>
      <c r="C638" s="195"/>
      <c r="D638" s="195"/>
      <c r="E638" s="195"/>
      <c r="F638" s="195"/>
      <c r="G638" s="195"/>
      <c r="H638" s="195"/>
      <c r="I638" s="195"/>
      <c r="J638" s="195"/>
      <c r="K638" s="195"/>
      <c r="L638" s="195"/>
      <c r="M638" s="195"/>
      <c r="N638" s="195"/>
    </row>
    <row r="639" spans="1:14" x14ac:dyDescent="0.2">
      <c r="A639" s="707"/>
      <c r="B639" s="707"/>
      <c r="C639" s="707"/>
      <c r="D639" s="707"/>
      <c r="E639" s="707"/>
      <c r="F639" s="707"/>
      <c r="G639" s="707"/>
      <c r="H639" s="707"/>
      <c r="I639" s="707"/>
      <c r="J639" s="707"/>
      <c r="K639" s="707"/>
      <c r="L639" s="707"/>
      <c r="M639" s="707"/>
      <c r="N639" s="707"/>
    </row>
    <row r="640" spans="1:14" x14ac:dyDescent="0.2">
      <c r="A640" s="707"/>
      <c r="B640" s="707"/>
      <c r="C640" s="707"/>
      <c r="D640" s="707"/>
      <c r="E640" s="707"/>
      <c r="F640" s="707"/>
      <c r="G640" s="707"/>
      <c r="H640" s="707"/>
      <c r="I640" s="707"/>
      <c r="J640" s="707"/>
      <c r="K640" s="707"/>
      <c r="L640" s="707"/>
      <c r="M640" s="707"/>
      <c r="N640" s="707"/>
    </row>
    <row r="641" spans="1:14" x14ac:dyDescent="0.2">
      <c r="A641" s="703"/>
      <c r="B641" s="703"/>
      <c r="C641" s="704"/>
      <c r="D641" s="704"/>
      <c r="E641" s="707"/>
      <c r="F641" s="705"/>
      <c r="G641" s="703"/>
      <c r="H641" s="703"/>
      <c r="I641" s="703"/>
      <c r="J641" s="703"/>
      <c r="K641" s="703"/>
      <c r="L641" s="704"/>
      <c r="M641" s="704"/>
      <c r="N641" s="703"/>
    </row>
    <row r="642" spans="1:14" x14ac:dyDescent="0.2">
      <c r="A642" s="703"/>
      <c r="B642" s="703"/>
      <c r="C642" s="704"/>
      <c r="D642" s="704"/>
      <c r="E642" s="707"/>
      <c r="F642" s="708"/>
      <c r="G642" s="703"/>
      <c r="H642" s="703"/>
      <c r="I642" s="703"/>
      <c r="J642" s="703"/>
      <c r="K642" s="703"/>
      <c r="L642" s="704"/>
      <c r="M642" s="704"/>
      <c r="N642" s="703"/>
    </row>
    <row r="643" spans="1:14" x14ac:dyDescent="0.2">
      <c r="A643" s="195"/>
      <c r="B643" s="195"/>
      <c r="C643" s="195"/>
      <c r="D643" s="195"/>
      <c r="E643" s="195"/>
      <c r="F643" s="195"/>
      <c r="G643" s="195"/>
      <c r="H643" s="195"/>
      <c r="I643" s="195"/>
      <c r="J643" s="195"/>
      <c r="K643" s="195"/>
      <c r="L643" s="195"/>
      <c r="M643" s="195"/>
      <c r="N643" s="195"/>
    </row>
    <row r="644" spans="1:14" x14ac:dyDescent="0.2">
      <c r="A644" s="195"/>
      <c r="B644" s="195"/>
      <c r="C644" s="195"/>
      <c r="D644" s="195"/>
      <c r="E644" s="195"/>
      <c r="F644" s="195"/>
      <c r="G644" s="195"/>
      <c r="H644" s="195"/>
      <c r="I644" s="195"/>
      <c r="J644" s="195"/>
      <c r="K644" s="195"/>
      <c r="L644" s="195"/>
      <c r="M644" s="195"/>
      <c r="N644" s="195"/>
    </row>
    <row r="645" spans="1:14" x14ac:dyDescent="0.2">
      <c r="A645" s="195"/>
      <c r="B645" s="195"/>
      <c r="C645" s="195"/>
      <c r="D645" s="195"/>
      <c r="E645" s="195"/>
      <c r="F645" s="195"/>
      <c r="G645" s="195"/>
      <c r="H645" s="195"/>
      <c r="I645" s="195"/>
      <c r="J645" s="195"/>
      <c r="K645" s="195"/>
      <c r="L645" s="195"/>
      <c r="M645" s="195"/>
      <c r="N645" s="195"/>
    </row>
    <row r="646" spans="1:14" x14ac:dyDescent="0.2">
      <c r="A646" s="195"/>
      <c r="B646" s="195"/>
      <c r="C646" s="195"/>
      <c r="D646" s="195"/>
      <c r="E646" s="195"/>
      <c r="F646" s="195"/>
      <c r="G646" s="195"/>
      <c r="H646" s="195"/>
      <c r="I646" s="195"/>
      <c r="J646" s="195"/>
      <c r="K646" s="195"/>
      <c r="L646" s="195"/>
      <c r="M646" s="195"/>
      <c r="N646" s="195"/>
    </row>
    <row r="647" spans="1:14" x14ac:dyDescent="0.2">
      <c r="A647" s="195"/>
      <c r="B647" s="195"/>
      <c r="C647" s="195"/>
      <c r="D647" s="195"/>
      <c r="E647" s="195"/>
      <c r="F647" s="195"/>
      <c r="G647" s="195"/>
      <c r="H647" s="195"/>
      <c r="I647" s="195"/>
      <c r="J647" s="195"/>
      <c r="K647" s="195"/>
      <c r="L647" s="195"/>
      <c r="M647" s="195"/>
      <c r="N647" s="195"/>
    </row>
    <row r="648" spans="1:14" x14ac:dyDescent="0.2">
      <c r="A648" s="195"/>
      <c r="B648" s="195"/>
      <c r="C648" s="195"/>
      <c r="D648" s="195"/>
      <c r="E648" s="195"/>
      <c r="F648" s="195"/>
      <c r="G648" s="195"/>
      <c r="H648" s="195"/>
      <c r="I648" s="195"/>
      <c r="J648" s="195"/>
      <c r="K648" s="195"/>
      <c r="L648" s="195"/>
      <c r="M648" s="195"/>
      <c r="N648" s="195"/>
    </row>
    <row r="649" spans="1:14" x14ac:dyDescent="0.2">
      <c r="A649" s="195"/>
      <c r="B649" s="195"/>
      <c r="C649" s="195"/>
      <c r="D649" s="195"/>
      <c r="E649" s="195"/>
      <c r="F649" s="195"/>
      <c r="G649" s="195"/>
      <c r="H649" s="195"/>
      <c r="I649" s="195"/>
      <c r="J649" s="195"/>
      <c r="K649" s="195"/>
      <c r="L649" s="195"/>
      <c r="M649" s="195"/>
      <c r="N649" s="195"/>
    </row>
    <row r="650" spans="1:14" x14ac:dyDescent="0.2">
      <c r="A650" s="195"/>
      <c r="B650" s="195"/>
      <c r="C650" s="195"/>
      <c r="D650" s="195"/>
      <c r="E650" s="195"/>
      <c r="F650" s="195"/>
      <c r="G650" s="195"/>
      <c r="H650" s="195"/>
      <c r="I650" s="195"/>
      <c r="J650" s="195"/>
      <c r="K650" s="195"/>
      <c r="L650" s="195"/>
      <c r="M650" s="195"/>
      <c r="N650" s="195"/>
    </row>
    <row r="651" spans="1:14" x14ac:dyDescent="0.2">
      <c r="A651" s="195"/>
      <c r="B651" s="195"/>
      <c r="C651" s="195"/>
      <c r="D651" s="195"/>
      <c r="E651" s="195"/>
      <c r="F651" s="195"/>
      <c r="G651" s="195"/>
      <c r="H651" s="195"/>
      <c r="I651" s="195"/>
      <c r="J651" s="195"/>
      <c r="K651" s="195"/>
      <c r="L651" s="195"/>
      <c r="M651" s="195"/>
      <c r="N651" s="195"/>
    </row>
    <row r="652" spans="1:14" x14ac:dyDescent="0.2">
      <c r="A652" s="195"/>
      <c r="B652" s="195"/>
      <c r="C652" s="195"/>
      <c r="D652" s="195"/>
      <c r="E652" s="195"/>
      <c r="F652" s="195"/>
      <c r="G652" s="195"/>
      <c r="H652" s="195"/>
      <c r="I652" s="195"/>
      <c r="J652" s="195"/>
      <c r="K652" s="195"/>
      <c r="L652" s="195"/>
      <c r="M652" s="195"/>
      <c r="N652" s="195"/>
    </row>
    <row r="653" spans="1:14" x14ac:dyDescent="0.2">
      <c r="A653" s="195"/>
      <c r="B653" s="195"/>
      <c r="C653" s="195"/>
      <c r="D653" s="195"/>
      <c r="E653" s="195"/>
      <c r="F653" s="195"/>
      <c r="G653" s="195"/>
      <c r="H653" s="195"/>
      <c r="I653" s="195"/>
      <c r="J653" s="195"/>
      <c r="K653" s="195"/>
      <c r="L653" s="195"/>
      <c r="M653" s="195"/>
      <c r="N653" s="195"/>
    </row>
    <row r="654" spans="1:14" x14ac:dyDescent="0.2">
      <c r="A654" s="195"/>
      <c r="B654" s="195"/>
      <c r="C654" s="195"/>
      <c r="D654" s="195"/>
      <c r="E654" s="195"/>
      <c r="F654" s="195"/>
      <c r="G654" s="195"/>
      <c r="H654" s="195"/>
      <c r="I654" s="195"/>
      <c r="J654" s="195"/>
      <c r="K654" s="195"/>
      <c r="L654" s="195"/>
      <c r="M654" s="195"/>
      <c r="N654" s="195"/>
    </row>
    <row r="655" spans="1:14" x14ac:dyDescent="0.2">
      <c r="A655" s="195"/>
      <c r="B655" s="195"/>
      <c r="C655" s="195"/>
      <c r="D655" s="195"/>
      <c r="E655" s="195"/>
      <c r="F655" s="195"/>
      <c r="G655" s="195"/>
      <c r="H655" s="195"/>
      <c r="I655" s="195"/>
      <c r="J655" s="195"/>
      <c r="K655" s="195"/>
      <c r="L655" s="195"/>
      <c r="M655" s="195"/>
      <c r="N655" s="195"/>
    </row>
    <row r="656" spans="1:14" x14ac:dyDescent="0.2">
      <c r="A656" s="195"/>
      <c r="B656" s="195"/>
      <c r="C656" s="195"/>
      <c r="D656" s="195"/>
      <c r="E656" s="195"/>
      <c r="F656" s="195"/>
      <c r="G656" s="195"/>
      <c r="H656" s="195"/>
      <c r="I656" s="195"/>
      <c r="J656" s="195"/>
      <c r="K656" s="195"/>
      <c r="L656" s="195"/>
      <c r="M656" s="195"/>
      <c r="N656" s="195"/>
    </row>
    <row r="657" spans="1:14" x14ac:dyDescent="0.2">
      <c r="A657" s="195"/>
      <c r="B657" s="195"/>
      <c r="C657" s="195"/>
      <c r="D657" s="195"/>
      <c r="E657" s="195"/>
      <c r="F657" s="195"/>
      <c r="G657" s="195"/>
      <c r="H657" s="195"/>
      <c r="I657" s="195"/>
      <c r="J657" s="195"/>
      <c r="K657" s="195"/>
      <c r="L657" s="195"/>
      <c r="M657" s="195"/>
      <c r="N657" s="195"/>
    </row>
    <row r="658" spans="1:14" x14ac:dyDescent="0.2">
      <c r="A658" s="195"/>
      <c r="B658" s="195"/>
      <c r="C658" s="195"/>
      <c r="D658" s="195"/>
      <c r="E658" s="195"/>
      <c r="F658" s="195"/>
      <c r="G658" s="195"/>
      <c r="H658" s="195"/>
      <c r="I658" s="195"/>
      <c r="J658" s="195"/>
      <c r="K658" s="195"/>
      <c r="L658" s="195"/>
      <c r="M658" s="195"/>
      <c r="N658" s="195"/>
    </row>
    <row r="659" spans="1:14" x14ac:dyDescent="0.2">
      <c r="A659" s="195"/>
      <c r="B659" s="195"/>
      <c r="C659" s="195"/>
      <c r="D659" s="195"/>
      <c r="E659" s="195"/>
      <c r="F659" s="195"/>
      <c r="G659" s="195"/>
      <c r="H659" s="195"/>
      <c r="I659" s="195"/>
      <c r="J659" s="195"/>
      <c r="K659" s="195"/>
      <c r="L659" s="195"/>
      <c r="M659" s="195"/>
      <c r="N659" s="195"/>
    </row>
    <row r="660" spans="1:14" x14ac:dyDescent="0.2">
      <c r="A660" s="195"/>
      <c r="B660" s="195"/>
      <c r="C660" s="195"/>
      <c r="D660" s="195"/>
      <c r="E660" s="195"/>
      <c r="F660" s="195"/>
      <c r="G660" s="195"/>
      <c r="H660" s="195"/>
      <c r="I660" s="195"/>
      <c r="J660" s="195"/>
      <c r="K660" s="195"/>
      <c r="L660" s="195"/>
      <c r="M660" s="195"/>
      <c r="N660" s="195"/>
    </row>
    <row r="661" spans="1:14" x14ac:dyDescent="0.2">
      <c r="A661" s="195"/>
      <c r="B661" s="195"/>
      <c r="C661" s="195"/>
      <c r="D661" s="195"/>
      <c r="E661" s="195"/>
      <c r="F661" s="195"/>
      <c r="G661" s="195"/>
      <c r="H661" s="195"/>
      <c r="I661" s="195"/>
      <c r="J661" s="195"/>
      <c r="K661" s="195"/>
      <c r="L661" s="195"/>
      <c r="M661" s="195"/>
      <c r="N661" s="195"/>
    </row>
    <row r="662" spans="1:14" x14ac:dyDescent="0.2">
      <c r="A662" s="195"/>
      <c r="B662" s="195"/>
      <c r="C662" s="195"/>
      <c r="D662" s="195"/>
      <c r="E662" s="195"/>
      <c r="F662" s="195"/>
      <c r="G662" s="195"/>
      <c r="H662" s="195"/>
      <c r="I662" s="195"/>
      <c r="J662" s="195"/>
      <c r="K662" s="195"/>
      <c r="L662" s="195"/>
      <c r="M662" s="195"/>
      <c r="N662" s="195"/>
    </row>
    <row r="663" spans="1:14" x14ac:dyDescent="0.2">
      <c r="A663" s="195"/>
      <c r="B663" s="195"/>
      <c r="C663" s="195"/>
      <c r="D663" s="195"/>
      <c r="E663" s="195"/>
      <c r="F663" s="195"/>
      <c r="G663" s="195"/>
      <c r="H663" s="195"/>
      <c r="I663" s="195"/>
      <c r="J663" s="195"/>
      <c r="K663" s="195"/>
      <c r="L663" s="195"/>
      <c r="M663" s="195"/>
      <c r="N663" s="195"/>
    </row>
    <row r="664" spans="1:14" x14ac:dyDescent="0.2">
      <c r="A664" s="195"/>
      <c r="B664" s="195"/>
      <c r="C664" s="195"/>
      <c r="D664" s="195"/>
      <c r="E664" s="195"/>
      <c r="F664" s="195"/>
      <c r="G664" s="195"/>
      <c r="H664" s="195"/>
      <c r="I664" s="195"/>
      <c r="J664" s="195"/>
      <c r="K664" s="195"/>
      <c r="L664" s="195"/>
      <c r="M664" s="195"/>
      <c r="N664" s="195"/>
    </row>
    <row r="665" spans="1:14" x14ac:dyDescent="0.2">
      <c r="A665" s="195"/>
      <c r="B665" s="195"/>
      <c r="C665" s="195"/>
      <c r="D665" s="195"/>
      <c r="E665" s="195"/>
      <c r="F665" s="195"/>
      <c r="G665" s="195"/>
      <c r="H665" s="195"/>
      <c r="I665" s="195"/>
      <c r="J665" s="195"/>
      <c r="K665" s="195"/>
      <c r="L665" s="195"/>
      <c r="M665" s="195"/>
      <c r="N665" s="195"/>
    </row>
    <row r="666" spans="1:14" x14ac:dyDescent="0.2">
      <c r="A666" s="195"/>
      <c r="B666" s="195"/>
      <c r="C666" s="195"/>
      <c r="D666" s="195"/>
      <c r="E666" s="195"/>
      <c r="F666" s="195"/>
      <c r="G666" s="195"/>
      <c r="H666" s="195"/>
      <c r="I666" s="195"/>
      <c r="J666" s="195"/>
      <c r="K666" s="195"/>
      <c r="L666" s="195"/>
      <c r="M666" s="195"/>
      <c r="N666" s="195"/>
    </row>
    <row r="667" spans="1:14" x14ac:dyDescent="0.2">
      <c r="A667" s="195"/>
      <c r="B667" s="195"/>
      <c r="C667" s="195"/>
      <c r="D667" s="195"/>
      <c r="E667" s="195"/>
      <c r="F667" s="195"/>
      <c r="G667" s="195"/>
      <c r="H667" s="195"/>
      <c r="I667" s="195"/>
      <c r="J667" s="195"/>
      <c r="K667" s="195"/>
      <c r="L667" s="195"/>
      <c r="M667" s="195"/>
      <c r="N667" s="195"/>
    </row>
    <row r="668" spans="1:14" x14ac:dyDescent="0.2">
      <c r="A668" s="195"/>
      <c r="B668" s="195"/>
      <c r="C668" s="195"/>
      <c r="D668" s="195"/>
      <c r="E668" s="195"/>
      <c r="F668" s="195"/>
      <c r="G668" s="195"/>
      <c r="H668" s="195"/>
      <c r="I668" s="195"/>
      <c r="J668" s="195"/>
      <c r="K668" s="195"/>
      <c r="L668" s="195"/>
      <c r="M668" s="195"/>
      <c r="N668" s="195"/>
    </row>
    <row r="669" spans="1:14" x14ac:dyDescent="0.2">
      <c r="A669" s="195"/>
      <c r="B669" s="195"/>
      <c r="C669" s="195"/>
      <c r="D669" s="195"/>
      <c r="E669" s="195"/>
      <c r="F669" s="195"/>
      <c r="G669" s="195"/>
      <c r="H669" s="195"/>
      <c r="I669" s="195"/>
      <c r="J669" s="195"/>
      <c r="K669" s="195"/>
      <c r="L669" s="195"/>
      <c r="M669" s="195"/>
      <c r="N669" s="195"/>
    </row>
    <row r="670" spans="1:14" x14ac:dyDescent="0.2">
      <c r="A670" s="195"/>
      <c r="B670" s="195"/>
      <c r="C670" s="195"/>
      <c r="D670" s="195"/>
      <c r="E670" s="195"/>
      <c r="F670" s="195"/>
      <c r="G670" s="195"/>
      <c r="H670" s="195"/>
      <c r="I670" s="195"/>
      <c r="J670" s="195"/>
      <c r="K670" s="195"/>
      <c r="L670" s="195"/>
      <c r="M670" s="195"/>
      <c r="N670" s="195"/>
    </row>
    <row r="671" spans="1:14" x14ac:dyDescent="0.2">
      <c r="A671" s="195"/>
      <c r="B671" s="195"/>
      <c r="C671" s="195"/>
      <c r="D671" s="195"/>
      <c r="E671" s="195"/>
      <c r="F671" s="195"/>
      <c r="G671" s="195"/>
      <c r="H671" s="195"/>
      <c r="I671" s="195"/>
      <c r="J671" s="195"/>
      <c r="K671" s="195"/>
      <c r="L671" s="195"/>
      <c r="M671" s="195"/>
      <c r="N671" s="195"/>
    </row>
    <row r="672" spans="1:14" x14ac:dyDescent="0.2">
      <c r="A672" s="195"/>
      <c r="B672" s="195"/>
      <c r="C672" s="195"/>
      <c r="D672" s="195"/>
      <c r="E672" s="195"/>
      <c r="F672" s="195"/>
      <c r="G672" s="195"/>
      <c r="H672" s="195"/>
      <c r="I672" s="195"/>
      <c r="J672" s="195"/>
      <c r="K672" s="195"/>
      <c r="L672" s="195"/>
      <c r="M672" s="195"/>
      <c r="N672" s="195"/>
    </row>
    <row r="673" spans="1:14" x14ac:dyDescent="0.2">
      <c r="A673" s="195"/>
      <c r="B673" s="195"/>
      <c r="C673" s="195"/>
      <c r="D673" s="195"/>
      <c r="E673" s="195"/>
      <c r="F673" s="195"/>
      <c r="G673" s="195"/>
      <c r="H673" s="195"/>
      <c r="I673" s="195"/>
      <c r="J673" s="195"/>
      <c r="K673" s="195"/>
      <c r="L673" s="195"/>
      <c r="M673" s="195"/>
      <c r="N673" s="195"/>
    </row>
    <row r="674" spans="1:14" x14ac:dyDescent="0.2">
      <c r="A674" s="195"/>
      <c r="B674" s="195"/>
      <c r="C674" s="195"/>
      <c r="D674" s="195"/>
      <c r="E674" s="195"/>
      <c r="F674" s="195"/>
      <c r="G674" s="195"/>
      <c r="H674" s="195"/>
      <c r="I674" s="195"/>
      <c r="J674" s="195"/>
      <c r="K674" s="195"/>
      <c r="L674" s="195"/>
      <c r="M674" s="195"/>
      <c r="N674" s="195"/>
    </row>
    <row r="675" spans="1:14" x14ac:dyDescent="0.2">
      <c r="A675" s="195"/>
      <c r="B675" s="195"/>
      <c r="C675" s="195"/>
      <c r="D675" s="195"/>
      <c r="E675" s="195"/>
      <c r="F675" s="195"/>
      <c r="G675" s="195"/>
      <c r="H675" s="195"/>
      <c r="I675" s="195"/>
      <c r="J675" s="195"/>
      <c r="K675" s="195"/>
      <c r="L675" s="195"/>
      <c r="M675" s="195"/>
      <c r="N675" s="195"/>
    </row>
    <row r="676" spans="1:14" x14ac:dyDescent="0.2">
      <c r="A676" s="195"/>
      <c r="B676" s="195"/>
      <c r="C676" s="195"/>
      <c r="D676" s="195"/>
      <c r="E676" s="195"/>
      <c r="F676" s="195"/>
      <c r="G676" s="195"/>
      <c r="H676" s="195"/>
      <c r="I676" s="195"/>
      <c r="J676" s="195"/>
      <c r="K676" s="195"/>
      <c r="L676" s="195"/>
      <c r="M676" s="195"/>
      <c r="N676" s="195"/>
    </row>
    <row r="677" spans="1:14" x14ac:dyDescent="0.2">
      <c r="A677" s="195"/>
      <c r="B677" s="195"/>
      <c r="C677" s="195"/>
      <c r="D677" s="195"/>
      <c r="E677" s="195"/>
      <c r="F677" s="195"/>
      <c r="G677" s="195"/>
      <c r="H677" s="195"/>
      <c r="I677" s="195"/>
      <c r="J677" s="195"/>
      <c r="K677" s="195"/>
      <c r="L677" s="195"/>
      <c r="M677" s="195"/>
      <c r="N677" s="195"/>
    </row>
    <row r="678" spans="1:14" x14ac:dyDescent="0.2">
      <c r="A678" s="195"/>
      <c r="B678" s="195"/>
      <c r="C678" s="195"/>
      <c r="D678" s="195"/>
      <c r="E678" s="195"/>
      <c r="F678" s="195"/>
      <c r="G678" s="195"/>
      <c r="H678" s="195"/>
      <c r="I678" s="195"/>
      <c r="J678" s="195"/>
      <c r="K678" s="195"/>
      <c r="L678" s="195"/>
      <c r="M678" s="195"/>
      <c r="N678" s="195"/>
    </row>
    <row r="679" spans="1:14" x14ac:dyDescent="0.2">
      <c r="A679" s="195"/>
      <c r="B679" s="195"/>
      <c r="C679" s="195"/>
      <c r="D679" s="195"/>
      <c r="E679" s="195"/>
      <c r="F679" s="195"/>
      <c r="G679" s="195"/>
      <c r="H679" s="195"/>
      <c r="I679" s="195"/>
      <c r="J679" s="195"/>
      <c r="K679" s="195"/>
      <c r="L679" s="195"/>
      <c r="M679" s="195"/>
      <c r="N679" s="195"/>
    </row>
    <row r="680" spans="1:14" x14ac:dyDescent="0.2">
      <c r="A680" s="195"/>
      <c r="B680" s="195"/>
      <c r="C680" s="195"/>
      <c r="D680" s="195"/>
      <c r="E680" s="195"/>
      <c r="F680" s="195"/>
      <c r="G680" s="195"/>
      <c r="H680" s="195"/>
      <c r="I680" s="195"/>
      <c r="J680" s="195"/>
      <c r="K680" s="195"/>
      <c r="L680" s="195"/>
      <c r="M680" s="195"/>
      <c r="N680" s="195"/>
    </row>
    <row r="681" spans="1:14" x14ac:dyDescent="0.2">
      <c r="A681" s="707"/>
      <c r="B681" s="707"/>
      <c r="C681" s="707"/>
      <c r="D681" s="707"/>
      <c r="E681" s="707"/>
      <c r="F681" s="707"/>
      <c r="G681" s="707"/>
      <c r="H681" s="707"/>
      <c r="I681" s="707"/>
      <c r="J681" s="707"/>
      <c r="K681" s="707"/>
      <c r="L681" s="707"/>
      <c r="M681" s="707"/>
      <c r="N681" s="707"/>
    </row>
    <row r="682" spans="1:14" x14ac:dyDescent="0.2">
      <c r="A682" s="707"/>
      <c r="B682" s="707"/>
      <c r="C682" s="707"/>
      <c r="D682" s="707"/>
      <c r="E682" s="707"/>
      <c r="F682" s="707"/>
      <c r="G682" s="707"/>
      <c r="H682" s="707"/>
      <c r="I682" s="707"/>
      <c r="J682" s="707"/>
      <c r="K682" s="707"/>
      <c r="L682" s="707"/>
      <c r="M682" s="707"/>
      <c r="N682" s="707"/>
    </row>
    <row r="683" spans="1:14" x14ac:dyDescent="0.2">
      <c r="A683" s="703"/>
      <c r="B683" s="703"/>
      <c r="C683" s="704"/>
      <c r="D683" s="704"/>
      <c r="E683" s="707"/>
      <c r="F683" s="705"/>
      <c r="G683" s="703"/>
      <c r="H683" s="703"/>
      <c r="I683" s="703"/>
      <c r="J683" s="703"/>
      <c r="K683" s="703"/>
      <c r="L683" s="704"/>
      <c r="M683" s="704"/>
      <c r="N683" s="703"/>
    </row>
    <row r="684" spans="1:14" x14ac:dyDescent="0.2">
      <c r="A684" s="703"/>
      <c r="B684" s="703"/>
      <c r="C684" s="704"/>
      <c r="D684" s="704"/>
      <c r="E684" s="707"/>
      <c r="F684" s="708"/>
      <c r="G684" s="703"/>
      <c r="H684" s="703"/>
      <c r="I684" s="703"/>
      <c r="J684" s="703"/>
      <c r="K684" s="703"/>
      <c r="L684" s="704"/>
      <c r="M684" s="704"/>
      <c r="N684" s="703"/>
    </row>
    <row r="685" spans="1:14" x14ac:dyDescent="0.2">
      <c r="A685" s="195"/>
      <c r="B685" s="195"/>
      <c r="C685" s="195"/>
      <c r="D685" s="195"/>
      <c r="E685" s="195"/>
      <c r="F685" s="195"/>
      <c r="G685" s="195"/>
      <c r="H685" s="195"/>
      <c r="I685" s="195"/>
      <c r="J685" s="195"/>
      <c r="K685" s="195"/>
      <c r="L685" s="195"/>
      <c r="M685" s="195"/>
      <c r="N685" s="195"/>
    </row>
    <row r="686" spans="1:14" x14ac:dyDescent="0.2">
      <c r="A686" s="195"/>
      <c r="B686" s="195"/>
      <c r="C686" s="195"/>
      <c r="D686" s="195"/>
      <c r="E686" s="195"/>
      <c r="F686" s="195"/>
      <c r="G686" s="195"/>
      <c r="H686" s="195"/>
      <c r="I686" s="195"/>
      <c r="J686" s="195"/>
      <c r="K686" s="195"/>
      <c r="L686" s="195"/>
      <c r="M686" s="195"/>
      <c r="N686" s="195"/>
    </row>
    <row r="687" spans="1:14" x14ac:dyDescent="0.2">
      <c r="A687" s="195"/>
      <c r="B687" s="195"/>
      <c r="C687" s="195"/>
      <c r="D687" s="195"/>
      <c r="E687" s="195"/>
      <c r="F687" s="195"/>
      <c r="G687" s="195"/>
      <c r="H687" s="195"/>
      <c r="I687" s="195"/>
      <c r="J687" s="195"/>
      <c r="K687" s="195"/>
      <c r="L687" s="195"/>
      <c r="M687" s="195"/>
      <c r="N687" s="195"/>
    </row>
    <row r="688" spans="1:14" x14ac:dyDescent="0.2">
      <c r="A688" s="195"/>
      <c r="B688" s="195"/>
      <c r="C688" s="195"/>
      <c r="D688" s="195"/>
      <c r="E688" s="195"/>
      <c r="F688" s="195"/>
      <c r="G688" s="195"/>
      <c r="H688" s="195"/>
      <c r="I688" s="195"/>
      <c r="J688" s="195"/>
      <c r="K688" s="195"/>
      <c r="L688" s="195"/>
      <c r="M688" s="195"/>
      <c r="N688" s="195"/>
    </row>
    <row r="689" spans="1:14" x14ac:dyDescent="0.2">
      <c r="A689" s="195"/>
      <c r="B689" s="195"/>
      <c r="C689" s="195"/>
      <c r="D689" s="195"/>
      <c r="E689" s="195"/>
      <c r="F689" s="195"/>
      <c r="G689" s="195"/>
      <c r="H689" s="195"/>
      <c r="I689" s="195"/>
      <c r="J689" s="195"/>
      <c r="K689" s="195"/>
      <c r="L689" s="195"/>
      <c r="M689" s="195"/>
      <c r="N689" s="195"/>
    </row>
    <row r="690" spans="1:14" x14ac:dyDescent="0.2">
      <c r="A690" s="195"/>
      <c r="B690" s="195"/>
      <c r="C690" s="195"/>
      <c r="D690" s="195"/>
      <c r="E690" s="195"/>
      <c r="F690" s="195"/>
      <c r="G690" s="195"/>
      <c r="H690" s="195"/>
      <c r="I690" s="195"/>
      <c r="J690" s="195"/>
      <c r="K690" s="195"/>
      <c r="L690" s="195"/>
      <c r="M690" s="195"/>
      <c r="N690" s="195"/>
    </row>
    <row r="691" spans="1:14" x14ac:dyDescent="0.2">
      <c r="A691" s="195"/>
      <c r="B691" s="195"/>
      <c r="C691" s="195"/>
      <c r="D691" s="195"/>
      <c r="E691" s="195"/>
      <c r="F691" s="195"/>
      <c r="G691" s="195"/>
      <c r="H691" s="195"/>
      <c r="I691" s="195"/>
      <c r="J691" s="195"/>
      <c r="K691" s="195"/>
      <c r="L691" s="195"/>
      <c r="M691" s="195"/>
      <c r="N691" s="195"/>
    </row>
    <row r="692" spans="1:14" x14ac:dyDescent="0.2">
      <c r="A692" s="195"/>
      <c r="B692" s="195"/>
      <c r="C692" s="195"/>
      <c r="D692" s="195"/>
      <c r="E692" s="195"/>
      <c r="F692" s="195"/>
      <c r="G692" s="195"/>
      <c r="H692" s="195"/>
      <c r="I692" s="195"/>
      <c r="J692" s="195"/>
      <c r="K692" s="195"/>
      <c r="L692" s="195"/>
      <c r="M692" s="195"/>
      <c r="N692" s="195"/>
    </row>
    <row r="693" spans="1:14" x14ac:dyDescent="0.2">
      <c r="A693" s="195"/>
      <c r="B693" s="195"/>
      <c r="C693" s="195"/>
      <c r="D693" s="195"/>
      <c r="E693" s="195"/>
      <c r="F693" s="195"/>
      <c r="G693" s="195"/>
      <c r="H693" s="195"/>
      <c r="I693" s="195"/>
      <c r="J693" s="195"/>
      <c r="K693" s="195"/>
      <c r="L693" s="195"/>
      <c r="M693" s="195"/>
      <c r="N693" s="195"/>
    </row>
    <row r="694" spans="1:14" x14ac:dyDescent="0.2">
      <c r="A694" s="195"/>
      <c r="B694" s="195"/>
      <c r="C694" s="195"/>
      <c r="D694" s="195"/>
      <c r="E694" s="195"/>
      <c r="F694" s="195"/>
      <c r="G694" s="195"/>
      <c r="H694" s="195"/>
      <c r="I694" s="195"/>
      <c r="J694" s="195"/>
      <c r="K694" s="195"/>
      <c r="L694" s="195"/>
      <c r="M694" s="195"/>
      <c r="N694" s="195"/>
    </row>
    <row r="695" spans="1:14" x14ac:dyDescent="0.2">
      <c r="A695" s="195"/>
      <c r="B695" s="195"/>
      <c r="C695" s="195"/>
      <c r="D695" s="195"/>
      <c r="E695" s="195"/>
      <c r="F695" s="195"/>
      <c r="G695" s="195"/>
      <c r="H695" s="195"/>
      <c r="I695" s="195"/>
      <c r="J695" s="195"/>
      <c r="K695" s="195"/>
      <c r="L695" s="195"/>
      <c r="M695" s="195"/>
      <c r="N695" s="195"/>
    </row>
    <row r="696" spans="1:14" x14ac:dyDescent="0.2">
      <c r="A696" s="195"/>
      <c r="B696" s="195"/>
      <c r="C696" s="195"/>
      <c r="D696" s="195"/>
      <c r="E696" s="195"/>
      <c r="F696" s="195"/>
      <c r="G696" s="195"/>
      <c r="H696" s="195"/>
      <c r="I696" s="195"/>
      <c r="J696" s="195"/>
      <c r="K696" s="195"/>
      <c r="L696" s="195"/>
      <c r="M696" s="195"/>
      <c r="N696" s="195"/>
    </row>
    <row r="697" spans="1:14" x14ac:dyDescent="0.2">
      <c r="A697" s="195"/>
      <c r="B697" s="195"/>
      <c r="C697" s="195"/>
      <c r="D697" s="195"/>
      <c r="E697" s="195"/>
      <c r="F697" s="195"/>
      <c r="G697" s="195"/>
      <c r="H697" s="195"/>
      <c r="I697" s="195"/>
      <c r="J697" s="195"/>
      <c r="K697" s="195"/>
      <c r="L697" s="195"/>
      <c r="M697" s="195"/>
      <c r="N697" s="195"/>
    </row>
    <row r="698" spans="1:14" x14ac:dyDescent="0.2">
      <c r="A698" s="195"/>
      <c r="B698" s="195"/>
      <c r="C698" s="195"/>
      <c r="D698" s="195"/>
      <c r="E698" s="195"/>
      <c r="F698" s="195"/>
      <c r="G698" s="195"/>
      <c r="H698" s="195"/>
      <c r="I698" s="195"/>
      <c r="J698" s="195"/>
      <c r="K698" s="195"/>
      <c r="L698" s="195"/>
      <c r="M698" s="195"/>
      <c r="N698" s="195"/>
    </row>
    <row r="699" spans="1:14" x14ac:dyDescent="0.2">
      <c r="A699" s="195"/>
      <c r="B699" s="195"/>
      <c r="C699" s="195"/>
      <c r="D699" s="195"/>
      <c r="E699" s="195"/>
      <c r="F699" s="195"/>
      <c r="G699" s="195"/>
      <c r="H699" s="195"/>
      <c r="I699" s="195"/>
      <c r="J699" s="195"/>
      <c r="K699" s="195"/>
      <c r="L699" s="195"/>
      <c r="M699" s="195"/>
      <c r="N699" s="195"/>
    </row>
    <row r="700" spans="1:14" x14ac:dyDescent="0.2">
      <c r="A700" s="195"/>
      <c r="B700" s="195"/>
      <c r="C700" s="195"/>
      <c r="D700" s="195"/>
      <c r="E700" s="195"/>
      <c r="F700" s="195"/>
      <c r="G700" s="195"/>
      <c r="H700" s="195"/>
      <c r="I700" s="195"/>
      <c r="J700" s="195"/>
      <c r="K700" s="195"/>
      <c r="L700" s="195"/>
      <c r="M700" s="195"/>
      <c r="N700" s="195"/>
    </row>
    <row r="701" spans="1:14" x14ac:dyDescent="0.2">
      <c r="A701" s="195"/>
      <c r="B701" s="195"/>
      <c r="C701" s="195"/>
      <c r="D701" s="195"/>
      <c r="E701" s="195"/>
      <c r="F701" s="195"/>
      <c r="G701" s="195"/>
      <c r="H701" s="195"/>
      <c r="I701" s="195"/>
      <c r="J701" s="195"/>
      <c r="K701" s="195"/>
      <c r="L701" s="195"/>
      <c r="M701" s="195"/>
      <c r="N701" s="195"/>
    </row>
    <row r="702" spans="1:14" x14ac:dyDescent="0.2">
      <c r="A702" s="195"/>
      <c r="B702" s="195"/>
      <c r="C702" s="195"/>
      <c r="D702" s="195"/>
      <c r="E702" s="195"/>
      <c r="F702" s="195"/>
      <c r="G702" s="195"/>
      <c r="H702" s="195"/>
      <c r="I702" s="195"/>
      <c r="J702" s="195"/>
      <c r="K702" s="195"/>
      <c r="L702" s="195"/>
      <c r="M702" s="195"/>
      <c r="N702" s="195"/>
    </row>
    <row r="703" spans="1:14" x14ac:dyDescent="0.2">
      <c r="A703" s="195"/>
      <c r="B703" s="195"/>
      <c r="C703" s="195"/>
      <c r="D703" s="195"/>
      <c r="E703" s="195"/>
      <c r="F703" s="195"/>
      <c r="G703" s="195"/>
      <c r="H703" s="195"/>
      <c r="I703" s="195"/>
      <c r="J703" s="195"/>
      <c r="K703" s="195"/>
      <c r="L703" s="195"/>
      <c r="M703" s="195"/>
      <c r="N703" s="195"/>
    </row>
    <row r="704" spans="1:14" x14ac:dyDescent="0.2">
      <c r="A704" s="195"/>
      <c r="B704" s="195"/>
      <c r="C704" s="195"/>
      <c r="D704" s="195"/>
      <c r="E704" s="195"/>
      <c r="F704" s="195"/>
      <c r="G704" s="195"/>
      <c r="H704" s="195"/>
      <c r="I704" s="195"/>
      <c r="J704" s="195"/>
      <c r="K704" s="195"/>
      <c r="L704" s="195"/>
      <c r="M704" s="195"/>
      <c r="N704" s="195"/>
    </row>
    <row r="705" spans="1:14" x14ac:dyDescent="0.2">
      <c r="A705" s="195"/>
      <c r="B705" s="195"/>
      <c r="C705" s="195"/>
      <c r="D705" s="195"/>
      <c r="E705" s="195"/>
      <c r="F705" s="195"/>
      <c r="G705" s="195"/>
      <c r="H705" s="195"/>
      <c r="I705" s="195"/>
      <c r="J705" s="195"/>
      <c r="K705" s="195"/>
      <c r="L705" s="195"/>
      <c r="M705" s="195"/>
      <c r="N705" s="195"/>
    </row>
    <row r="706" spans="1:14" x14ac:dyDescent="0.2">
      <c r="A706" s="195"/>
      <c r="B706" s="195"/>
      <c r="C706" s="195"/>
      <c r="D706" s="195"/>
      <c r="E706" s="195"/>
      <c r="F706" s="195"/>
      <c r="G706" s="195"/>
      <c r="H706" s="195"/>
      <c r="I706" s="195"/>
      <c r="J706" s="195"/>
      <c r="K706" s="195"/>
      <c r="L706" s="195"/>
      <c r="M706" s="195"/>
      <c r="N706" s="195"/>
    </row>
    <row r="707" spans="1:14" x14ac:dyDescent="0.2">
      <c r="A707" s="195"/>
      <c r="B707" s="195"/>
      <c r="C707" s="195"/>
      <c r="D707" s="195"/>
      <c r="E707" s="195"/>
      <c r="F707" s="195"/>
      <c r="G707" s="195"/>
      <c r="H707" s="195"/>
      <c r="I707" s="195"/>
      <c r="J707" s="195"/>
      <c r="K707" s="195"/>
      <c r="L707" s="195"/>
      <c r="M707" s="195"/>
      <c r="N707" s="195"/>
    </row>
    <row r="708" spans="1:14" x14ac:dyDescent="0.2">
      <c r="A708" s="195"/>
      <c r="B708" s="195"/>
      <c r="C708" s="195"/>
      <c r="D708" s="195"/>
      <c r="E708" s="195"/>
      <c r="F708" s="195"/>
      <c r="G708" s="195"/>
      <c r="H708" s="195"/>
      <c r="I708" s="195"/>
      <c r="J708" s="195"/>
      <c r="K708" s="195"/>
      <c r="L708" s="195"/>
      <c r="M708" s="195"/>
      <c r="N708" s="195"/>
    </row>
    <row r="709" spans="1:14" x14ac:dyDescent="0.2">
      <c r="A709" s="195"/>
      <c r="B709" s="195"/>
      <c r="C709" s="195"/>
      <c r="D709" s="195"/>
      <c r="E709" s="195"/>
      <c r="F709" s="195"/>
      <c r="G709" s="195"/>
      <c r="H709" s="195"/>
      <c r="I709" s="195"/>
      <c r="J709" s="195"/>
      <c r="K709" s="195"/>
      <c r="L709" s="195"/>
      <c r="M709" s="195"/>
      <c r="N709" s="195"/>
    </row>
    <row r="710" spans="1:14" x14ac:dyDescent="0.2">
      <c r="A710" s="195"/>
      <c r="B710" s="195"/>
      <c r="C710" s="195"/>
      <c r="D710" s="195"/>
      <c r="E710" s="195"/>
      <c r="F710" s="195"/>
      <c r="G710" s="195"/>
      <c r="H710" s="195"/>
      <c r="I710" s="195"/>
      <c r="J710" s="195"/>
      <c r="K710" s="195"/>
      <c r="L710" s="195"/>
      <c r="M710" s="195"/>
      <c r="N710" s="195"/>
    </row>
    <row r="711" spans="1:14" x14ac:dyDescent="0.2">
      <c r="A711" s="195"/>
      <c r="B711" s="195"/>
      <c r="C711" s="195"/>
      <c r="D711" s="195"/>
      <c r="E711" s="195"/>
      <c r="F711" s="195"/>
      <c r="G711" s="195"/>
      <c r="H711" s="195"/>
      <c r="I711" s="195"/>
      <c r="J711" s="195"/>
      <c r="K711" s="195"/>
      <c r="L711" s="195"/>
      <c r="M711" s="195"/>
      <c r="N711" s="195"/>
    </row>
    <row r="712" spans="1:14" x14ac:dyDescent="0.2">
      <c r="A712" s="195"/>
      <c r="B712" s="195"/>
      <c r="C712" s="195"/>
      <c r="D712" s="195"/>
      <c r="E712" s="195"/>
      <c r="F712" s="195"/>
      <c r="G712" s="195"/>
      <c r="H712" s="195"/>
      <c r="I712" s="195"/>
      <c r="J712" s="195"/>
      <c r="K712" s="195"/>
      <c r="L712" s="195"/>
      <c r="M712" s="195"/>
      <c r="N712" s="195"/>
    </row>
    <row r="713" spans="1:14" x14ac:dyDescent="0.2">
      <c r="A713" s="707"/>
      <c r="B713" s="707"/>
      <c r="C713" s="707"/>
      <c r="D713" s="707"/>
      <c r="E713" s="707"/>
      <c r="F713" s="707"/>
      <c r="G713" s="707"/>
      <c r="H713" s="707"/>
      <c r="I713" s="707"/>
      <c r="J713" s="707"/>
      <c r="K713" s="707"/>
      <c r="L713" s="707"/>
      <c r="M713" s="707"/>
      <c r="N713" s="707"/>
    </row>
    <row r="714" spans="1:14" x14ac:dyDescent="0.2">
      <c r="A714" s="707"/>
      <c r="B714" s="707"/>
      <c r="C714" s="707"/>
      <c r="D714" s="707"/>
      <c r="E714" s="707"/>
      <c r="F714" s="707"/>
      <c r="G714" s="707"/>
      <c r="H714" s="707"/>
      <c r="I714" s="707"/>
      <c r="J714" s="707"/>
      <c r="K714" s="707"/>
      <c r="L714" s="707"/>
      <c r="M714" s="707"/>
      <c r="N714" s="707"/>
    </row>
    <row r="715" spans="1:14" x14ac:dyDescent="0.2">
      <c r="A715" s="703"/>
      <c r="B715" s="703"/>
      <c r="C715" s="704"/>
      <c r="D715" s="704"/>
      <c r="E715" s="707"/>
      <c r="F715" s="705"/>
      <c r="G715" s="703"/>
      <c r="H715" s="703"/>
      <c r="I715" s="703"/>
      <c r="J715" s="703"/>
      <c r="K715" s="703"/>
      <c r="L715" s="704"/>
      <c r="M715" s="704"/>
      <c r="N715" s="703"/>
    </row>
    <row r="716" spans="1:14" x14ac:dyDescent="0.2">
      <c r="A716" s="703"/>
      <c r="B716" s="703"/>
      <c r="C716" s="704"/>
      <c r="D716" s="704"/>
      <c r="E716" s="707"/>
      <c r="F716" s="708"/>
      <c r="G716" s="703"/>
      <c r="H716" s="703"/>
      <c r="I716" s="703"/>
      <c r="J716" s="703"/>
      <c r="K716" s="703"/>
      <c r="L716" s="704"/>
      <c r="M716" s="704"/>
      <c r="N716" s="703"/>
    </row>
    <row r="717" spans="1:14" x14ac:dyDescent="0.2">
      <c r="A717" s="195"/>
      <c r="B717" s="195"/>
      <c r="C717" s="195"/>
      <c r="D717" s="195"/>
      <c r="E717" s="195"/>
      <c r="F717" s="195"/>
      <c r="G717" s="195"/>
      <c r="H717" s="195"/>
      <c r="I717" s="195"/>
      <c r="J717" s="195"/>
      <c r="K717" s="195"/>
      <c r="L717" s="195"/>
      <c r="M717" s="195"/>
      <c r="N717" s="195"/>
    </row>
    <row r="718" spans="1:14" x14ac:dyDescent="0.2">
      <c r="A718" s="195"/>
      <c r="B718" s="195"/>
      <c r="C718" s="195"/>
      <c r="D718" s="195"/>
      <c r="E718" s="195"/>
      <c r="F718" s="195"/>
      <c r="G718" s="195"/>
      <c r="H718" s="195"/>
      <c r="I718" s="195"/>
      <c r="J718" s="195"/>
      <c r="K718" s="195"/>
      <c r="L718" s="195"/>
      <c r="M718" s="195"/>
      <c r="N718" s="195"/>
    </row>
    <row r="719" spans="1:14" x14ac:dyDescent="0.2">
      <c r="A719" s="195"/>
      <c r="B719" s="195"/>
      <c r="C719" s="195"/>
      <c r="D719" s="195"/>
      <c r="E719" s="195"/>
      <c r="F719" s="195"/>
      <c r="G719" s="195"/>
      <c r="H719" s="195"/>
      <c r="I719" s="195"/>
      <c r="J719" s="195"/>
      <c r="K719" s="195"/>
      <c r="L719" s="195"/>
      <c r="M719" s="195"/>
      <c r="N719" s="195"/>
    </row>
    <row r="720" spans="1:14" x14ac:dyDescent="0.2">
      <c r="A720" s="195"/>
      <c r="B720" s="195"/>
      <c r="C720" s="195"/>
      <c r="D720" s="195"/>
      <c r="E720" s="195"/>
      <c r="F720" s="195"/>
      <c r="G720" s="195"/>
      <c r="H720" s="195"/>
      <c r="I720" s="195"/>
      <c r="J720" s="195"/>
      <c r="K720" s="195"/>
      <c r="L720" s="195"/>
      <c r="M720" s="195"/>
      <c r="N720" s="195"/>
    </row>
    <row r="721" spans="1:14" x14ac:dyDescent="0.2">
      <c r="A721" s="195"/>
      <c r="B721" s="195"/>
      <c r="C721" s="195"/>
      <c r="D721" s="195"/>
      <c r="E721" s="195"/>
      <c r="F721" s="195"/>
      <c r="G721" s="195"/>
      <c r="H721" s="195"/>
      <c r="I721" s="195"/>
      <c r="J721" s="195"/>
      <c r="K721" s="195"/>
      <c r="L721" s="195"/>
      <c r="M721" s="195"/>
      <c r="N721" s="195"/>
    </row>
    <row r="722" spans="1:14" x14ac:dyDescent="0.2">
      <c r="A722" s="195"/>
      <c r="B722" s="195"/>
      <c r="C722" s="195"/>
      <c r="D722" s="195"/>
      <c r="E722" s="195"/>
      <c r="F722" s="195"/>
      <c r="G722" s="195"/>
      <c r="H722" s="195"/>
      <c r="I722" s="195"/>
      <c r="J722" s="195"/>
      <c r="K722" s="195"/>
      <c r="L722" s="195"/>
      <c r="M722" s="195"/>
      <c r="N722" s="195"/>
    </row>
    <row r="723" spans="1:14" x14ac:dyDescent="0.2">
      <c r="A723" s="195"/>
      <c r="B723" s="195"/>
      <c r="C723" s="195"/>
      <c r="D723" s="195"/>
      <c r="E723" s="195"/>
      <c r="F723" s="195"/>
      <c r="G723" s="195"/>
      <c r="H723" s="195"/>
      <c r="I723" s="195"/>
      <c r="J723" s="195"/>
      <c r="K723" s="195"/>
      <c r="L723" s="195"/>
      <c r="M723" s="195"/>
      <c r="N723" s="195"/>
    </row>
    <row r="724" spans="1:14" x14ac:dyDescent="0.2">
      <c r="A724" s="195"/>
      <c r="B724" s="195"/>
      <c r="C724" s="195"/>
      <c r="D724" s="195"/>
      <c r="E724" s="195"/>
      <c r="F724" s="195"/>
      <c r="G724" s="195"/>
      <c r="H724" s="195"/>
      <c r="I724" s="195"/>
      <c r="J724" s="195"/>
      <c r="K724" s="195"/>
      <c r="L724" s="195"/>
      <c r="M724" s="195"/>
      <c r="N724" s="195"/>
    </row>
    <row r="725" spans="1:14" x14ac:dyDescent="0.2">
      <c r="A725" s="195"/>
      <c r="B725" s="195"/>
      <c r="C725" s="195"/>
      <c r="D725" s="195"/>
      <c r="E725" s="195"/>
      <c r="F725" s="195"/>
      <c r="G725" s="195"/>
      <c r="H725" s="195"/>
      <c r="I725" s="195"/>
      <c r="J725" s="195"/>
      <c r="K725" s="195"/>
      <c r="L725" s="195"/>
      <c r="M725" s="195"/>
      <c r="N725" s="195"/>
    </row>
    <row r="726" spans="1:14" x14ac:dyDescent="0.2">
      <c r="A726" s="195"/>
      <c r="B726" s="195"/>
      <c r="C726" s="195"/>
      <c r="D726" s="195"/>
      <c r="E726" s="195"/>
      <c r="F726" s="195"/>
      <c r="G726" s="195"/>
      <c r="H726" s="195"/>
      <c r="I726" s="195"/>
      <c r="J726" s="195"/>
      <c r="K726" s="195"/>
      <c r="L726" s="195"/>
      <c r="M726" s="195"/>
      <c r="N726" s="195"/>
    </row>
    <row r="727" spans="1:14" x14ac:dyDescent="0.2">
      <c r="A727" s="195"/>
      <c r="B727" s="195"/>
      <c r="C727" s="195"/>
      <c r="D727" s="195"/>
      <c r="E727" s="195"/>
      <c r="F727" s="195"/>
      <c r="G727" s="195"/>
      <c r="H727" s="195"/>
      <c r="I727" s="195"/>
      <c r="J727" s="195"/>
      <c r="K727" s="195"/>
      <c r="L727" s="195"/>
      <c r="M727" s="195"/>
      <c r="N727" s="195"/>
    </row>
    <row r="728" spans="1:14" x14ac:dyDescent="0.2">
      <c r="A728" s="195"/>
      <c r="B728" s="195"/>
      <c r="C728" s="195"/>
      <c r="D728" s="195"/>
      <c r="E728" s="195"/>
      <c r="F728" s="195"/>
      <c r="G728" s="195"/>
      <c r="H728" s="195"/>
      <c r="I728" s="195"/>
      <c r="J728" s="195"/>
      <c r="K728" s="195"/>
      <c r="L728" s="195"/>
      <c r="M728" s="195"/>
      <c r="N728" s="195"/>
    </row>
    <row r="729" spans="1:14" x14ac:dyDescent="0.2">
      <c r="A729" s="195"/>
      <c r="B729" s="195"/>
      <c r="C729" s="195"/>
      <c r="D729" s="195"/>
      <c r="E729" s="195"/>
      <c r="F729" s="195"/>
      <c r="G729" s="195"/>
      <c r="H729" s="195"/>
      <c r="I729" s="195"/>
      <c r="J729" s="195"/>
      <c r="K729" s="195"/>
      <c r="L729" s="195"/>
      <c r="M729" s="195"/>
      <c r="N729" s="195"/>
    </row>
    <row r="730" spans="1:14" x14ac:dyDescent="0.2">
      <c r="A730" s="195"/>
      <c r="B730" s="195"/>
      <c r="C730" s="195"/>
      <c r="D730" s="195"/>
      <c r="E730" s="195"/>
      <c r="F730" s="195"/>
      <c r="G730" s="195"/>
      <c r="H730" s="195"/>
      <c r="I730" s="195"/>
      <c r="J730" s="195"/>
      <c r="K730" s="195"/>
      <c r="L730" s="195"/>
      <c r="M730" s="195"/>
      <c r="N730" s="195"/>
    </row>
    <row r="731" spans="1:14" x14ac:dyDescent="0.2">
      <c r="A731" s="195"/>
      <c r="B731" s="195"/>
      <c r="C731" s="195"/>
      <c r="D731" s="195"/>
      <c r="E731" s="195"/>
      <c r="F731" s="195"/>
      <c r="G731" s="195"/>
      <c r="H731" s="195"/>
      <c r="I731" s="195"/>
      <c r="J731" s="195"/>
      <c r="K731" s="195"/>
      <c r="L731" s="195"/>
      <c r="M731" s="195"/>
      <c r="N731" s="195"/>
    </row>
    <row r="732" spans="1:14" x14ac:dyDescent="0.2">
      <c r="A732" s="195"/>
      <c r="B732" s="195"/>
      <c r="C732" s="195"/>
      <c r="D732" s="195"/>
      <c r="E732" s="195"/>
      <c r="F732" s="195"/>
      <c r="G732" s="195"/>
      <c r="H732" s="195"/>
      <c r="I732" s="195"/>
      <c r="J732" s="195"/>
      <c r="K732" s="195"/>
      <c r="L732" s="195"/>
      <c r="M732" s="195"/>
      <c r="N732" s="195"/>
    </row>
    <row r="733" spans="1:14" x14ac:dyDescent="0.2">
      <c r="A733" s="707"/>
      <c r="B733" s="707"/>
      <c r="C733" s="707"/>
      <c r="D733" s="707"/>
      <c r="E733" s="707"/>
      <c r="F733" s="707"/>
      <c r="G733" s="707"/>
      <c r="H733" s="707"/>
      <c r="I733" s="707"/>
      <c r="J733" s="707"/>
      <c r="K733" s="707"/>
      <c r="L733" s="707"/>
      <c r="M733" s="707"/>
      <c r="N733" s="707"/>
    </row>
    <row r="734" spans="1:14" x14ac:dyDescent="0.2">
      <c r="A734" s="707"/>
      <c r="B734" s="707"/>
      <c r="C734" s="707"/>
      <c r="D734" s="707"/>
      <c r="E734" s="707"/>
      <c r="F734" s="707"/>
      <c r="G734" s="707"/>
      <c r="H734" s="707"/>
      <c r="I734" s="707"/>
      <c r="J734" s="707"/>
      <c r="K734" s="707"/>
      <c r="L734" s="707"/>
      <c r="M734" s="707"/>
      <c r="N734" s="707"/>
    </row>
    <row r="735" spans="1:14" x14ac:dyDescent="0.2">
      <c r="A735" s="703"/>
      <c r="B735" s="703"/>
      <c r="C735" s="704"/>
      <c r="D735" s="704"/>
      <c r="E735" s="707"/>
      <c r="F735" s="705"/>
      <c r="G735" s="703"/>
      <c r="H735" s="703"/>
      <c r="I735" s="703"/>
      <c r="J735" s="703"/>
      <c r="K735" s="703"/>
      <c r="L735" s="704"/>
      <c r="M735" s="704"/>
      <c r="N735" s="703"/>
    </row>
    <row r="736" spans="1:14" x14ac:dyDescent="0.2">
      <c r="A736" s="703"/>
      <c r="B736" s="703"/>
      <c r="C736" s="704"/>
      <c r="D736" s="704"/>
      <c r="E736" s="707"/>
      <c r="F736" s="708"/>
      <c r="G736" s="703"/>
      <c r="H736" s="703"/>
      <c r="I736" s="703"/>
      <c r="J736" s="703"/>
      <c r="K736" s="703"/>
      <c r="L736" s="704"/>
      <c r="M736" s="704"/>
      <c r="N736" s="703"/>
    </row>
    <row r="737" spans="1:14" x14ac:dyDescent="0.2">
      <c r="A737" s="195"/>
      <c r="B737" s="195"/>
      <c r="C737" s="195"/>
      <c r="D737" s="195"/>
      <c r="E737" s="195"/>
      <c r="F737" s="195"/>
      <c r="G737" s="195"/>
      <c r="H737" s="195"/>
      <c r="I737" s="195"/>
      <c r="J737" s="195"/>
      <c r="K737" s="195"/>
      <c r="L737" s="195"/>
      <c r="M737" s="195"/>
      <c r="N737" s="195"/>
    </row>
    <row r="738" spans="1:14" x14ac:dyDescent="0.2">
      <c r="A738" s="195"/>
      <c r="B738" s="195"/>
      <c r="C738" s="195"/>
      <c r="D738" s="195"/>
      <c r="E738" s="195"/>
      <c r="F738" s="195"/>
      <c r="G738" s="195"/>
      <c r="H738" s="195"/>
      <c r="I738" s="195"/>
      <c r="J738" s="195"/>
      <c r="K738" s="195"/>
      <c r="L738" s="195"/>
      <c r="M738" s="195"/>
      <c r="N738" s="195"/>
    </row>
    <row r="739" spans="1:14" x14ac:dyDescent="0.2">
      <c r="A739" s="195"/>
      <c r="B739" s="195"/>
      <c r="C739" s="195"/>
      <c r="D739" s="195"/>
      <c r="E739" s="195"/>
      <c r="F739" s="195"/>
      <c r="G739" s="195"/>
      <c r="H739" s="195"/>
      <c r="I739" s="195"/>
      <c r="J739" s="195"/>
      <c r="K739" s="195"/>
      <c r="L739" s="195"/>
      <c r="M739" s="195"/>
      <c r="N739" s="195"/>
    </row>
    <row r="740" spans="1:14" x14ac:dyDescent="0.2">
      <c r="A740" s="195"/>
      <c r="B740" s="195"/>
      <c r="C740" s="195"/>
      <c r="D740" s="195"/>
      <c r="E740" s="195"/>
      <c r="F740" s="195"/>
      <c r="G740" s="195"/>
      <c r="H740" s="195"/>
      <c r="I740" s="195"/>
      <c r="J740" s="195"/>
      <c r="K740" s="195"/>
      <c r="L740" s="195"/>
      <c r="M740" s="195"/>
      <c r="N740" s="195"/>
    </row>
    <row r="741" spans="1:14" x14ac:dyDescent="0.2">
      <c r="A741" s="195"/>
      <c r="B741" s="195"/>
      <c r="C741" s="195"/>
      <c r="D741" s="195"/>
      <c r="E741" s="195"/>
      <c r="F741" s="195"/>
      <c r="G741" s="195"/>
      <c r="H741" s="195"/>
      <c r="I741" s="195"/>
      <c r="J741" s="195"/>
      <c r="K741" s="195"/>
      <c r="L741" s="195"/>
      <c r="M741" s="195"/>
      <c r="N741" s="195"/>
    </row>
    <row r="742" spans="1:14" x14ac:dyDescent="0.2">
      <c r="A742" s="195"/>
      <c r="B742" s="195"/>
      <c r="C742" s="195"/>
      <c r="D742" s="195"/>
      <c r="E742" s="195"/>
      <c r="F742" s="195"/>
      <c r="G742" s="195"/>
      <c r="H742" s="195"/>
      <c r="I742" s="195"/>
      <c r="J742" s="195"/>
      <c r="K742" s="195"/>
      <c r="L742" s="195"/>
      <c r="M742" s="195"/>
      <c r="N742" s="195"/>
    </row>
    <row r="743" spans="1:14" x14ac:dyDescent="0.2">
      <c r="A743" s="195"/>
      <c r="B743" s="195"/>
      <c r="C743" s="195"/>
      <c r="D743" s="195"/>
      <c r="E743" s="195"/>
      <c r="F743" s="195"/>
      <c r="G743" s="195"/>
      <c r="H743" s="195"/>
      <c r="I743" s="195"/>
      <c r="J743" s="195"/>
      <c r="K743" s="195"/>
      <c r="L743" s="195"/>
      <c r="M743" s="195"/>
      <c r="N743" s="195"/>
    </row>
    <row r="744" spans="1:14" x14ac:dyDescent="0.2">
      <c r="A744" s="195"/>
      <c r="B744" s="195"/>
      <c r="C744" s="195"/>
      <c r="D744" s="195"/>
      <c r="E744" s="195"/>
      <c r="F744" s="195"/>
      <c r="G744" s="195"/>
      <c r="H744" s="195"/>
      <c r="I744" s="195"/>
      <c r="J744" s="195"/>
      <c r="K744" s="195"/>
      <c r="L744" s="195"/>
      <c r="M744" s="195"/>
      <c r="N744" s="195"/>
    </row>
    <row r="745" spans="1:14" x14ac:dyDescent="0.2">
      <c r="A745" s="195"/>
      <c r="B745" s="195"/>
      <c r="C745" s="195"/>
      <c r="D745" s="195"/>
      <c r="E745" s="195"/>
      <c r="F745" s="195"/>
      <c r="G745" s="195"/>
      <c r="H745" s="195"/>
      <c r="I745" s="195"/>
      <c r="J745" s="195"/>
      <c r="K745" s="195"/>
      <c r="L745" s="195"/>
      <c r="M745" s="195"/>
      <c r="N745" s="195"/>
    </row>
    <row r="746" spans="1:14" x14ac:dyDescent="0.2">
      <c r="A746" s="195"/>
      <c r="B746" s="195"/>
      <c r="C746" s="195"/>
      <c r="D746" s="195"/>
      <c r="E746" s="195"/>
      <c r="F746" s="195"/>
      <c r="G746" s="195"/>
      <c r="H746" s="195"/>
      <c r="I746" s="195"/>
      <c r="J746" s="195"/>
      <c r="K746" s="195"/>
      <c r="L746" s="195"/>
      <c r="M746" s="195"/>
      <c r="N746" s="195"/>
    </row>
    <row r="747" spans="1:14" x14ac:dyDescent="0.2">
      <c r="A747" s="195"/>
      <c r="B747" s="195"/>
      <c r="C747" s="195"/>
      <c r="D747" s="195"/>
      <c r="E747" s="195"/>
      <c r="F747" s="195"/>
      <c r="G747" s="195"/>
      <c r="H747" s="195"/>
      <c r="I747" s="195"/>
      <c r="J747" s="195"/>
      <c r="K747" s="195"/>
      <c r="L747" s="195"/>
      <c r="M747" s="195"/>
      <c r="N747" s="195"/>
    </row>
    <row r="748" spans="1:14" x14ac:dyDescent="0.2">
      <c r="A748" s="195"/>
      <c r="B748" s="195"/>
      <c r="C748" s="195"/>
      <c r="D748" s="195"/>
      <c r="E748" s="195"/>
      <c r="F748" s="195"/>
      <c r="G748" s="195"/>
      <c r="H748" s="195"/>
      <c r="I748" s="195"/>
      <c r="J748" s="195"/>
      <c r="K748" s="195"/>
      <c r="L748" s="195"/>
      <c r="M748" s="195"/>
      <c r="N748" s="195"/>
    </row>
    <row r="749" spans="1:14" x14ac:dyDescent="0.2">
      <c r="A749" s="195"/>
      <c r="B749" s="195"/>
      <c r="C749" s="195"/>
      <c r="D749" s="195"/>
      <c r="E749" s="195"/>
      <c r="F749" s="195"/>
      <c r="G749" s="195"/>
      <c r="H749" s="195"/>
      <c r="I749" s="195"/>
      <c r="J749" s="195"/>
      <c r="K749" s="195"/>
      <c r="L749" s="195"/>
      <c r="M749" s="195"/>
      <c r="N749" s="195"/>
    </row>
    <row r="750" spans="1:14" x14ac:dyDescent="0.2">
      <c r="A750" s="195"/>
      <c r="B750" s="195"/>
      <c r="C750" s="195"/>
      <c r="D750" s="195"/>
      <c r="E750" s="195"/>
      <c r="F750" s="195"/>
      <c r="G750" s="195"/>
      <c r="H750" s="195"/>
      <c r="I750" s="195"/>
      <c r="J750" s="195"/>
      <c r="K750" s="195"/>
      <c r="L750" s="195"/>
      <c r="M750" s="195"/>
      <c r="N750" s="195"/>
    </row>
    <row r="751" spans="1:14" x14ac:dyDescent="0.2">
      <c r="A751" s="195"/>
      <c r="B751" s="195"/>
      <c r="C751" s="195"/>
      <c r="D751" s="195"/>
      <c r="E751" s="195"/>
      <c r="F751" s="195"/>
      <c r="G751" s="195"/>
      <c r="H751" s="195"/>
      <c r="I751" s="195"/>
      <c r="J751" s="195"/>
      <c r="K751" s="195"/>
      <c r="L751" s="195"/>
      <c r="M751" s="195"/>
      <c r="N751" s="195"/>
    </row>
    <row r="752" spans="1:14" x14ac:dyDescent="0.2">
      <c r="A752" s="195"/>
      <c r="B752" s="195"/>
      <c r="C752" s="195"/>
      <c r="D752" s="195"/>
      <c r="E752" s="195"/>
      <c r="F752" s="195"/>
      <c r="G752" s="195"/>
      <c r="H752" s="195"/>
      <c r="I752" s="195"/>
      <c r="J752" s="195"/>
      <c r="K752" s="195"/>
      <c r="L752" s="195"/>
      <c r="M752" s="195"/>
      <c r="N752" s="195"/>
    </row>
    <row r="753" spans="1:14" x14ac:dyDescent="0.2">
      <c r="A753" s="195"/>
      <c r="B753" s="195"/>
      <c r="C753" s="195"/>
      <c r="D753" s="195"/>
      <c r="E753" s="195"/>
      <c r="F753" s="195"/>
      <c r="G753" s="195"/>
      <c r="H753" s="195"/>
      <c r="I753" s="195"/>
      <c r="J753" s="195"/>
      <c r="K753" s="195"/>
      <c r="L753" s="195"/>
      <c r="M753" s="195"/>
      <c r="N753" s="195"/>
    </row>
    <row r="754" spans="1:14" x14ac:dyDescent="0.2">
      <c r="A754" s="195"/>
      <c r="B754" s="195"/>
      <c r="C754" s="195"/>
      <c r="D754" s="195"/>
      <c r="E754" s="195"/>
      <c r="F754" s="195"/>
      <c r="G754" s="195"/>
      <c r="H754" s="195"/>
      <c r="I754" s="195"/>
      <c r="J754" s="195"/>
      <c r="K754" s="195"/>
      <c r="L754" s="195"/>
      <c r="M754" s="195"/>
      <c r="N754" s="195"/>
    </row>
    <row r="755" spans="1:14" x14ac:dyDescent="0.2">
      <c r="A755" s="195"/>
      <c r="B755" s="195"/>
      <c r="C755" s="195"/>
      <c r="D755" s="195"/>
      <c r="E755" s="195"/>
      <c r="F755" s="195"/>
      <c r="G755" s="195"/>
      <c r="H755" s="195"/>
      <c r="I755" s="195"/>
      <c r="J755" s="195"/>
      <c r="K755" s="195"/>
      <c r="L755" s="195"/>
      <c r="M755" s="195"/>
      <c r="N755" s="195"/>
    </row>
    <row r="756" spans="1:14" x14ac:dyDescent="0.2">
      <c r="A756" s="195"/>
      <c r="B756" s="195"/>
      <c r="C756" s="195"/>
      <c r="D756" s="195"/>
      <c r="E756" s="195"/>
      <c r="F756" s="195"/>
      <c r="G756" s="195"/>
      <c r="H756" s="195"/>
      <c r="I756" s="195"/>
      <c r="J756" s="195"/>
      <c r="K756" s="195"/>
      <c r="L756" s="195"/>
      <c r="M756" s="195"/>
      <c r="N756" s="195"/>
    </row>
    <row r="757" spans="1:14" x14ac:dyDescent="0.2">
      <c r="A757" s="195"/>
      <c r="B757" s="195"/>
      <c r="C757" s="195"/>
      <c r="D757" s="195"/>
      <c r="E757" s="195"/>
      <c r="F757" s="195"/>
      <c r="G757" s="195"/>
      <c r="H757" s="195"/>
      <c r="I757" s="195"/>
      <c r="J757" s="195"/>
      <c r="K757" s="195"/>
      <c r="L757" s="195"/>
      <c r="M757" s="195"/>
      <c r="N757" s="195"/>
    </row>
    <row r="758" spans="1:14" x14ac:dyDescent="0.2">
      <c r="A758" s="195"/>
      <c r="B758" s="195"/>
      <c r="C758" s="195"/>
      <c r="D758" s="195"/>
      <c r="E758" s="195"/>
      <c r="F758" s="195"/>
      <c r="G758" s="195"/>
      <c r="H758" s="195"/>
      <c r="I758" s="195"/>
      <c r="J758" s="195"/>
      <c r="K758" s="195"/>
      <c r="L758" s="195"/>
      <c r="M758" s="195"/>
      <c r="N758" s="195"/>
    </row>
    <row r="759" spans="1:14" x14ac:dyDescent="0.2">
      <c r="A759" s="195"/>
      <c r="B759" s="195"/>
      <c r="C759" s="195"/>
      <c r="D759" s="195"/>
      <c r="E759" s="195"/>
      <c r="F759" s="195"/>
      <c r="G759" s="195"/>
      <c r="H759" s="195"/>
      <c r="I759" s="195"/>
      <c r="J759" s="195"/>
      <c r="K759" s="195"/>
      <c r="L759" s="195"/>
      <c r="M759" s="195"/>
      <c r="N759" s="195"/>
    </row>
    <row r="760" spans="1:14" x14ac:dyDescent="0.2">
      <c r="A760" s="195"/>
      <c r="B760" s="195"/>
      <c r="C760" s="195"/>
      <c r="D760" s="195"/>
      <c r="E760" s="195"/>
      <c r="F760" s="195"/>
      <c r="G760" s="195"/>
      <c r="H760" s="195"/>
      <c r="I760" s="195"/>
      <c r="J760" s="195"/>
      <c r="K760" s="195"/>
      <c r="L760" s="195"/>
      <c r="M760" s="195"/>
      <c r="N760" s="195"/>
    </row>
    <row r="761" spans="1:14" x14ac:dyDescent="0.2">
      <c r="A761" s="195"/>
      <c r="B761" s="195"/>
      <c r="C761" s="195"/>
      <c r="D761" s="195"/>
      <c r="E761" s="195"/>
      <c r="F761" s="195"/>
      <c r="G761" s="195"/>
      <c r="H761" s="195"/>
      <c r="I761" s="195"/>
      <c r="J761" s="195"/>
      <c r="K761" s="195"/>
      <c r="L761" s="195"/>
      <c r="M761" s="195"/>
      <c r="N761" s="195"/>
    </row>
    <row r="762" spans="1:14" x14ac:dyDescent="0.2">
      <c r="A762" s="195"/>
      <c r="B762" s="195"/>
      <c r="C762" s="195"/>
      <c r="D762" s="195"/>
      <c r="E762" s="195"/>
      <c r="F762" s="195"/>
      <c r="G762" s="195"/>
      <c r="H762" s="195"/>
      <c r="I762" s="195"/>
      <c r="J762" s="195"/>
      <c r="K762" s="195"/>
      <c r="L762" s="195"/>
      <c r="M762" s="195"/>
      <c r="N762" s="195"/>
    </row>
    <row r="763" spans="1:14" x14ac:dyDescent="0.2">
      <c r="A763" s="195"/>
      <c r="B763" s="195"/>
      <c r="C763" s="195"/>
      <c r="D763" s="195"/>
      <c r="E763" s="195"/>
      <c r="F763" s="195"/>
      <c r="G763" s="195"/>
      <c r="H763" s="195"/>
      <c r="I763" s="195"/>
      <c r="J763" s="195"/>
      <c r="K763" s="195"/>
      <c r="L763" s="195"/>
      <c r="M763" s="195"/>
      <c r="N763" s="195"/>
    </row>
    <row r="764" spans="1:14" x14ac:dyDescent="0.2">
      <c r="A764" s="195"/>
      <c r="B764" s="195"/>
      <c r="C764" s="195"/>
      <c r="D764" s="195"/>
      <c r="E764" s="195"/>
      <c r="F764" s="195"/>
      <c r="G764" s="195"/>
      <c r="H764" s="195"/>
      <c r="I764" s="195"/>
      <c r="J764" s="195"/>
      <c r="K764" s="195"/>
      <c r="L764" s="195"/>
      <c r="M764" s="195"/>
      <c r="N764" s="195"/>
    </row>
    <row r="765" spans="1:14" x14ac:dyDescent="0.2">
      <c r="A765" s="195"/>
      <c r="B765" s="195"/>
      <c r="C765" s="195"/>
      <c r="D765" s="195"/>
      <c r="E765" s="195"/>
      <c r="F765" s="195"/>
      <c r="G765" s="195"/>
      <c r="H765" s="195"/>
      <c r="I765" s="195"/>
      <c r="J765" s="195"/>
      <c r="K765" s="195"/>
      <c r="L765" s="195"/>
      <c r="M765" s="195"/>
      <c r="N765" s="195"/>
    </row>
    <row r="766" spans="1:14" x14ac:dyDescent="0.2">
      <c r="A766" s="195"/>
      <c r="B766" s="195"/>
      <c r="C766" s="195"/>
      <c r="D766" s="195"/>
      <c r="E766" s="195"/>
      <c r="F766" s="195"/>
      <c r="G766" s="195"/>
      <c r="H766" s="195"/>
      <c r="I766" s="195"/>
      <c r="J766" s="195"/>
      <c r="K766" s="195"/>
      <c r="L766" s="195"/>
      <c r="M766" s="195"/>
      <c r="N766" s="195"/>
    </row>
    <row r="767" spans="1:14" x14ac:dyDescent="0.2">
      <c r="A767" s="195"/>
      <c r="B767" s="195"/>
      <c r="C767" s="195"/>
      <c r="D767" s="195"/>
      <c r="E767" s="195"/>
      <c r="F767" s="195"/>
      <c r="G767" s="195"/>
      <c r="H767" s="195"/>
      <c r="I767" s="195"/>
      <c r="J767" s="195"/>
      <c r="K767" s="195"/>
      <c r="L767" s="195"/>
      <c r="M767" s="195"/>
      <c r="N767" s="195"/>
    </row>
    <row r="768" spans="1:14" x14ac:dyDescent="0.2">
      <c r="A768" s="195"/>
      <c r="B768" s="195"/>
      <c r="C768" s="195"/>
      <c r="D768" s="195"/>
      <c r="E768" s="195"/>
      <c r="F768" s="195"/>
      <c r="G768" s="195"/>
      <c r="H768" s="195"/>
      <c r="I768" s="195"/>
      <c r="J768" s="195"/>
      <c r="K768" s="195"/>
      <c r="L768" s="195"/>
      <c r="M768" s="195"/>
      <c r="N768" s="195"/>
    </row>
    <row r="769" spans="1:14" x14ac:dyDescent="0.2">
      <c r="A769" s="195"/>
      <c r="B769" s="195"/>
      <c r="C769" s="195"/>
      <c r="D769" s="195"/>
      <c r="E769" s="195"/>
      <c r="F769" s="195"/>
      <c r="G769" s="195"/>
      <c r="H769" s="195"/>
      <c r="I769" s="195"/>
      <c r="J769" s="195"/>
      <c r="K769" s="195"/>
      <c r="L769" s="195"/>
      <c r="M769" s="195"/>
      <c r="N769" s="195"/>
    </row>
    <row r="770" spans="1:14" x14ac:dyDescent="0.2">
      <c r="A770" s="195"/>
      <c r="B770" s="195"/>
      <c r="C770" s="195"/>
      <c r="D770" s="195"/>
      <c r="E770" s="195"/>
      <c r="F770" s="195"/>
      <c r="G770" s="195"/>
      <c r="H770" s="195"/>
      <c r="I770" s="195"/>
      <c r="J770" s="195"/>
      <c r="K770" s="195"/>
      <c r="L770" s="195"/>
      <c r="M770" s="195"/>
      <c r="N770" s="195"/>
    </row>
    <row r="771" spans="1:14" x14ac:dyDescent="0.2">
      <c r="A771" s="195"/>
      <c r="B771" s="195"/>
      <c r="C771" s="195"/>
      <c r="D771" s="195"/>
      <c r="E771" s="195"/>
      <c r="F771" s="195"/>
      <c r="G771" s="195"/>
      <c r="H771" s="195"/>
      <c r="I771" s="195"/>
      <c r="J771" s="195"/>
      <c r="K771" s="195"/>
      <c r="L771" s="195"/>
      <c r="M771" s="195"/>
      <c r="N771" s="195"/>
    </row>
    <row r="772" spans="1:14" x14ac:dyDescent="0.2">
      <c r="A772" s="195"/>
      <c r="B772" s="195"/>
      <c r="C772" s="195"/>
      <c r="D772" s="195"/>
      <c r="E772" s="195"/>
      <c r="F772" s="195"/>
      <c r="G772" s="195"/>
      <c r="H772" s="195"/>
      <c r="I772" s="195"/>
      <c r="J772" s="195"/>
      <c r="K772" s="195"/>
      <c r="L772" s="195"/>
      <c r="M772" s="195"/>
      <c r="N772" s="195"/>
    </row>
    <row r="773" spans="1:14" x14ac:dyDescent="0.2">
      <c r="A773" s="195"/>
      <c r="B773" s="195"/>
      <c r="C773" s="195"/>
      <c r="D773" s="195"/>
      <c r="E773" s="195"/>
      <c r="F773" s="195"/>
      <c r="G773" s="195"/>
      <c r="H773" s="195"/>
      <c r="I773" s="195"/>
      <c r="J773" s="195"/>
      <c r="K773" s="195"/>
      <c r="L773" s="195"/>
      <c r="M773" s="195"/>
      <c r="N773" s="195"/>
    </row>
    <row r="774" spans="1:14" x14ac:dyDescent="0.2">
      <c r="A774" s="195"/>
      <c r="B774" s="195"/>
      <c r="C774" s="195"/>
      <c r="D774" s="195"/>
      <c r="E774" s="195"/>
      <c r="F774" s="195"/>
      <c r="G774" s="195"/>
      <c r="H774" s="195"/>
      <c r="I774" s="195"/>
      <c r="J774" s="195"/>
      <c r="K774" s="195"/>
      <c r="L774" s="195"/>
      <c r="M774" s="195"/>
      <c r="N774" s="195"/>
    </row>
    <row r="775" spans="1:14" x14ac:dyDescent="0.2">
      <c r="A775" s="195"/>
      <c r="B775" s="195"/>
      <c r="C775" s="195"/>
      <c r="D775" s="195"/>
      <c r="E775" s="195"/>
      <c r="F775" s="195"/>
      <c r="G775" s="195"/>
      <c r="H775" s="195"/>
      <c r="I775" s="195"/>
      <c r="J775" s="195"/>
      <c r="K775" s="195"/>
      <c r="L775" s="195"/>
      <c r="M775" s="195"/>
      <c r="N775" s="195"/>
    </row>
    <row r="776" spans="1:14" x14ac:dyDescent="0.2">
      <c r="A776" s="195"/>
      <c r="B776" s="195"/>
      <c r="C776" s="195"/>
      <c r="D776" s="195"/>
      <c r="E776" s="195"/>
      <c r="F776" s="195"/>
      <c r="G776" s="195"/>
      <c r="H776" s="195"/>
      <c r="I776" s="195"/>
      <c r="J776" s="195"/>
      <c r="K776" s="195"/>
      <c r="L776" s="195"/>
      <c r="M776" s="195"/>
      <c r="N776" s="195"/>
    </row>
    <row r="777" spans="1:14" x14ac:dyDescent="0.2">
      <c r="A777" s="195"/>
      <c r="B777" s="195"/>
      <c r="C777" s="195"/>
      <c r="D777" s="195"/>
      <c r="E777" s="195"/>
      <c r="F777" s="195"/>
      <c r="G777" s="195"/>
      <c r="H777" s="195"/>
      <c r="I777" s="195"/>
      <c r="J777" s="195"/>
      <c r="K777" s="195"/>
      <c r="L777" s="195"/>
      <c r="M777" s="195"/>
      <c r="N777" s="195"/>
    </row>
    <row r="778" spans="1:14" x14ac:dyDescent="0.2">
      <c r="A778" s="195"/>
      <c r="B778" s="195"/>
      <c r="C778" s="195"/>
      <c r="D778" s="195"/>
      <c r="E778" s="195"/>
      <c r="F778" s="195"/>
      <c r="G778" s="195"/>
      <c r="H778" s="195"/>
      <c r="I778" s="195"/>
      <c r="J778" s="195"/>
      <c r="K778" s="195"/>
      <c r="L778" s="195"/>
      <c r="M778" s="195"/>
      <c r="N778" s="195"/>
    </row>
    <row r="779" spans="1:14" x14ac:dyDescent="0.2">
      <c r="A779" s="195"/>
      <c r="B779" s="195"/>
      <c r="C779" s="195"/>
      <c r="D779" s="195"/>
      <c r="E779" s="195"/>
      <c r="F779" s="195"/>
      <c r="G779" s="195"/>
      <c r="H779" s="195"/>
      <c r="I779" s="195"/>
      <c r="J779" s="195"/>
      <c r="K779" s="195"/>
      <c r="L779" s="195"/>
      <c r="M779" s="195"/>
      <c r="N779" s="195"/>
    </row>
    <row r="780" spans="1:14" x14ac:dyDescent="0.2">
      <c r="A780" s="195"/>
      <c r="B780" s="195"/>
      <c r="C780" s="195"/>
      <c r="D780" s="195"/>
      <c r="E780" s="195"/>
      <c r="F780" s="195"/>
      <c r="G780" s="195"/>
      <c r="H780" s="195"/>
      <c r="I780" s="195"/>
      <c r="J780" s="195"/>
      <c r="K780" s="195"/>
      <c r="L780" s="195"/>
      <c r="M780" s="195"/>
      <c r="N780" s="195"/>
    </row>
    <row r="781" spans="1:14" x14ac:dyDescent="0.2">
      <c r="A781" s="195"/>
      <c r="B781" s="195"/>
      <c r="C781" s="195"/>
      <c r="D781" s="195"/>
      <c r="E781" s="195"/>
      <c r="F781" s="195"/>
      <c r="G781" s="195"/>
      <c r="H781" s="195"/>
      <c r="I781" s="195"/>
      <c r="J781" s="195"/>
      <c r="K781" s="195"/>
      <c r="L781" s="195"/>
      <c r="M781" s="195"/>
      <c r="N781" s="195"/>
    </row>
    <row r="782" spans="1:14" x14ac:dyDescent="0.2">
      <c r="A782" s="195"/>
      <c r="B782" s="195"/>
      <c r="C782" s="195"/>
      <c r="D782" s="195"/>
      <c r="E782" s="195"/>
      <c r="F782" s="195"/>
      <c r="G782" s="195"/>
      <c r="H782" s="195"/>
      <c r="I782" s="195"/>
      <c r="J782" s="195"/>
      <c r="K782" s="195"/>
      <c r="L782" s="195"/>
      <c r="M782" s="195"/>
      <c r="N782" s="195"/>
    </row>
    <row r="783" spans="1:14" x14ac:dyDescent="0.2">
      <c r="A783" s="195"/>
      <c r="B783" s="195"/>
      <c r="C783" s="195"/>
      <c r="D783" s="195"/>
      <c r="E783" s="195"/>
      <c r="F783" s="195"/>
      <c r="G783" s="195"/>
      <c r="H783" s="195"/>
      <c r="I783" s="195"/>
      <c r="J783" s="195"/>
      <c r="K783" s="195"/>
      <c r="L783" s="195"/>
      <c r="M783" s="195"/>
      <c r="N783" s="195"/>
    </row>
    <row r="784" spans="1:14" x14ac:dyDescent="0.2">
      <c r="A784" s="195"/>
      <c r="B784" s="195"/>
      <c r="C784" s="195"/>
      <c r="D784" s="195"/>
      <c r="E784" s="195"/>
      <c r="F784" s="195"/>
      <c r="G784" s="195"/>
      <c r="H784" s="195"/>
      <c r="I784" s="195"/>
      <c r="J784" s="195"/>
      <c r="K784" s="195"/>
      <c r="L784" s="195"/>
      <c r="M784" s="195"/>
      <c r="N784" s="195"/>
    </row>
    <row r="785" spans="1:14" x14ac:dyDescent="0.2">
      <c r="A785" s="195"/>
      <c r="B785" s="195"/>
      <c r="C785" s="195"/>
      <c r="D785" s="195"/>
      <c r="E785" s="195"/>
      <c r="F785" s="195"/>
      <c r="G785" s="195"/>
      <c r="H785" s="195"/>
      <c r="I785" s="195"/>
      <c r="J785" s="195"/>
      <c r="K785" s="195"/>
      <c r="L785" s="195"/>
      <c r="M785" s="195"/>
      <c r="N785" s="195"/>
    </row>
    <row r="786" spans="1:14" x14ac:dyDescent="0.2">
      <c r="A786" s="195"/>
      <c r="B786" s="195"/>
      <c r="C786" s="195"/>
      <c r="D786" s="195"/>
      <c r="E786" s="195"/>
      <c r="F786" s="195"/>
      <c r="G786" s="195"/>
      <c r="H786" s="195"/>
      <c r="I786" s="195"/>
      <c r="J786" s="195"/>
      <c r="K786" s="195"/>
      <c r="L786" s="195"/>
      <c r="M786" s="195"/>
      <c r="N786" s="195"/>
    </row>
    <row r="787" spans="1:14" x14ac:dyDescent="0.2">
      <c r="A787" s="195"/>
      <c r="B787" s="195"/>
      <c r="C787" s="195"/>
      <c r="D787" s="195"/>
      <c r="E787" s="195"/>
      <c r="F787" s="195"/>
      <c r="G787" s="195"/>
      <c r="H787" s="195"/>
      <c r="I787" s="195"/>
      <c r="J787" s="195"/>
      <c r="K787" s="195"/>
      <c r="L787" s="195"/>
      <c r="M787" s="195"/>
      <c r="N787" s="195"/>
    </row>
    <row r="788" spans="1:14" x14ac:dyDescent="0.2">
      <c r="A788" s="195"/>
      <c r="B788" s="195"/>
      <c r="C788" s="195"/>
      <c r="D788" s="195"/>
      <c r="E788" s="195"/>
      <c r="F788" s="195"/>
      <c r="G788" s="195"/>
      <c r="H788" s="195"/>
      <c r="I788" s="195"/>
      <c r="J788" s="195"/>
      <c r="K788" s="195"/>
      <c r="L788" s="195"/>
      <c r="M788" s="195"/>
      <c r="N788" s="195"/>
    </row>
    <row r="789" spans="1:14" x14ac:dyDescent="0.2">
      <c r="A789" s="195"/>
      <c r="B789" s="195"/>
      <c r="C789" s="195"/>
      <c r="D789" s="195"/>
      <c r="E789" s="195"/>
      <c r="F789" s="195"/>
      <c r="G789" s="195"/>
      <c r="H789" s="195"/>
      <c r="I789" s="195"/>
      <c r="J789" s="195"/>
      <c r="K789" s="195"/>
      <c r="L789" s="195"/>
      <c r="M789" s="195"/>
      <c r="N789" s="195"/>
    </row>
    <row r="790" spans="1:14" x14ac:dyDescent="0.2">
      <c r="A790" s="195"/>
      <c r="B790" s="195"/>
      <c r="C790" s="195"/>
      <c r="D790" s="195"/>
      <c r="E790" s="195"/>
      <c r="F790" s="195"/>
      <c r="G790" s="195"/>
      <c r="H790" s="195"/>
      <c r="I790" s="195"/>
      <c r="J790" s="195"/>
      <c r="K790" s="195"/>
      <c r="L790" s="195"/>
      <c r="M790" s="195"/>
      <c r="N790" s="195"/>
    </row>
    <row r="791" spans="1:14" x14ac:dyDescent="0.2">
      <c r="A791" s="195"/>
      <c r="B791" s="195"/>
      <c r="C791" s="195"/>
      <c r="D791" s="195"/>
      <c r="E791" s="195"/>
      <c r="F791" s="195"/>
      <c r="G791" s="195"/>
      <c r="H791" s="195"/>
      <c r="I791" s="195"/>
      <c r="J791" s="195"/>
      <c r="K791" s="195"/>
      <c r="L791" s="195"/>
      <c r="M791" s="195"/>
      <c r="N791" s="195"/>
    </row>
    <row r="792" spans="1:14" x14ac:dyDescent="0.2">
      <c r="A792" s="195"/>
      <c r="B792" s="195"/>
      <c r="C792" s="195"/>
      <c r="D792" s="195"/>
      <c r="E792" s="195"/>
      <c r="F792" s="195"/>
      <c r="G792" s="195"/>
      <c r="H792" s="195"/>
      <c r="I792" s="195"/>
      <c r="J792" s="195"/>
      <c r="K792" s="195"/>
      <c r="L792" s="195"/>
      <c r="M792" s="195"/>
      <c r="N792" s="195"/>
    </row>
    <row r="793" spans="1:14" x14ac:dyDescent="0.2">
      <c r="A793" s="195"/>
      <c r="B793" s="195"/>
      <c r="C793" s="195"/>
      <c r="D793" s="195"/>
      <c r="E793" s="195"/>
      <c r="F793" s="195"/>
      <c r="G793" s="195"/>
      <c r="H793" s="195"/>
      <c r="I793" s="195"/>
      <c r="J793" s="195"/>
      <c r="K793" s="195"/>
      <c r="L793" s="195"/>
      <c r="M793" s="195"/>
      <c r="N793" s="195"/>
    </row>
    <row r="794" spans="1:14" x14ac:dyDescent="0.2">
      <c r="A794" s="195"/>
      <c r="B794" s="195"/>
      <c r="C794" s="195"/>
      <c r="D794" s="195"/>
      <c r="E794" s="195"/>
      <c r="F794" s="195"/>
      <c r="G794" s="195"/>
      <c r="H794" s="195"/>
      <c r="I794" s="195"/>
      <c r="J794" s="195"/>
      <c r="K794" s="195"/>
      <c r="L794" s="195"/>
      <c r="M794" s="195"/>
      <c r="N794" s="195"/>
    </row>
    <row r="795" spans="1:14" x14ac:dyDescent="0.2">
      <c r="A795" s="195"/>
      <c r="B795" s="195"/>
      <c r="C795" s="195"/>
      <c r="D795" s="195"/>
      <c r="E795" s="195"/>
      <c r="F795" s="195"/>
      <c r="G795" s="195"/>
      <c r="H795" s="195"/>
      <c r="I795" s="195"/>
      <c r="J795" s="195"/>
      <c r="K795" s="195"/>
      <c r="L795" s="195"/>
      <c r="M795" s="195"/>
      <c r="N795" s="195"/>
    </row>
    <row r="796" spans="1:14" x14ac:dyDescent="0.2">
      <c r="A796" s="195"/>
      <c r="B796" s="195"/>
      <c r="C796" s="195"/>
      <c r="D796" s="195"/>
      <c r="E796" s="195"/>
      <c r="F796" s="195"/>
      <c r="G796" s="195"/>
      <c r="H796" s="195"/>
      <c r="I796" s="195"/>
      <c r="J796" s="195"/>
      <c r="K796" s="195"/>
      <c r="L796" s="195"/>
      <c r="M796" s="195"/>
      <c r="N796" s="195"/>
    </row>
    <row r="797" spans="1:14" x14ac:dyDescent="0.2">
      <c r="A797" s="195"/>
      <c r="B797" s="195"/>
      <c r="C797" s="195"/>
      <c r="D797" s="195"/>
      <c r="E797" s="195"/>
      <c r="F797" s="195"/>
      <c r="G797" s="195"/>
      <c r="H797" s="195"/>
      <c r="I797" s="195"/>
      <c r="J797" s="195"/>
      <c r="K797" s="195"/>
      <c r="L797" s="195"/>
      <c r="M797" s="195"/>
      <c r="N797" s="195"/>
    </row>
    <row r="798" spans="1:14" x14ac:dyDescent="0.2">
      <c r="A798" s="195"/>
      <c r="B798" s="195"/>
      <c r="C798" s="195"/>
      <c r="D798" s="195"/>
      <c r="E798" s="195"/>
      <c r="F798" s="195"/>
      <c r="G798" s="195"/>
      <c r="H798" s="195"/>
      <c r="I798" s="195"/>
      <c r="J798" s="195"/>
      <c r="K798" s="195"/>
      <c r="L798" s="195"/>
      <c r="M798" s="195"/>
      <c r="N798" s="195"/>
    </row>
    <row r="799" spans="1:14" x14ac:dyDescent="0.2">
      <c r="A799" s="195"/>
      <c r="B799" s="195"/>
      <c r="C799" s="195"/>
      <c r="D799" s="195"/>
      <c r="E799" s="195"/>
      <c r="F799" s="195"/>
      <c r="G799" s="195"/>
      <c r="H799" s="195"/>
      <c r="I799" s="195"/>
      <c r="J799" s="195"/>
      <c r="K799" s="195"/>
      <c r="L799" s="195"/>
      <c r="M799" s="195"/>
      <c r="N799" s="195"/>
    </row>
    <row r="800" spans="1:14" x14ac:dyDescent="0.2">
      <c r="A800" s="195"/>
      <c r="B800" s="195"/>
      <c r="C800" s="195"/>
      <c r="D800" s="195"/>
      <c r="E800" s="195"/>
      <c r="F800" s="195"/>
      <c r="G800" s="195"/>
      <c r="H800" s="195"/>
      <c r="I800" s="195"/>
      <c r="J800" s="195"/>
      <c r="K800" s="195"/>
      <c r="L800" s="195"/>
      <c r="M800" s="195"/>
      <c r="N800" s="195"/>
    </row>
    <row r="801" spans="1:14" x14ac:dyDescent="0.2">
      <c r="A801" s="195"/>
      <c r="B801" s="195"/>
      <c r="C801" s="195"/>
      <c r="D801" s="195"/>
      <c r="E801" s="195"/>
      <c r="F801" s="195"/>
      <c r="G801" s="195"/>
      <c r="H801" s="195"/>
      <c r="I801" s="195"/>
      <c r="J801" s="195"/>
      <c r="K801" s="195"/>
      <c r="L801" s="195"/>
      <c r="M801" s="195"/>
      <c r="N801" s="195"/>
    </row>
    <row r="802" spans="1:14" x14ac:dyDescent="0.2">
      <c r="A802" s="195"/>
      <c r="B802" s="195"/>
      <c r="C802" s="195"/>
      <c r="D802" s="195"/>
      <c r="E802" s="195"/>
      <c r="F802" s="195"/>
      <c r="G802" s="195"/>
      <c r="H802" s="195"/>
      <c r="I802" s="195"/>
      <c r="J802" s="195"/>
      <c r="K802" s="195"/>
      <c r="L802" s="195"/>
      <c r="M802" s="195"/>
      <c r="N802" s="195"/>
    </row>
    <row r="803" spans="1:14" x14ac:dyDescent="0.2">
      <c r="A803" s="195"/>
      <c r="B803" s="195"/>
      <c r="C803" s="195"/>
      <c r="D803" s="195"/>
      <c r="E803" s="195"/>
      <c r="F803" s="195"/>
      <c r="G803" s="195"/>
      <c r="H803" s="195"/>
      <c r="I803" s="195"/>
      <c r="J803" s="195"/>
      <c r="K803" s="195"/>
      <c r="L803" s="195"/>
      <c r="M803" s="195"/>
      <c r="N803" s="195"/>
    </row>
    <row r="804" spans="1:14" x14ac:dyDescent="0.2">
      <c r="A804" s="195"/>
      <c r="B804" s="195"/>
      <c r="C804" s="195"/>
      <c r="D804" s="195"/>
      <c r="E804" s="195"/>
      <c r="F804" s="195"/>
      <c r="G804" s="195"/>
      <c r="H804" s="195"/>
      <c r="I804" s="195"/>
      <c r="J804" s="195"/>
      <c r="K804" s="195"/>
      <c r="L804" s="195"/>
      <c r="M804" s="195"/>
      <c r="N804" s="195"/>
    </row>
    <row r="805" spans="1:14" x14ac:dyDescent="0.2">
      <c r="A805" s="195"/>
      <c r="B805" s="195"/>
      <c r="C805" s="195"/>
      <c r="D805" s="195"/>
      <c r="E805" s="195"/>
      <c r="F805" s="195"/>
      <c r="G805" s="195"/>
      <c r="H805" s="195"/>
      <c r="I805" s="195"/>
      <c r="J805" s="195"/>
      <c r="K805" s="195"/>
      <c r="L805" s="195"/>
      <c r="M805" s="195"/>
      <c r="N805" s="195"/>
    </row>
    <row r="806" spans="1:14" x14ac:dyDescent="0.2">
      <c r="A806" s="195"/>
      <c r="B806" s="195"/>
      <c r="C806" s="195"/>
      <c r="D806" s="195"/>
      <c r="E806" s="195"/>
      <c r="F806" s="195"/>
      <c r="G806" s="195"/>
      <c r="H806" s="195"/>
      <c r="I806" s="195"/>
      <c r="J806" s="195"/>
      <c r="K806" s="195"/>
      <c r="L806" s="195"/>
      <c r="M806" s="195"/>
      <c r="N806" s="195"/>
    </row>
    <row r="807" spans="1:14" x14ac:dyDescent="0.2">
      <c r="A807" s="195"/>
      <c r="B807" s="195"/>
      <c r="C807" s="195"/>
      <c r="D807" s="195"/>
      <c r="E807" s="195"/>
      <c r="F807" s="195"/>
      <c r="G807" s="195"/>
      <c r="H807" s="195"/>
      <c r="I807" s="195"/>
      <c r="J807" s="195"/>
      <c r="K807" s="195"/>
      <c r="L807" s="195"/>
      <c r="M807" s="195"/>
      <c r="N807" s="195"/>
    </row>
    <row r="808" spans="1:14" x14ac:dyDescent="0.2">
      <c r="A808" s="195"/>
      <c r="B808" s="195"/>
      <c r="C808" s="195"/>
      <c r="D808" s="195"/>
      <c r="E808" s="195"/>
      <c r="F808" s="195"/>
      <c r="G808" s="195"/>
      <c r="H808" s="195"/>
      <c r="I808" s="195"/>
      <c r="J808" s="195"/>
      <c r="K808" s="195"/>
      <c r="L808" s="195"/>
      <c r="M808" s="195"/>
      <c r="N808" s="195"/>
    </row>
    <row r="809" spans="1:14" x14ac:dyDescent="0.2">
      <c r="A809" s="195"/>
      <c r="B809" s="195"/>
      <c r="C809" s="195"/>
      <c r="D809" s="195"/>
      <c r="E809" s="195"/>
      <c r="F809" s="195"/>
      <c r="G809" s="195"/>
      <c r="H809" s="195"/>
      <c r="I809" s="195"/>
      <c r="J809" s="195"/>
      <c r="K809" s="195"/>
      <c r="L809" s="195"/>
      <c r="M809" s="195"/>
      <c r="N809" s="195"/>
    </row>
    <row r="810" spans="1:14" x14ac:dyDescent="0.2">
      <c r="A810" s="195"/>
      <c r="B810" s="195"/>
      <c r="C810" s="195"/>
      <c r="D810" s="195"/>
      <c r="E810" s="195"/>
      <c r="F810" s="195"/>
      <c r="G810" s="195"/>
      <c r="H810" s="195"/>
      <c r="I810" s="195"/>
      <c r="J810" s="195"/>
      <c r="K810" s="195"/>
      <c r="L810" s="195"/>
      <c r="M810" s="195"/>
      <c r="N810" s="195"/>
    </row>
    <row r="811" spans="1:14" x14ac:dyDescent="0.2">
      <c r="A811" s="195"/>
      <c r="B811" s="195"/>
      <c r="C811" s="195"/>
      <c r="D811" s="195"/>
      <c r="E811" s="195"/>
      <c r="F811" s="195"/>
      <c r="G811" s="195"/>
      <c r="H811" s="195"/>
      <c r="I811" s="195"/>
      <c r="J811" s="195"/>
      <c r="K811" s="195"/>
      <c r="L811" s="195"/>
      <c r="M811" s="195"/>
      <c r="N811" s="195"/>
    </row>
    <row r="812" spans="1:14" x14ac:dyDescent="0.2">
      <c r="A812" s="195"/>
      <c r="B812" s="195"/>
      <c r="C812" s="195"/>
      <c r="D812" s="195"/>
      <c r="E812" s="195"/>
      <c r="F812" s="195"/>
      <c r="G812" s="195"/>
      <c r="H812" s="195"/>
      <c r="I812" s="195"/>
      <c r="J812" s="195"/>
      <c r="K812" s="195"/>
      <c r="L812" s="195"/>
      <c r="M812" s="195"/>
      <c r="N812" s="195"/>
    </row>
    <row r="813" spans="1:14" x14ac:dyDescent="0.2">
      <c r="A813" s="195"/>
      <c r="B813" s="195"/>
      <c r="C813" s="195"/>
      <c r="D813" s="195"/>
      <c r="E813" s="195"/>
      <c r="F813" s="195"/>
      <c r="G813" s="195"/>
      <c r="H813" s="195"/>
      <c r="I813" s="195"/>
      <c r="J813" s="195"/>
      <c r="K813" s="195"/>
      <c r="L813" s="195"/>
      <c r="M813" s="195"/>
      <c r="N813" s="195"/>
    </row>
    <row r="814" spans="1:14" x14ac:dyDescent="0.2">
      <c r="A814" s="195"/>
      <c r="B814" s="195"/>
      <c r="C814" s="195"/>
      <c r="D814" s="195"/>
      <c r="E814" s="195"/>
      <c r="F814" s="195"/>
      <c r="G814" s="195"/>
      <c r="H814" s="195"/>
      <c r="I814" s="195"/>
      <c r="J814" s="195"/>
      <c r="K814" s="195"/>
      <c r="L814" s="195"/>
      <c r="M814" s="195"/>
      <c r="N814" s="195"/>
    </row>
    <row r="815" spans="1:14" x14ac:dyDescent="0.2">
      <c r="A815" s="195"/>
      <c r="B815" s="195"/>
      <c r="C815" s="195"/>
      <c r="D815" s="195"/>
      <c r="E815" s="195"/>
      <c r="F815" s="195"/>
      <c r="G815" s="195"/>
      <c r="H815" s="195"/>
      <c r="I815" s="195"/>
      <c r="J815" s="195"/>
      <c r="K815" s="195"/>
      <c r="L815" s="195"/>
      <c r="M815" s="195"/>
      <c r="N815" s="195"/>
    </row>
    <row r="816" spans="1:14" x14ac:dyDescent="0.2">
      <c r="A816" s="195"/>
      <c r="B816" s="195"/>
      <c r="C816" s="195"/>
      <c r="D816" s="195"/>
      <c r="E816" s="195"/>
      <c r="F816" s="195"/>
      <c r="G816" s="195"/>
      <c r="H816" s="195"/>
      <c r="I816" s="195"/>
      <c r="J816" s="195"/>
      <c r="K816" s="195"/>
      <c r="L816" s="195"/>
      <c r="M816" s="195"/>
      <c r="N816" s="195"/>
    </row>
    <row r="817" spans="1:14" x14ac:dyDescent="0.2">
      <c r="A817" s="195"/>
      <c r="B817" s="195"/>
      <c r="C817" s="195"/>
      <c r="D817" s="195"/>
      <c r="E817" s="195"/>
      <c r="F817" s="195"/>
      <c r="G817" s="195"/>
      <c r="H817" s="195"/>
      <c r="I817" s="195"/>
      <c r="J817" s="195"/>
      <c r="K817" s="195"/>
      <c r="L817" s="195"/>
      <c r="M817" s="195"/>
      <c r="N817" s="195"/>
    </row>
    <row r="818" spans="1:14" x14ac:dyDescent="0.2">
      <c r="A818" s="195"/>
      <c r="B818" s="195"/>
      <c r="C818" s="195"/>
      <c r="D818" s="195"/>
      <c r="E818" s="195"/>
      <c r="F818" s="195"/>
      <c r="G818" s="195"/>
      <c r="H818" s="195"/>
      <c r="I818" s="195"/>
      <c r="J818" s="195"/>
      <c r="K818" s="195"/>
      <c r="L818" s="195"/>
      <c r="M818" s="195"/>
      <c r="N818" s="195"/>
    </row>
    <row r="819" spans="1:14" x14ac:dyDescent="0.2">
      <c r="A819" s="195"/>
      <c r="B819" s="195"/>
      <c r="C819" s="195"/>
      <c r="D819" s="195"/>
      <c r="E819" s="195"/>
      <c r="F819" s="195"/>
      <c r="G819" s="195"/>
      <c r="H819" s="195"/>
      <c r="I819" s="195"/>
      <c r="J819" s="195"/>
      <c r="K819" s="195"/>
      <c r="L819" s="195"/>
      <c r="M819" s="195"/>
      <c r="N819" s="195"/>
    </row>
    <row r="820" spans="1:14" x14ac:dyDescent="0.2">
      <c r="A820" s="195"/>
      <c r="B820" s="195"/>
      <c r="C820" s="195"/>
      <c r="D820" s="195"/>
      <c r="E820" s="195"/>
      <c r="F820" s="195"/>
      <c r="G820" s="195"/>
      <c r="H820" s="195"/>
      <c r="I820" s="195"/>
      <c r="J820" s="195"/>
      <c r="K820" s="195"/>
      <c r="L820" s="195"/>
      <c r="M820" s="195"/>
      <c r="N820" s="195"/>
    </row>
    <row r="821" spans="1:14" x14ac:dyDescent="0.2">
      <c r="A821" s="195"/>
      <c r="B821" s="195"/>
      <c r="C821" s="195"/>
      <c r="D821" s="195"/>
      <c r="E821" s="195"/>
      <c r="F821" s="195"/>
      <c r="G821" s="195"/>
      <c r="H821" s="195"/>
      <c r="I821" s="195"/>
      <c r="J821" s="195"/>
      <c r="K821" s="195"/>
      <c r="L821" s="195"/>
      <c r="M821" s="195"/>
      <c r="N821" s="195"/>
    </row>
    <row r="822" spans="1:14" x14ac:dyDescent="0.2">
      <c r="A822" s="195"/>
      <c r="B822" s="195"/>
      <c r="C822" s="195"/>
      <c r="D822" s="195"/>
      <c r="E822" s="195"/>
      <c r="F822" s="195"/>
      <c r="G822" s="195"/>
      <c r="H822" s="195"/>
      <c r="I822" s="195"/>
      <c r="J822" s="195"/>
      <c r="K822" s="195"/>
      <c r="L822" s="195"/>
      <c r="M822" s="195"/>
      <c r="N822" s="195"/>
    </row>
    <row r="823" spans="1:14" x14ac:dyDescent="0.2">
      <c r="A823" s="195"/>
      <c r="B823" s="195"/>
      <c r="C823" s="195"/>
      <c r="D823" s="195"/>
      <c r="E823" s="195"/>
      <c r="F823" s="195"/>
      <c r="G823" s="195"/>
      <c r="H823" s="195"/>
      <c r="I823" s="195"/>
      <c r="J823" s="195"/>
      <c r="K823" s="195"/>
      <c r="L823" s="195"/>
      <c r="M823" s="195"/>
      <c r="N823" s="195"/>
    </row>
    <row r="824" spans="1:14" x14ac:dyDescent="0.2">
      <c r="A824" s="195"/>
      <c r="B824" s="195"/>
      <c r="C824" s="195"/>
      <c r="D824" s="195"/>
      <c r="E824" s="195"/>
      <c r="F824" s="195"/>
      <c r="G824" s="195"/>
      <c r="H824" s="195"/>
      <c r="I824" s="195"/>
      <c r="J824" s="195"/>
      <c r="K824" s="195"/>
      <c r="L824" s="195"/>
      <c r="M824" s="195"/>
      <c r="N824" s="195"/>
    </row>
    <row r="825" spans="1:14" x14ac:dyDescent="0.2">
      <c r="A825" s="195"/>
      <c r="B825" s="195"/>
      <c r="C825" s="195"/>
      <c r="D825" s="195"/>
      <c r="E825" s="195"/>
      <c r="F825" s="195"/>
      <c r="G825" s="195"/>
      <c r="H825" s="195"/>
      <c r="I825" s="195"/>
      <c r="J825" s="195"/>
      <c r="K825" s="195"/>
      <c r="L825" s="195"/>
      <c r="M825" s="195"/>
      <c r="N825" s="195"/>
    </row>
    <row r="826" spans="1:14" x14ac:dyDescent="0.2">
      <c r="A826" s="195"/>
      <c r="B826" s="195"/>
      <c r="C826" s="195"/>
      <c r="D826" s="195"/>
      <c r="E826" s="195"/>
      <c r="F826" s="195"/>
      <c r="G826" s="195"/>
      <c r="H826" s="195"/>
      <c r="I826" s="195"/>
      <c r="J826" s="195"/>
      <c r="K826" s="195"/>
      <c r="L826" s="195"/>
      <c r="M826" s="195"/>
      <c r="N826" s="195"/>
    </row>
    <row r="827" spans="1:14" x14ac:dyDescent="0.2">
      <c r="A827" s="195"/>
      <c r="B827" s="195"/>
      <c r="C827" s="195"/>
      <c r="D827" s="195"/>
      <c r="E827" s="195"/>
      <c r="F827" s="195"/>
      <c r="G827" s="195"/>
      <c r="H827" s="195"/>
      <c r="I827" s="195"/>
      <c r="J827" s="195"/>
      <c r="K827" s="195"/>
      <c r="L827" s="195"/>
      <c r="M827" s="195"/>
      <c r="N827" s="195"/>
    </row>
    <row r="828" spans="1:14" x14ac:dyDescent="0.2">
      <c r="A828" s="195"/>
      <c r="B828" s="195"/>
      <c r="C828" s="195"/>
      <c r="D828" s="195"/>
      <c r="E828" s="195"/>
      <c r="F828" s="195"/>
      <c r="G828" s="195"/>
      <c r="H828" s="195"/>
      <c r="I828" s="195"/>
      <c r="J828" s="195"/>
      <c r="K828" s="195"/>
      <c r="L828" s="195"/>
      <c r="M828" s="195"/>
      <c r="N828" s="195"/>
    </row>
    <row r="829" spans="1:14" x14ac:dyDescent="0.2">
      <c r="A829" s="195"/>
      <c r="B829" s="195"/>
      <c r="C829" s="195"/>
      <c r="D829" s="195"/>
      <c r="E829" s="195"/>
      <c r="F829" s="195"/>
      <c r="G829" s="195"/>
      <c r="H829" s="195"/>
      <c r="I829" s="195"/>
      <c r="J829" s="195"/>
      <c r="K829" s="195"/>
      <c r="L829" s="195"/>
      <c r="M829" s="195"/>
      <c r="N829" s="195"/>
    </row>
    <row r="830" spans="1:14" x14ac:dyDescent="0.2">
      <c r="A830" s="195"/>
      <c r="B830" s="195"/>
      <c r="C830" s="195"/>
      <c r="D830" s="195"/>
      <c r="E830" s="195"/>
      <c r="F830" s="195"/>
      <c r="G830" s="195"/>
      <c r="H830" s="195"/>
      <c r="I830" s="195"/>
      <c r="J830" s="195"/>
      <c r="K830" s="195"/>
      <c r="L830" s="195"/>
      <c r="M830" s="195"/>
      <c r="N830" s="195"/>
    </row>
    <row r="831" spans="1:14" x14ac:dyDescent="0.2">
      <c r="A831" s="195"/>
      <c r="B831" s="195"/>
      <c r="C831" s="195"/>
      <c r="D831" s="195"/>
      <c r="E831" s="195"/>
      <c r="F831" s="195"/>
      <c r="G831" s="195"/>
      <c r="H831" s="195"/>
      <c r="I831" s="195"/>
      <c r="J831" s="195"/>
      <c r="K831" s="195"/>
      <c r="L831" s="195"/>
      <c r="M831" s="195"/>
      <c r="N831" s="195"/>
    </row>
    <row r="832" spans="1:14" x14ac:dyDescent="0.2">
      <c r="A832" s="195"/>
      <c r="B832" s="195"/>
      <c r="C832" s="195"/>
      <c r="D832" s="195"/>
      <c r="E832" s="195"/>
      <c r="F832" s="195"/>
      <c r="G832" s="195"/>
      <c r="H832" s="195"/>
      <c r="I832" s="195"/>
      <c r="J832" s="195"/>
      <c r="K832" s="195"/>
      <c r="L832" s="195"/>
      <c r="M832" s="195"/>
      <c r="N832" s="195"/>
    </row>
    <row r="833" spans="1:14" x14ac:dyDescent="0.2">
      <c r="A833" s="195"/>
      <c r="B833" s="195"/>
      <c r="C833" s="195"/>
      <c r="D833" s="195"/>
      <c r="E833" s="195"/>
      <c r="F833" s="195"/>
      <c r="G833" s="195"/>
      <c r="H833" s="195"/>
      <c r="I833" s="195"/>
      <c r="J833" s="195"/>
      <c r="K833" s="195"/>
      <c r="L833" s="195"/>
      <c r="M833" s="195"/>
      <c r="N833" s="195"/>
    </row>
    <row r="834" spans="1:14" x14ac:dyDescent="0.2">
      <c r="A834" s="195"/>
      <c r="B834" s="195"/>
      <c r="C834" s="195"/>
      <c r="D834" s="195"/>
      <c r="E834" s="195"/>
      <c r="F834" s="195"/>
      <c r="G834" s="195"/>
      <c r="H834" s="195"/>
      <c r="I834" s="195"/>
      <c r="J834" s="195"/>
      <c r="K834" s="195"/>
      <c r="L834" s="195"/>
      <c r="M834" s="195"/>
      <c r="N834" s="195"/>
    </row>
    <row r="835" spans="1:14" x14ac:dyDescent="0.2">
      <c r="A835" s="195"/>
      <c r="B835" s="195"/>
      <c r="C835" s="195"/>
      <c r="D835" s="195"/>
      <c r="E835" s="195"/>
      <c r="F835" s="195"/>
      <c r="G835" s="195"/>
      <c r="H835" s="195"/>
      <c r="I835" s="195"/>
      <c r="J835" s="195"/>
      <c r="K835" s="195"/>
      <c r="L835" s="195"/>
      <c r="M835" s="195"/>
      <c r="N835" s="195"/>
    </row>
    <row r="836" spans="1:14" x14ac:dyDescent="0.2">
      <c r="A836" s="195"/>
      <c r="B836" s="195"/>
      <c r="C836" s="195"/>
      <c r="D836" s="195"/>
      <c r="E836" s="195"/>
      <c r="F836" s="195"/>
      <c r="G836" s="195"/>
      <c r="H836" s="195"/>
      <c r="I836" s="195"/>
      <c r="J836" s="195"/>
      <c r="K836" s="195"/>
      <c r="L836" s="195"/>
      <c r="M836" s="195"/>
      <c r="N836" s="195"/>
    </row>
    <row r="837" spans="1:14" x14ac:dyDescent="0.2">
      <c r="A837" s="195"/>
      <c r="B837" s="195"/>
      <c r="C837" s="195"/>
      <c r="D837" s="195"/>
      <c r="E837" s="195"/>
      <c r="F837" s="195"/>
      <c r="G837" s="195"/>
      <c r="H837" s="195"/>
      <c r="I837" s="195"/>
      <c r="J837" s="195"/>
      <c r="K837" s="195"/>
      <c r="L837" s="195"/>
      <c r="M837" s="195"/>
      <c r="N837" s="195"/>
    </row>
    <row r="838" spans="1:14" x14ac:dyDescent="0.2">
      <c r="A838" s="195"/>
      <c r="B838" s="195"/>
      <c r="C838" s="195"/>
      <c r="D838" s="195"/>
      <c r="E838" s="195"/>
      <c r="F838" s="195"/>
      <c r="G838" s="195"/>
      <c r="H838" s="195"/>
      <c r="I838" s="195"/>
      <c r="J838" s="195"/>
      <c r="K838" s="195"/>
      <c r="L838" s="195"/>
      <c r="M838" s="195"/>
      <c r="N838" s="195"/>
    </row>
    <row r="839" spans="1:14" x14ac:dyDescent="0.2">
      <c r="A839" s="195"/>
      <c r="B839" s="195"/>
      <c r="C839" s="195"/>
      <c r="D839" s="195"/>
      <c r="E839" s="195"/>
      <c r="F839" s="195"/>
      <c r="G839" s="195"/>
      <c r="H839" s="195"/>
      <c r="I839" s="195"/>
      <c r="J839" s="195"/>
      <c r="K839" s="195"/>
      <c r="L839" s="195"/>
      <c r="M839" s="195"/>
      <c r="N839" s="195"/>
    </row>
    <row r="840" spans="1:14" x14ac:dyDescent="0.2">
      <c r="A840" s="195"/>
      <c r="B840" s="195"/>
      <c r="C840" s="195"/>
      <c r="D840" s="195"/>
      <c r="E840" s="195"/>
      <c r="F840" s="195"/>
      <c r="G840" s="195"/>
      <c r="H840" s="195"/>
      <c r="I840" s="195"/>
      <c r="J840" s="195"/>
      <c r="K840" s="195"/>
      <c r="L840" s="195"/>
      <c r="M840" s="195"/>
      <c r="N840" s="195"/>
    </row>
    <row r="841" spans="1:14" x14ac:dyDescent="0.2">
      <c r="A841" s="195"/>
      <c r="B841" s="195"/>
      <c r="C841" s="195"/>
      <c r="D841" s="195"/>
      <c r="E841" s="195"/>
      <c r="F841" s="195"/>
      <c r="G841" s="195"/>
      <c r="H841" s="195"/>
      <c r="I841" s="195"/>
      <c r="J841" s="195"/>
      <c r="K841" s="195"/>
      <c r="L841" s="195"/>
      <c r="M841" s="195"/>
      <c r="N841" s="195"/>
    </row>
    <row r="842" spans="1:14" x14ac:dyDescent="0.2">
      <c r="A842" s="195"/>
      <c r="B842" s="195"/>
      <c r="C842" s="195"/>
      <c r="D842" s="195"/>
      <c r="E842" s="195"/>
      <c r="F842" s="195"/>
      <c r="G842" s="195"/>
      <c r="H842" s="195"/>
      <c r="I842" s="195"/>
      <c r="J842" s="195"/>
      <c r="K842" s="195"/>
      <c r="L842" s="195"/>
      <c r="M842" s="195"/>
      <c r="N842" s="195"/>
    </row>
    <row r="843" spans="1:14" x14ac:dyDescent="0.2">
      <c r="A843" s="195"/>
      <c r="B843" s="195"/>
      <c r="C843" s="195"/>
      <c r="D843" s="195"/>
      <c r="E843" s="195"/>
      <c r="F843" s="195"/>
      <c r="G843" s="195"/>
      <c r="H843" s="195"/>
      <c r="I843" s="195"/>
      <c r="J843" s="195"/>
      <c r="K843" s="195"/>
      <c r="L843" s="195"/>
      <c r="M843" s="195"/>
      <c r="N843" s="195"/>
    </row>
    <row r="844" spans="1:14" x14ac:dyDescent="0.2">
      <c r="A844" s="195"/>
      <c r="B844" s="195"/>
      <c r="C844" s="195"/>
      <c r="D844" s="195"/>
      <c r="E844" s="195"/>
      <c r="F844" s="195"/>
      <c r="G844" s="195"/>
      <c r="H844" s="195"/>
      <c r="I844" s="195"/>
      <c r="J844" s="195"/>
      <c r="K844" s="195"/>
      <c r="L844" s="195"/>
      <c r="M844" s="195"/>
      <c r="N844" s="195"/>
    </row>
    <row r="845" spans="1:14" x14ac:dyDescent="0.2">
      <c r="A845" s="195"/>
      <c r="B845" s="195"/>
      <c r="C845" s="195"/>
      <c r="D845" s="195"/>
      <c r="E845" s="195"/>
      <c r="F845" s="195"/>
      <c r="G845" s="195"/>
      <c r="H845" s="195"/>
      <c r="I845" s="195"/>
      <c r="J845" s="195"/>
      <c r="K845" s="195"/>
      <c r="L845" s="195"/>
      <c r="M845" s="195"/>
      <c r="N845" s="195"/>
    </row>
    <row r="846" spans="1:14" x14ac:dyDescent="0.2">
      <c r="A846" s="195"/>
      <c r="B846" s="195"/>
      <c r="C846" s="195"/>
      <c r="D846" s="195"/>
      <c r="E846" s="195"/>
      <c r="F846" s="195"/>
      <c r="G846" s="195"/>
      <c r="H846" s="195"/>
      <c r="I846" s="195"/>
      <c r="J846" s="195"/>
      <c r="K846" s="195"/>
      <c r="L846" s="195"/>
      <c r="M846" s="195"/>
      <c r="N846" s="195"/>
    </row>
    <row r="847" spans="1:14" x14ac:dyDescent="0.2">
      <c r="A847" s="195"/>
      <c r="B847" s="195"/>
      <c r="C847" s="195"/>
      <c r="D847" s="195"/>
      <c r="E847" s="195"/>
      <c r="F847" s="195"/>
      <c r="G847" s="195"/>
      <c r="H847" s="195"/>
      <c r="I847" s="195"/>
      <c r="J847" s="195"/>
      <c r="K847" s="195"/>
      <c r="L847" s="195"/>
      <c r="M847" s="195"/>
      <c r="N847" s="195"/>
    </row>
    <row r="848" spans="1:14" x14ac:dyDescent="0.2">
      <c r="A848" s="195"/>
      <c r="B848" s="195"/>
      <c r="C848" s="195"/>
      <c r="D848" s="195"/>
      <c r="E848" s="195"/>
      <c r="F848" s="195"/>
      <c r="G848" s="195"/>
      <c r="H848" s="195"/>
      <c r="I848" s="195"/>
      <c r="J848" s="195"/>
      <c r="K848" s="195"/>
      <c r="L848" s="195"/>
      <c r="M848" s="195"/>
      <c r="N848" s="195"/>
    </row>
    <row r="849" spans="1:14" x14ac:dyDescent="0.2">
      <c r="A849" s="195"/>
      <c r="B849" s="195"/>
      <c r="C849" s="195"/>
      <c r="D849" s="195"/>
      <c r="E849" s="195"/>
      <c r="F849" s="195"/>
      <c r="G849" s="195"/>
      <c r="H849" s="195"/>
      <c r="I849" s="195"/>
      <c r="J849" s="195"/>
      <c r="K849" s="195"/>
      <c r="L849" s="195"/>
      <c r="M849" s="195"/>
      <c r="N849" s="195"/>
    </row>
    <row r="850" spans="1:14" x14ac:dyDescent="0.2">
      <c r="A850" s="195"/>
      <c r="B850" s="195"/>
      <c r="C850" s="195"/>
      <c r="D850" s="195"/>
      <c r="E850" s="195"/>
      <c r="F850" s="195"/>
      <c r="G850" s="195"/>
      <c r="H850" s="195"/>
      <c r="I850" s="195"/>
      <c r="J850" s="195"/>
      <c r="K850" s="195"/>
      <c r="L850" s="195"/>
      <c r="M850" s="195"/>
      <c r="N850" s="195"/>
    </row>
    <row r="851" spans="1:14" x14ac:dyDescent="0.2">
      <c r="A851" s="195"/>
      <c r="B851" s="195"/>
      <c r="C851" s="195"/>
      <c r="D851" s="195"/>
      <c r="E851" s="195"/>
      <c r="F851" s="195"/>
      <c r="G851" s="195"/>
      <c r="H851" s="195"/>
      <c r="I851" s="195"/>
      <c r="J851" s="195"/>
      <c r="K851" s="195"/>
      <c r="L851" s="195"/>
      <c r="M851" s="195"/>
      <c r="N851" s="195"/>
    </row>
    <row r="852" spans="1:14" x14ac:dyDescent="0.2">
      <c r="A852" s="195"/>
      <c r="B852" s="195"/>
      <c r="C852" s="195"/>
      <c r="D852" s="195"/>
      <c r="E852" s="195"/>
      <c r="F852" s="195"/>
      <c r="G852" s="195"/>
      <c r="H852" s="195"/>
      <c r="I852" s="195"/>
      <c r="J852" s="195"/>
      <c r="K852" s="195"/>
      <c r="L852" s="195"/>
      <c r="M852" s="195"/>
      <c r="N852" s="195"/>
    </row>
    <row r="853" spans="1:14" x14ac:dyDescent="0.2">
      <c r="A853" s="195"/>
      <c r="B853" s="195"/>
      <c r="C853" s="195"/>
      <c r="D853" s="195"/>
      <c r="E853" s="195"/>
      <c r="F853" s="195"/>
      <c r="G853" s="195"/>
      <c r="H853" s="195"/>
      <c r="I853" s="195"/>
      <c r="J853" s="195"/>
      <c r="K853" s="195"/>
      <c r="L853" s="195"/>
      <c r="M853" s="195"/>
      <c r="N853" s="195"/>
    </row>
    <row r="854" spans="1:14" x14ac:dyDescent="0.2">
      <c r="A854" s="195"/>
      <c r="B854" s="195"/>
      <c r="C854" s="195"/>
      <c r="D854" s="195"/>
      <c r="E854" s="195"/>
      <c r="F854" s="195"/>
      <c r="G854" s="195"/>
      <c r="H854" s="195"/>
      <c r="I854" s="195"/>
      <c r="J854" s="195"/>
      <c r="K854" s="195"/>
      <c r="L854" s="195"/>
      <c r="M854" s="195"/>
      <c r="N854" s="195"/>
    </row>
    <row r="855" spans="1:14" x14ac:dyDescent="0.2">
      <c r="A855" s="195"/>
      <c r="B855" s="195"/>
      <c r="C855" s="195"/>
      <c r="D855" s="195"/>
      <c r="E855" s="195"/>
      <c r="F855" s="195"/>
      <c r="G855" s="195"/>
      <c r="H855" s="195"/>
      <c r="I855" s="195"/>
      <c r="J855" s="195"/>
      <c r="K855" s="195"/>
      <c r="L855" s="195"/>
      <c r="M855" s="195"/>
      <c r="N855" s="195"/>
    </row>
    <row r="856" spans="1:14" x14ac:dyDescent="0.2">
      <c r="A856" s="195"/>
      <c r="B856" s="195"/>
      <c r="C856" s="195"/>
      <c r="D856" s="195"/>
      <c r="E856" s="195"/>
      <c r="F856" s="195"/>
      <c r="G856" s="195"/>
      <c r="H856" s="195"/>
      <c r="I856" s="195"/>
      <c r="J856" s="195"/>
      <c r="K856" s="195"/>
      <c r="L856" s="195"/>
      <c r="M856" s="195"/>
      <c r="N856" s="195"/>
    </row>
    <row r="857" spans="1:14" x14ac:dyDescent="0.2">
      <c r="A857" s="195"/>
      <c r="B857" s="195"/>
      <c r="C857" s="195"/>
      <c r="D857" s="195"/>
      <c r="E857" s="195"/>
      <c r="F857" s="195"/>
      <c r="G857" s="195"/>
      <c r="H857" s="195"/>
      <c r="I857" s="195"/>
      <c r="J857" s="195"/>
      <c r="K857" s="195"/>
      <c r="L857" s="195"/>
      <c r="M857" s="195"/>
      <c r="N857" s="195"/>
    </row>
    <row r="858" spans="1:14" x14ac:dyDescent="0.2">
      <c r="A858" s="195"/>
      <c r="B858" s="195"/>
      <c r="C858" s="195"/>
      <c r="D858" s="195"/>
      <c r="E858" s="195"/>
      <c r="F858" s="195"/>
      <c r="G858" s="195"/>
      <c r="H858" s="195"/>
      <c r="I858" s="195"/>
      <c r="J858" s="195"/>
      <c r="K858" s="195"/>
      <c r="L858" s="195"/>
      <c r="M858" s="195"/>
      <c r="N858" s="195"/>
    </row>
    <row r="859" spans="1:14" x14ac:dyDescent="0.2">
      <c r="A859" s="195"/>
      <c r="B859" s="195"/>
      <c r="C859" s="195"/>
      <c r="D859" s="195"/>
      <c r="E859" s="195"/>
      <c r="F859" s="195"/>
      <c r="G859" s="195"/>
      <c r="H859" s="195"/>
      <c r="I859" s="195"/>
      <c r="J859" s="195"/>
      <c r="K859" s="195"/>
      <c r="L859" s="195"/>
      <c r="M859" s="195"/>
      <c r="N859" s="195"/>
    </row>
    <row r="860" spans="1:14" x14ac:dyDescent="0.2">
      <c r="A860" s="195"/>
      <c r="B860" s="195"/>
      <c r="C860" s="195"/>
      <c r="D860" s="195"/>
      <c r="E860" s="195"/>
      <c r="F860" s="195"/>
      <c r="G860" s="195"/>
      <c r="H860" s="195"/>
      <c r="I860" s="195"/>
      <c r="J860" s="195"/>
      <c r="K860" s="195"/>
      <c r="L860" s="195"/>
      <c r="M860" s="195"/>
      <c r="N860" s="195"/>
    </row>
    <row r="861" spans="1:14" x14ac:dyDescent="0.2">
      <c r="A861" s="195"/>
      <c r="B861" s="195"/>
      <c r="C861" s="195"/>
      <c r="D861" s="195"/>
      <c r="E861" s="195"/>
      <c r="F861" s="195"/>
      <c r="G861" s="195"/>
      <c r="H861" s="195"/>
      <c r="I861" s="195"/>
      <c r="J861" s="195"/>
      <c r="K861" s="195"/>
      <c r="L861" s="195"/>
      <c r="M861" s="195"/>
      <c r="N861" s="195"/>
    </row>
    <row r="862" spans="1:14" x14ac:dyDescent="0.2">
      <c r="A862" s="195"/>
      <c r="B862" s="195"/>
      <c r="C862" s="195"/>
      <c r="D862" s="195"/>
      <c r="E862" s="195"/>
      <c r="F862" s="195"/>
      <c r="G862" s="195"/>
      <c r="H862" s="195"/>
      <c r="I862" s="195"/>
      <c r="J862" s="195"/>
      <c r="K862" s="195"/>
      <c r="L862" s="195"/>
      <c r="M862" s="195"/>
      <c r="N862" s="195"/>
    </row>
    <row r="863" spans="1:14" x14ac:dyDescent="0.2">
      <c r="A863" s="195"/>
      <c r="B863" s="195"/>
      <c r="C863" s="195"/>
      <c r="D863" s="195"/>
      <c r="E863" s="195"/>
      <c r="F863" s="195"/>
      <c r="G863" s="195"/>
      <c r="H863" s="195"/>
      <c r="I863" s="195"/>
      <c r="J863" s="195"/>
      <c r="K863" s="195"/>
      <c r="L863" s="195"/>
      <c r="M863" s="195"/>
      <c r="N863" s="195"/>
    </row>
    <row r="864" spans="1:14" x14ac:dyDescent="0.2">
      <c r="A864" s="195"/>
      <c r="B864" s="195"/>
      <c r="C864" s="195"/>
      <c r="D864" s="195"/>
      <c r="E864" s="195"/>
      <c r="F864" s="195"/>
      <c r="G864" s="195"/>
      <c r="H864" s="195"/>
      <c r="I864" s="195"/>
      <c r="J864" s="195"/>
      <c r="K864" s="195"/>
      <c r="L864" s="195"/>
      <c r="M864" s="195"/>
      <c r="N864" s="195"/>
    </row>
    <row r="865" spans="1:14" x14ac:dyDescent="0.2">
      <c r="A865" s="195"/>
      <c r="B865" s="195"/>
      <c r="C865" s="195"/>
      <c r="D865" s="195"/>
      <c r="E865" s="195"/>
      <c r="F865" s="195"/>
      <c r="G865" s="195"/>
      <c r="H865" s="195"/>
      <c r="I865" s="195"/>
      <c r="J865" s="195"/>
      <c r="K865" s="195"/>
      <c r="L865" s="195"/>
      <c r="M865" s="195"/>
      <c r="N865" s="195"/>
    </row>
    <row r="866" spans="1:14" x14ac:dyDescent="0.2">
      <c r="A866" s="195"/>
      <c r="B866" s="195"/>
      <c r="C866" s="195"/>
      <c r="D866" s="195"/>
      <c r="E866" s="195"/>
      <c r="F866" s="195"/>
      <c r="G866" s="195"/>
      <c r="H866" s="195"/>
      <c r="I866" s="195"/>
      <c r="J866" s="195"/>
      <c r="K866" s="195"/>
      <c r="L866" s="195"/>
      <c r="M866" s="195"/>
      <c r="N866" s="195"/>
    </row>
    <row r="867" spans="1:14" x14ac:dyDescent="0.2">
      <c r="A867" s="195"/>
      <c r="B867" s="195"/>
      <c r="C867" s="195"/>
      <c r="D867" s="195"/>
      <c r="E867" s="195"/>
      <c r="F867" s="195"/>
      <c r="G867" s="195"/>
      <c r="H867" s="195"/>
      <c r="I867" s="195"/>
      <c r="J867" s="195"/>
      <c r="K867" s="195"/>
      <c r="L867" s="195"/>
      <c r="M867" s="195"/>
      <c r="N867" s="195"/>
    </row>
    <row r="868" spans="1:14" x14ac:dyDescent="0.2">
      <c r="A868" s="195"/>
      <c r="B868" s="195"/>
      <c r="C868" s="195"/>
      <c r="D868" s="195"/>
      <c r="E868" s="195"/>
      <c r="F868" s="195"/>
      <c r="G868" s="195"/>
      <c r="H868" s="195"/>
      <c r="I868" s="195"/>
      <c r="J868" s="195"/>
      <c r="K868" s="195"/>
      <c r="L868" s="195"/>
      <c r="M868" s="195"/>
      <c r="N868" s="195"/>
    </row>
    <row r="869" spans="1:14" x14ac:dyDescent="0.2">
      <c r="A869" s="195"/>
      <c r="B869" s="195"/>
      <c r="C869" s="195"/>
      <c r="D869" s="195"/>
      <c r="E869" s="195"/>
      <c r="F869" s="195"/>
      <c r="G869" s="195"/>
      <c r="H869" s="195"/>
      <c r="I869" s="195"/>
      <c r="J869" s="195"/>
      <c r="K869" s="195"/>
      <c r="L869" s="195"/>
      <c r="M869" s="195"/>
      <c r="N869" s="195"/>
    </row>
    <row r="870" spans="1:14" x14ac:dyDescent="0.2">
      <c r="A870" s="195"/>
      <c r="B870" s="195"/>
      <c r="C870" s="195"/>
      <c r="D870" s="195"/>
      <c r="E870" s="195"/>
      <c r="F870" s="195"/>
      <c r="G870" s="195"/>
      <c r="H870" s="195"/>
      <c r="I870" s="195"/>
      <c r="J870" s="195"/>
      <c r="K870" s="195"/>
      <c r="L870" s="195"/>
      <c r="M870" s="195"/>
      <c r="N870" s="195"/>
    </row>
    <row r="871" spans="1:14" x14ac:dyDescent="0.2">
      <c r="A871" s="195"/>
      <c r="B871" s="195"/>
      <c r="C871" s="195"/>
      <c r="D871" s="195"/>
      <c r="E871" s="195"/>
      <c r="F871" s="195"/>
      <c r="G871" s="195"/>
      <c r="H871" s="195"/>
      <c r="I871" s="195"/>
      <c r="J871" s="195"/>
      <c r="K871" s="195"/>
      <c r="L871" s="195"/>
      <c r="M871" s="195"/>
      <c r="N871" s="195"/>
    </row>
    <row r="872" spans="1:14" x14ac:dyDescent="0.2">
      <c r="A872" s="195"/>
      <c r="B872" s="195"/>
      <c r="C872" s="195"/>
      <c r="D872" s="195"/>
      <c r="E872" s="195"/>
      <c r="F872" s="195"/>
      <c r="G872" s="195"/>
      <c r="H872" s="195"/>
      <c r="I872" s="195"/>
      <c r="J872" s="195"/>
      <c r="K872" s="195"/>
      <c r="L872" s="195"/>
      <c r="M872" s="195"/>
      <c r="N872" s="195"/>
    </row>
    <row r="873" spans="1:14" x14ac:dyDescent="0.2">
      <c r="A873" s="195"/>
      <c r="B873" s="195"/>
      <c r="C873" s="195"/>
      <c r="D873" s="195"/>
      <c r="E873" s="195"/>
      <c r="F873" s="195"/>
      <c r="G873" s="195"/>
      <c r="H873" s="195"/>
      <c r="I873" s="195"/>
      <c r="J873" s="195"/>
      <c r="K873" s="195"/>
      <c r="L873" s="195"/>
      <c r="M873" s="195"/>
      <c r="N873" s="195"/>
    </row>
    <row r="874" spans="1:14" x14ac:dyDescent="0.2">
      <c r="A874" s="195"/>
      <c r="B874" s="195"/>
      <c r="C874" s="195"/>
      <c r="D874" s="195"/>
      <c r="E874" s="195"/>
      <c r="F874" s="195"/>
      <c r="G874" s="195"/>
      <c r="H874" s="195"/>
      <c r="I874" s="195"/>
      <c r="J874" s="195"/>
      <c r="K874" s="195"/>
      <c r="L874" s="195"/>
      <c r="M874" s="195"/>
      <c r="N874" s="195"/>
    </row>
    <row r="875" spans="1:14" x14ac:dyDescent="0.2">
      <c r="A875" s="195"/>
      <c r="B875" s="195"/>
      <c r="C875" s="195"/>
      <c r="D875" s="195"/>
      <c r="E875" s="195"/>
      <c r="F875" s="195"/>
      <c r="G875" s="195"/>
      <c r="H875" s="195"/>
      <c r="I875" s="195"/>
      <c r="J875" s="195"/>
      <c r="K875" s="195"/>
      <c r="L875" s="195"/>
      <c r="M875" s="195"/>
      <c r="N875" s="195"/>
    </row>
    <row r="876" spans="1:14" x14ac:dyDescent="0.2">
      <c r="A876" s="195"/>
      <c r="B876" s="195"/>
      <c r="C876" s="195"/>
      <c r="D876" s="195"/>
      <c r="E876" s="195"/>
      <c r="F876" s="195"/>
      <c r="G876" s="195"/>
      <c r="H876" s="195"/>
      <c r="I876" s="195"/>
      <c r="J876" s="195"/>
      <c r="K876" s="195"/>
      <c r="L876" s="195"/>
      <c r="M876" s="195"/>
      <c r="N876" s="195"/>
    </row>
    <row r="877" spans="1:14" x14ac:dyDescent="0.2">
      <c r="A877" s="195"/>
      <c r="B877" s="195"/>
      <c r="C877" s="195"/>
      <c r="D877" s="195"/>
      <c r="E877" s="195"/>
      <c r="F877" s="195"/>
      <c r="G877" s="195"/>
      <c r="H877" s="195"/>
      <c r="I877" s="195"/>
      <c r="J877" s="195"/>
      <c r="K877" s="195"/>
      <c r="L877" s="195"/>
      <c r="M877" s="195"/>
      <c r="N877" s="195"/>
    </row>
    <row r="878" spans="1:14" x14ac:dyDescent="0.2">
      <c r="A878" s="195"/>
      <c r="B878" s="195"/>
      <c r="C878" s="195"/>
      <c r="D878" s="195"/>
      <c r="E878" s="195"/>
      <c r="F878" s="195"/>
      <c r="G878" s="195"/>
      <c r="H878" s="195"/>
      <c r="I878" s="195"/>
      <c r="J878" s="195"/>
      <c r="K878" s="195"/>
      <c r="L878" s="195"/>
      <c r="M878" s="195"/>
      <c r="N878" s="195"/>
    </row>
    <row r="879" spans="1:14" x14ac:dyDescent="0.2">
      <c r="A879" s="195"/>
      <c r="B879" s="195"/>
      <c r="C879" s="195"/>
      <c r="D879" s="195"/>
      <c r="E879" s="195"/>
      <c r="F879" s="195"/>
      <c r="G879" s="195"/>
      <c r="H879" s="195"/>
      <c r="I879" s="195"/>
      <c r="J879" s="195"/>
      <c r="K879" s="195"/>
      <c r="L879" s="195"/>
      <c r="M879" s="195"/>
      <c r="N879" s="195"/>
    </row>
    <row r="880" spans="1:14" x14ac:dyDescent="0.2">
      <c r="A880" s="195"/>
      <c r="B880" s="195"/>
      <c r="C880" s="195"/>
      <c r="D880" s="195"/>
      <c r="E880" s="195"/>
      <c r="F880" s="195"/>
      <c r="G880" s="195"/>
      <c r="H880" s="195"/>
      <c r="I880" s="195"/>
      <c r="J880" s="195"/>
      <c r="K880" s="195"/>
      <c r="L880" s="195"/>
      <c r="M880" s="195"/>
      <c r="N880" s="195"/>
    </row>
    <row r="881" spans="1:14" x14ac:dyDescent="0.2">
      <c r="A881" s="195"/>
      <c r="B881" s="195"/>
      <c r="C881" s="195"/>
      <c r="D881" s="195"/>
      <c r="E881" s="195"/>
      <c r="F881" s="195"/>
      <c r="G881" s="195"/>
      <c r="H881" s="195"/>
      <c r="I881" s="195"/>
      <c r="J881" s="195"/>
      <c r="K881" s="195"/>
      <c r="L881" s="195"/>
      <c r="M881" s="195"/>
      <c r="N881" s="195"/>
    </row>
    <row r="882" spans="1:14" x14ac:dyDescent="0.2">
      <c r="A882" s="195"/>
      <c r="B882" s="195"/>
      <c r="C882" s="195"/>
      <c r="D882" s="195"/>
      <c r="E882" s="195"/>
      <c r="F882" s="195"/>
      <c r="G882" s="195"/>
      <c r="H882" s="195"/>
      <c r="I882" s="195"/>
      <c r="J882" s="195"/>
      <c r="K882" s="195"/>
      <c r="L882" s="195"/>
      <c r="M882" s="195"/>
      <c r="N882" s="195"/>
    </row>
    <row r="883" spans="1:14" x14ac:dyDescent="0.2">
      <c r="A883" s="195"/>
      <c r="B883" s="195"/>
      <c r="C883" s="195"/>
      <c r="D883" s="195"/>
      <c r="E883" s="195"/>
      <c r="F883" s="195"/>
      <c r="G883" s="195"/>
      <c r="H883" s="195"/>
      <c r="I883" s="195"/>
      <c r="J883" s="195"/>
      <c r="K883" s="195"/>
      <c r="L883" s="195"/>
      <c r="M883" s="195"/>
      <c r="N883" s="195"/>
    </row>
    <row r="884" spans="1:14" x14ac:dyDescent="0.2">
      <c r="A884" s="195"/>
      <c r="B884" s="195"/>
      <c r="C884" s="195"/>
      <c r="D884" s="195"/>
      <c r="E884" s="195"/>
      <c r="F884" s="195"/>
      <c r="G884" s="195"/>
      <c r="H884" s="195"/>
      <c r="I884" s="195"/>
      <c r="J884" s="195"/>
      <c r="K884" s="195"/>
      <c r="L884" s="195"/>
      <c r="M884" s="195"/>
      <c r="N884" s="195"/>
    </row>
    <row r="885" spans="1:14" x14ac:dyDescent="0.2">
      <c r="A885" s="195"/>
      <c r="B885" s="195"/>
      <c r="C885" s="195"/>
      <c r="D885" s="195"/>
      <c r="E885" s="195"/>
      <c r="F885" s="195"/>
      <c r="G885" s="195"/>
      <c r="H885" s="195"/>
      <c r="I885" s="195"/>
      <c r="J885" s="195"/>
      <c r="K885" s="195"/>
      <c r="L885" s="195"/>
      <c r="M885" s="195"/>
      <c r="N885" s="195"/>
    </row>
    <row r="895" spans="1:14" x14ac:dyDescent="0.2">
      <c r="G895" s="189" t="e">
        <f>+++++#REF!+G889</f>
        <v>#REF!</v>
      </c>
    </row>
  </sheetData>
  <sheetProtection sheet="1" objects="1" scenarios="1"/>
  <mergeCells count="350">
    <mergeCell ref="M735:M736"/>
    <mergeCell ref="N735:N736"/>
    <mergeCell ref="G735:G736"/>
    <mergeCell ref="H735:H736"/>
    <mergeCell ref="I735:I736"/>
    <mergeCell ref="J735:J736"/>
    <mergeCell ref="K735:K736"/>
    <mergeCell ref="L735:L736"/>
    <mergeCell ref="A735:A736"/>
    <mergeCell ref="B735:B736"/>
    <mergeCell ref="C735:C736"/>
    <mergeCell ref="D735:D736"/>
    <mergeCell ref="E735:E736"/>
    <mergeCell ref="F735:F736"/>
    <mergeCell ref="J715:J716"/>
    <mergeCell ref="K715:K716"/>
    <mergeCell ref="L715:L716"/>
    <mergeCell ref="M715:M716"/>
    <mergeCell ref="N715:N716"/>
    <mergeCell ref="A733:N734"/>
    <mergeCell ref="A713:N714"/>
    <mergeCell ref="A715:A716"/>
    <mergeCell ref="B715:B716"/>
    <mergeCell ref="C715:C716"/>
    <mergeCell ref="D715:D716"/>
    <mergeCell ref="E715:E716"/>
    <mergeCell ref="F715:F716"/>
    <mergeCell ref="G715:G716"/>
    <mergeCell ref="H715:H716"/>
    <mergeCell ref="I715:I716"/>
    <mergeCell ref="I683:I684"/>
    <mergeCell ref="J683:J684"/>
    <mergeCell ref="K683:K684"/>
    <mergeCell ref="L683:L684"/>
    <mergeCell ref="M683:M684"/>
    <mergeCell ref="N683:N684"/>
    <mergeCell ref="N641:N642"/>
    <mergeCell ref="A681:N682"/>
    <mergeCell ref="A683:A684"/>
    <mergeCell ref="B683:B684"/>
    <mergeCell ref="C683:C684"/>
    <mergeCell ref="D683:D684"/>
    <mergeCell ref="E683:E684"/>
    <mergeCell ref="F683:F684"/>
    <mergeCell ref="G683:G684"/>
    <mergeCell ref="H683:H684"/>
    <mergeCell ref="H641:H642"/>
    <mergeCell ref="I641:I642"/>
    <mergeCell ref="J641:J642"/>
    <mergeCell ref="K641:K642"/>
    <mergeCell ref="L641:L642"/>
    <mergeCell ref="M641:M642"/>
    <mergeCell ref="M606:M607"/>
    <mergeCell ref="N606:N607"/>
    <mergeCell ref="A639:N640"/>
    <mergeCell ref="A641:A642"/>
    <mergeCell ref="B641:B642"/>
    <mergeCell ref="C641:C642"/>
    <mergeCell ref="D641:D642"/>
    <mergeCell ref="E641:E642"/>
    <mergeCell ref="F641:F642"/>
    <mergeCell ref="G641:G642"/>
    <mergeCell ref="G606:G607"/>
    <mergeCell ref="H606:H607"/>
    <mergeCell ref="I606:I607"/>
    <mergeCell ref="J606:J607"/>
    <mergeCell ref="K606:K607"/>
    <mergeCell ref="L606:L607"/>
    <mergeCell ref="A606:A607"/>
    <mergeCell ref="B606:B607"/>
    <mergeCell ref="C606:C607"/>
    <mergeCell ref="D606:D607"/>
    <mergeCell ref="E606:E607"/>
    <mergeCell ref="F606:F607"/>
    <mergeCell ref="J570:J571"/>
    <mergeCell ref="K570:K571"/>
    <mergeCell ref="L570:L571"/>
    <mergeCell ref="M570:M571"/>
    <mergeCell ref="N570:N571"/>
    <mergeCell ref="A604:N605"/>
    <mergeCell ref="A568:N569"/>
    <mergeCell ref="A570:A571"/>
    <mergeCell ref="B570:B571"/>
    <mergeCell ref="C570:C571"/>
    <mergeCell ref="D570:D571"/>
    <mergeCell ref="E570:E571"/>
    <mergeCell ref="F570:F571"/>
    <mergeCell ref="G570:G571"/>
    <mergeCell ref="H570:H571"/>
    <mergeCell ref="I570:I571"/>
    <mergeCell ref="I529:I530"/>
    <mergeCell ref="J529:J530"/>
    <mergeCell ref="K529:K530"/>
    <mergeCell ref="L529:L530"/>
    <mergeCell ref="M529:M530"/>
    <mergeCell ref="N529:N530"/>
    <mergeCell ref="N495:N496"/>
    <mergeCell ref="A527:N528"/>
    <mergeCell ref="A529:A530"/>
    <mergeCell ref="B529:B530"/>
    <mergeCell ref="C529:C530"/>
    <mergeCell ref="D529:D530"/>
    <mergeCell ref="E529:E530"/>
    <mergeCell ref="F529:F530"/>
    <mergeCell ref="G529:G530"/>
    <mergeCell ref="H529:H530"/>
    <mergeCell ref="H495:H496"/>
    <mergeCell ref="I495:I496"/>
    <mergeCell ref="J495:J496"/>
    <mergeCell ref="K495:K496"/>
    <mergeCell ref="L495:L496"/>
    <mergeCell ref="M495:M496"/>
    <mergeCell ref="A495:A496"/>
    <mergeCell ref="B495:B496"/>
    <mergeCell ref="C495:C496"/>
    <mergeCell ref="D495:D496"/>
    <mergeCell ref="E495:E496"/>
    <mergeCell ref="F495:F496"/>
    <mergeCell ref="G495:G496"/>
    <mergeCell ref="H460:H461"/>
    <mergeCell ref="I460:I461"/>
    <mergeCell ref="C392:C393"/>
    <mergeCell ref="D392:D393"/>
    <mergeCell ref="E392:E393"/>
    <mergeCell ref="F392:F393"/>
    <mergeCell ref="C460:C461"/>
    <mergeCell ref="D460:D461"/>
    <mergeCell ref="E460:E461"/>
    <mergeCell ref="F460:F461"/>
    <mergeCell ref="G460:G461"/>
    <mergeCell ref="G450:H450"/>
    <mergeCell ref="A458:N459"/>
    <mergeCell ref="A460:A461"/>
    <mergeCell ref="N430:N431"/>
    <mergeCell ref="H430:H431"/>
    <mergeCell ref="N460:N461"/>
    <mergeCell ref="C462:G462"/>
    <mergeCell ref="A493:N494"/>
    <mergeCell ref="J460:J461"/>
    <mergeCell ref="K460:K461"/>
    <mergeCell ref="L460:L461"/>
    <mergeCell ref="M460:M461"/>
    <mergeCell ref="B460:B461"/>
    <mergeCell ref="A390:N391"/>
    <mergeCell ref="I430:I431"/>
    <mergeCell ref="J430:J431"/>
    <mergeCell ref="K430:K431"/>
    <mergeCell ref="L430:L431"/>
    <mergeCell ref="M430:M431"/>
    <mergeCell ref="M392:M393"/>
    <mergeCell ref="N392:N393"/>
    <mergeCell ref="A428:N429"/>
    <mergeCell ref="A430:A431"/>
    <mergeCell ref="B430:B431"/>
    <mergeCell ref="C430:C431"/>
    <mergeCell ref="D430:D431"/>
    <mergeCell ref="E430:E431"/>
    <mergeCell ref="F430:F431"/>
    <mergeCell ref="G430:G431"/>
    <mergeCell ref="G392:G393"/>
    <mergeCell ref="H392:H393"/>
    <mergeCell ref="I392:I393"/>
    <mergeCell ref="J392:J393"/>
    <mergeCell ref="K392:K393"/>
    <mergeCell ref="L392:L393"/>
    <mergeCell ref="A392:A393"/>
    <mergeCell ref="B392:B393"/>
    <mergeCell ref="A363:N364"/>
    <mergeCell ref="A365:A366"/>
    <mergeCell ref="B365:B366"/>
    <mergeCell ref="C365:C366"/>
    <mergeCell ref="D365:D366"/>
    <mergeCell ref="E365:E366"/>
    <mergeCell ref="F365:F366"/>
    <mergeCell ref="G365:G366"/>
    <mergeCell ref="H365:H366"/>
    <mergeCell ref="I365:I366"/>
    <mergeCell ref="J365:J366"/>
    <mergeCell ref="K365:K366"/>
    <mergeCell ref="L365:L366"/>
    <mergeCell ref="M365:M366"/>
    <mergeCell ref="N365:N366"/>
    <mergeCell ref="I298:I299"/>
    <mergeCell ref="J298:J299"/>
    <mergeCell ref="K298:K299"/>
    <mergeCell ref="L298:L299"/>
    <mergeCell ref="M298:M299"/>
    <mergeCell ref="N298:N299"/>
    <mergeCell ref="N272:N273"/>
    <mergeCell ref="A298:A299"/>
    <mergeCell ref="B298:B299"/>
    <mergeCell ref="C298:C299"/>
    <mergeCell ref="D298:D299"/>
    <mergeCell ref="E298:E299"/>
    <mergeCell ref="F298:F299"/>
    <mergeCell ref="G298:G299"/>
    <mergeCell ref="H298:H299"/>
    <mergeCell ref="H272:H273"/>
    <mergeCell ref="I272:I273"/>
    <mergeCell ref="J272:J273"/>
    <mergeCell ref="K272:K273"/>
    <mergeCell ref="L272:L273"/>
    <mergeCell ref="M272:M273"/>
    <mergeCell ref="M241:M242"/>
    <mergeCell ref="N241:N242"/>
    <mergeCell ref="A272:A273"/>
    <mergeCell ref="B272:B273"/>
    <mergeCell ref="C272:C273"/>
    <mergeCell ref="D272:D273"/>
    <mergeCell ref="E272:E273"/>
    <mergeCell ref="F272:F273"/>
    <mergeCell ref="G272:G273"/>
    <mergeCell ref="G241:G242"/>
    <mergeCell ref="H241:H242"/>
    <mergeCell ref="I241:I242"/>
    <mergeCell ref="J241:J242"/>
    <mergeCell ref="K241:K242"/>
    <mergeCell ref="L241:L242"/>
    <mergeCell ref="A241:A242"/>
    <mergeCell ref="B241:B242"/>
    <mergeCell ref="C241:C242"/>
    <mergeCell ref="D241:D242"/>
    <mergeCell ref="E241:E242"/>
    <mergeCell ref="F241:F242"/>
    <mergeCell ref="J222:J223"/>
    <mergeCell ref="K222:K223"/>
    <mergeCell ref="L222:L223"/>
    <mergeCell ref="M222:M223"/>
    <mergeCell ref="N222:N223"/>
    <mergeCell ref="A222:A223"/>
    <mergeCell ref="B222:B223"/>
    <mergeCell ref="C222:C223"/>
    <mergeCell ref="D222:D223"/>
    <mergeCell ref="E222:E223"/>
    <mergeCell ref="F222:F223"/>
    <mergeCell ref="G222:G223"/>
    <mergeCell ref="H222:H223"/>
    <mergeCell ref="I222:I223"/>
    <mergeCell ref="I199:I200"/>
    <mergeCell ref="J199:J200"/>
    <mergeCell ref="K199:K200"/>
    <mergeCell ref="L199:L200"/>
    <mergeCell ref="M199:M200"/>
    <mergeCell ref="N199:N200"/>
    <mergeCell ref="N172:N173"/>
    <mergeCell ref="A199:A200"/>
    <mergeCell ref="B199:B200"/>
    <mergeCell ref="C199:C200"/>
    <mergeCell ref="D199:D200"/>
    <mergeCell ref="E199:E200"/>
    <mergeCell ref="F199:F200"/>
    <mergeCell ref="G199:G200"/>
    <mergeCell ref="H199:H200"/>
    <mergeCell ref="H172:H173"/>
    <mergeCell ref="I172:I173"/>
    <mergeCell ref="J172:J173"/>
    <mergeCell ref="K172:K173"/>
    <mergeCell ref="L172:L173"/>
    <mergeCell ref="M172:M173"/>
    <mergeCell ref="M141:M142"/>
    <mergeCell ref="N141:N142"/>
    <mergeCell ref="A172:A173"/>
    <mergeCell ref="B172:B173"/>
    <mergeCell ref="C172:C173"/>
    <mergeCell ref="D172:D173"/>
    <mergeCell ref="E172:E173"/>
    <mergeCell ref="F172:F173"/>
    <mergeCell ref="G172:G173"/>
    <mergeCell ref="G141:G142"/>
    <mergeCell ref="H141:H142"/>
    <mergeCell ref="I141:I142"/>
    <mergeCell ref="J141:J142"/>
    <mergeCell ref="K141:K142"/>
    <mergeCell ref="L141:L142"/>
    <mergeCell ref="A141:A142"/>
    <mergeCell ref="B141:B142"/>
    <mergeCell ref="C141:C142"/>
    <mergeCell ref="D141:D142"/>
    <mergeCell ref="E141:E142"/>
    <mergeCell ref="F141:F142"/>
    <mergeCell ref="J110:J111"/>
    <mergeCell ref="K110:K111"/>
    <mergeCell ref="L110:L111"/>
    <mergeCell ref="M110:M111"/>
    <mergeCell ref="N110:N111"/>
    <mergeCell ref="A110:A111"/>
    <mergeCell ref="B110:B111"/>
    <mergeCell ref="C110:C111"/>
    <mergeCell ref="D110:D111"/>
    <mergeCell ref="E110:E111"/>
    <mergeCell ref="F110:F111"/>
    <mergeCell ref="G110:G111"/>
    <mergeCell ref="H110:H111"/>
    <mergeCell ref="I110:I111"/>
    <mergeCell ref="I92:I93"/>
    <mergeCell ref="J92:J93"/>
    <mergeCell ref="K92:K93"/>
    <mergeCell ref="L92:L93"/>
    <mergeCell ref="M92:M93"/>
    <mergeCell ref="N92:N93"/>
    <mergeCell ref="N57:N58"/>
    <mergeCell ref="A92:A93"/>
    <mergeCell ref="B92:B93"/>
    <mergeCell ref="C92:C93"/>
    <mergeCell ref="D92:D93"/>
    <mergeCell ref="E92:E93"/>
    <mergeCell ref="F92:F93"/>
    <mergeCell ref="G92:G93"/>
    <mergeCell ref="H92:H93"/>
    <mergeCell ref="H57:H58"/>
    <mergeCell ref="I57:I58"/>
    <mergeCell ref="J57:J58"/>
    <mergeCell ref="K57:K58"/>
    <mergeCell ref="L57:L58"/>
    <mergeCell ref="M57:M58"/>
    <mergeCell ref="M27:M28"/>
    <mergeCell ref="N27:N28"/>
    <mergeCell ref="A57:A58"/>
    <mergeCell ref="B57:B58"/>
    <mergeCell ref="C57:C58"/>
    <mergeCell ref="D57:D58"/>
    <mergeCell ref="E57:E58"/>
    <mergeCell ref="F57:F58"/>
    <mergeCell ref="G57:G58"/>
    <mergeCell ref="G27:G28"/>
    <mergeCell ref="H27:H28"/>
    <mergeCell ref="I27:I28"/>
    <mergeCell ref="J27:J28"/>
    <mergeCell ref="K27:K28"/>
    <mergeCell ref="L27:L28"/>
    <mergeCell ref="A27:A28"/>
    <mergeCell ref="B27:B28"/>
    <mergeCell ref="C27:C28"/>
    <mergeCell ref="D27:D28"/>
    <mergeCell ref="E27:E28"/>
    <mergeCell ref="F27:F28"/>
    <mergeCell ref="J3:J4"/>
    <mergeCell ref="K3:K4"/>
    <mergeCell ref="L3:L4"/>
    <mergeCell ref="M3:M4"/>
    <mergeCell ref="N3:N4"/>
    <mergeCell ref="A3:A4"/>
    <mergeCell ref="B3:B4"/>
    <mergeCell ref="C3:C4"/>
    <mergeCell ref="D3:D4"/>
    <mergeCell ref="E3:E4"/>
    <mergeCell ref="F3:F4"/>
    <mergeCell ref="G3:G4"/>
    <mergeCell ref="H3:H4"/>
    <mergeCell ref="I3:I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4"/>
  <sheetViews>
    <sheetView workbookViewId="0">
      <selection activeCell="I11" sqref="I11"/>
    </sheetView>
  </sheetViews>
  <sheetFormatPr baseColWidth="10" defaultRowHeight="12.9" x14ac:dyDescent="0.2"/>
  <cols>
    <col min="1" max="1" width="24" customWidth="1"/>
    <col min="2" max="2" width="21.75" customWidth="1"/>
    <col min="3" max="3" width="17.5" customWidth="1"/>
    <col min="4" max="4" width="28.625" customWidth="1"/>
  </cols>
  <sheetData>
    <row r="1" spans="1:4" ht="51.3" customHeight="1" x14ac:dyDescent="0.2">
      <c r="A1" s="710" t="s">
        <v>3727</v>
      </c>
      <c r="B1" s="711"/>
      <c r="C1" s="711"/>
      <c r="D1" s="712"/>
    </row>
    <row r="2" spans="1:4" s="355" customFormat="1" ht="31.25" x14ac:dyDescent="0.2">
      <c r="A2" s="188" t="s">
        <v>3726</v>
      </c>
      <c r="B2" s="187" t="s">
        <v>3725</v>
      </c>
      <c r="C2" s="184" t="s">
        <v>3728</v>
      </c>
      <c r="D2" s="183" t="s">
        <v>3729</v>
      </c>
    </row>
    <row r="3" spans="1:4" ht="12.75" customHeight="1" x14ac:dyDescent="0.2">
      <c r="A3" s="356">
        <v>2013</v>
      </c>
      <c r="B3" s="38">
        <v>17</v>
      </c>
      <c r="C3" s="713">
        <f>AVERAGE(B3:B13)</f>
        <v>28.454545454545453</v>
      </c>
      <c r="D3" s="357">
        <v>0</v>
      </c>
    </row>
    <row r="4" spans="1:4" ht="15.65" x14ac:dyDescent="0.2">
      <c r="A4" s="356">
        <v>2014</v>
      </c>
      <c r="B4" s="38">
        <v>29</v>
      </c>
      <c r="C4" s="713"/>
      <c r="D4" s="357">
        <f>(B4-B3)/B3</f>
        <v>0.70588235294117652</v>
      </c>
    </row>
    <row r="5" spans="1:4" ht="15.65" x14ac:dyDescent="0.2">
      <c r="A5" s="356">
        <v>2015</v>
      </c>
      <c r="B5" s="38">
        <v>31</v>
      </c>
      <c r="C5" s="713"/>
      <c r="D5" s="357">
        <f>(B5-B4)/B4</f>
        <v>6.8965517241379309E-2</v>
      </c>
    </row>
    <row r="6" spans="1:4" ht="15.65" x14ac:dyDescent="0.2">
      <c r="A6" s="356">
        <v>2016</v>
      </c>
      <c r="B6" s="38">
        <v>21</v>
      </c>
      <c r="C6" s="713"/>
      <c r="D6" s="357">
        <f t="shared" ref="D6:D12" si="0">(B6-B5)/B5</f>
        <v>-0.32258064516129031</v>
      </c>
    </row>
    <row r="7" spans="1:4" ht="15.65" x14ac:dyDescent="0.2">
      <c r="A7" s="356">
        <v>2017</v>
      </c>
      <c r="B7" s="38">
        <v>29</v>
      </c>
      <c r="C7" s="713"/>
      <c r="D7" s="357">
        <f t="shared" si="0"/>
        <v>0.38095238095238093</v>
      </c>
    </row>
    <row r="8" spans="1:4" ht="15.65" x14ac:dyDescent="0.2">
      <c r="A8" s="356">
        <v>2018</v>
      </c>
      <c r="B8" s="38">
        <v>30</v>
      </c>
      <c r="C8" s="713"/>
      <c r="D8" s="357">
        <f t="shared" si="0"/>
        <v>3.4482758620689655E-2</v>
      </c>
    </row>
    <row r="9" spans="1:4" ht="15.65" x14ac:dyDescent="0.2">
      <c r="A9" s="356">
        <v>2019</v>
      </c>
      <c r="B9" s="38">
        <v>41</v>
      </c>
      <c r="C9" s="713"/>
      <c r="D9" s="357">
        <f t="shared" si="0"/>
        <v>0.36666666666666664</v>
      </c>
    </row>
    <row r="10" spans="1:4" ht="15.65" x14ac:dyDescent="0.2">
      <c r="A10" s="356">
        <v>2020</v>
      </c>
      <c r="B10" s="38">
        <v>19</v>
      </c>
      <c r="C10" s="713"/>
      <c r="D10" s="357">
        <f t="shared" si="0"/>
        <v>-0.53658536585365857</v>
      </c>
    </row>
    <row r="11" spans="1:4" ht="15.65" x14ac:dyDescent="0.2">
      <c r="A11" s="356">
        <v>2021</v>
      </c>
      <c r="B11" s="38">
        <v>12</v>
      </c>
      <c r="C11" s="713"/>
      <c r="D11" s="357">
        <f t="shared" si="0"/>
        <v>-0.36842105263157893</v>
      </c>
    </row>
    <row r="12" spans="1:4" ht="15.65" x14ac:dyDescent="0.2">
      <c r="A12" s="356">
        <v>2022</v>
      </c>
      <c r="B12" s="38">
        <v>22</v>
      </c>
      <c r="C12" s="713"/>
      <c r="D12" s="357">
        <f t="shared" si="0"/>
        <v>0.83333333333333337</v>
      </c>
    </row>
    <row r="13" spans="1:4" ht="15.65" x14ac:dyDescent="0.2">
      <c r="A13" s="356">
        <v>2023</v>
      </c>
      <c r="B13" s="38">
        <v>62</v>
      </c>
      <c r="C13" s="713"/>
      <c r="D13" s="357">
        <f>(B13-B12)/B12</f>
        <v>1.8181818181818181</v>
      </c>
    </row>
    <row r="14" spans="1:4" ht="16.3" thickBot="1" x14ac:dyDescent="0.3">
      <c r="A14" s="185" t="s">
        <v>2152</v>
      </c>
      <c r="B14" s="186">
        <f>SUM(B3:B13)</f>
        <v>313</v>
      </c>
      <c r="C14" s="358"/>
      <c r="D14" s="359"/>
    </row>
  </sheetData>
  <mergeCells count="2">
    <mergeCell ref="A1:D1"/>
    <mergeCell ref="C3:C1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4"/>
  <sheetViews>
    <sheetView topLeftCell="A31" workbookViewId="0">
      <selection activeCell="D38" sqref="D38"/>
    </sheetView>
  </sheetViews>
  <sheetFormatPr baseColWidth="10" defaultRowHeight="12.9" x14ac:dyDescent="0.2"/>
  <cols>
    <col min="1" max="1" width="24" customWidth="1"/>
    <col min="2" max="2" width="21.75" customWidth="1"/>
    <col min="3" max="3" width="17.5" customWidth="1"/>
    <col min="4" max="4" width="28.625" customWidth="1"/>
  </cols>
  <sheetData>
    <row r="1" spans="1:4" ht="51.3" customHeight="1" x14ac:dyDescent="0.2">
      <c r="A1" s="710" t="s">
        <v>4087</v>
      </c>
      <c r="B1" s="711"/>
      <c r="C1" s="711"/>
      <c r="D1" s="712"/>
    </row>
    <row r="2" spans="1:4" s="355" customFormat="1" ht="31.25" x14ac:dyDescent="0.2">
      <c r="A2" s="413" t="s">
        <v>3726</v>
      </c>
      <c r="B2" s="412" t="s">
        <v>3725</v>
      </c>
      <c r="C2" s="409" t="s">
        <v>3728</v>
      </c>
      <c r="D2" s="414" t="s">
        <v>3729</v>
      </c>
    </row>
    <row r="3" spans="1:4" ht="12.75" customHeight="1" x14ac:dyDescent="0.2">
      <c r="A3" s="356">
        <v>2013</v>
      </c>
      <c r="B3" s="38">
        <v>23</v>
      </c>
      <c r="C3" s="713">
        <f>AVERAGE(B3:B13)</f>
        <v>49.18181818181818</v>
      </c>
      <c r="D3" s="357">
        <v>0</v>
      </c>
    </row>
    <row r="4" spans="1:4" ht="15.65" x14ac:dyDescent="0.2">
      <c r="A4" s="356">
        <v>2014</v>
      </c>
      <c r="B4" s="38">
        <v>47</v>
      </c>
      <c r="C4" s="713"/>
      <c r="D4" s="357">
        <f>(B4-B3)/B3</f>
        <v>1.0434782608695652</v>
      </c>
    </row>
    <row r="5" spans="1:4" ht="15.65" x14ac:dyDescent="0.2">
      <c r="A5" s="356">
        <v>2015</v>
      </c>
      <c r="B5" s="38">
        <v>55</v>
      </c>
      <c r="C5" s="713"/>
      <c r="D5" s="357">
        <f>(B5-B4)/B4</f>
        <v>0.1702127659574468</v>
      </c>
    </row>
    <row r="6" spans="1:4" ht="15.65" x14ac:dyDescent="0.2">
      <c r="A6" s="356">
        <v>2016</v>
      </c>
      <c r="B6" s="38">
        <v>48</v>
      </c>
      <c r="C6" s="713"/>
      <c r="D6" s="357">
        <f t="shared" ref="D6:D12" si="0">(B6-B5)/B5</f>
        <v>-0.12727272727272726</v>
      </c>
    </row>
    <row r="7" spans="1:4" ht="15.65" x14ac:dyDescent="0.2">
      <c r="A7" s="356">
        <v>2017</v>
      </c>
      <c r="B7" s="38">
        <v>52</v>
      </c>
      <c r="C7" s="713"/>
      <c r="D7" s="357">
        <f t="shared" si="0"/>
        <v>8.3333333333333329E-2</v>
      </c>
    </row>
    <row r="8" spans="1:4" ht="15.65" x14ac:dyDescent="0.2">
      <c r="A8" s="356">
        <v>2018</v>
      </c>
      <c r="B8" s="38">
        <v>61</v>
      </c>
      <c r="C8" s="713"/>
      <c r="D8" s="357">
        <f t="shared" si="0"/>
        <v>0.17307692307692307</v>
      </c>
    </row>
    <row r="9" spans="1:4" ht="15.65" x14ac:dyDescent="0.2">
      <c r="A9" s="356">
        <v>2019</v>
      </c>
      <c r="B9" s="38">
        <v>66</v>
      </c>
      <c r="C9" s="713"/>
      <c r="D9" s="357">
        <f t="shared" si="0"/>
        <v>8.1967213114754092E-2</v>
      </c>
    </row>
    <row r="10" spans="1:4" ht="15.65" x14ac:dyDescent="0.2">
      <c r="A10" s="356">
        <v>2020</v>
      </c>
      <c r="B10" s="38">
        <v>49</v>
      </c>
      <c r="C10" s="713"/>
      <c r="D10" s="357">
        <f t="shared" si="0"/>
        <v>-0.25757575757575757</v>
      </c>
    </row>
    <row r="11" spans="1:4" ht="15.65" x14ac:dyDescent="0.2">
      <c r="A11" s="356">
        <v>2021</v>
      </c>
      <c r="B11" s="38">
        <v>32</v>
      </c>
      <c r="C11" s="713"/>
      <c r="D11" s="357">
        <f t="shared" si="0"/>
        <v>-0.34693877551020408</v>
      </c>
    </row>
    <row r="12" spans="1:4" ht="15.65" x14ac:dyDescent="0.2">
      <c r="A12" s="356">
        <v>2022</v>
      </c>
      <c r="B12" s="38">
        <v>37</v>
      </c>
      <c r="C12" s="713"/>
      <c r="D12" s="357">
        <f t="shared" si="0"/>
        <v>0.15625</v>
      </c>
    </row>
    <row r="13" spans="1:4" ht="15.65" x14ac:dyDescent="0.2">
      <c r="A13" s="356">
        <v>2023</v>
      </c>
      <c r="B13" s="38">
        <v>71</v>
      </c>
      <c r="C13" s="713"/>
      <c r="D13" s="357">
        <f>(B13-B12)/B12</f>
        <v>0.91891891891891897</v>
      </c>
    </row>
    <row r="14" spans="1:4" ht="16.3" thickBot="1" x14ac:dyDescent="0.3">
      <c r="A14" s="410" t="s">
        <v>2152</v>
      </c>
      <c r="B14" s="411">
        <f>SUM(B3:B13)</f>
        <v>541</v>
      </c>
      <c r="C14" s="358"/>
      <c r="D14" s="359"/>
    </row>
  </sheetData>
  <mergeCells count="2">
    <mergeCell ref="A1:D1"/>
    <mergeCell ref="C3:C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3</vt:i4>
      </vt:variant>
    </vt:vector>
  </HeadingPairs>
  <TitlesOfParts>
    <vt:vector size="22" baseType="lpstr">
      <vt:lpstr>CONSOLIDADO 5 AÑOS</vt:lpstr>
      <vt:lpstr>CONSOLIDADO AÑO 2026</vt:lpstr>
      <vt:lpstr>DETALLADO X MES 2026</vt:lpstr>
      <vt:lpstr>2026</vt:lpstr>
      <vt:lpstr>2025</vt:lpstr>
      <vt:lpstr>2024</vt:lpstr>
      <vt:lpstr>2023</vt:lpstr>
      <vt:lpstr>2022</vt:lpstr>
      <vt:lpstr>2021</vt:lpstr>
      <vt:lpstr>2020</vt:lpstr>
      <vt:lpstr>2019</vt:lpstr>
      <vt:lpstr>2018</vt:lpstr>
      <vt:lpstr>2017</vt:lpstr>
      <vt:lpstr>2016</vt:lpstr>
      <vt:lpstr>2015</vt:lpstr>
      <vt:lpstr>2014</vt:lpstr>
      <vt:lpstr>2013</vt:lpstr>
      <vt:lpstr>FORESTALES 10 AÑOS</vt:lpstr>
      <vt:lpstr>GR DE INCENDIOS 10 AÑOS</vt:lpstr>
      <vt:lpstr>'CONSOLIDADO 5 AÑOS'!Área_de_impresión</vt:lpstr>
      <vt:lpstr>'CONSOLIDADO AÑO 2026'!Área_de_impresión</vt:lpstr>
      <vt:lpstr>'DETALLADO X MES 2026'!Área_de_impresión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Equipo</cp:lastModifiedBy>
  <cp:lastPrinted>2024-02-23T13:17:03Z</cp:lastPrinted>
  <dcterms:modified xsi:type="dcterms:W3CDTF">2026-10-13T19:20:14Z</dcterms:modified>
</cp:coreProperties>
</file>